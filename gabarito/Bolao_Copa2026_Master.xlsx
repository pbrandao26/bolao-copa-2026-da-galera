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gabarito\"/>
    </mc:Choice>
  </mc:AlternateContent>
  <xr:revisionPtr revIDLastSave="0" documentId="13_ncr:1_{1941DBD7-EF7C-41BB-B8FC-951020A344CF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ras" sheetId="1" r:id="rId1"/>
    <sheet name="Jogos - Grupos" sheetId="2" r:id="rId2"/>
    <sheet name="Apostas - Grupos" sheetId="3" r:id="rId3"/>
    <sheet name="Apostas - Bonus" sheetId="4" r:id="rId4"/>
    <sheet name="Pontuacao - Grupos" sheetId="5" r:id="rId5"/>
    <sheet name="Classif - Grupos" sheetId="6" state="hidden" r:id="rId6"/>
    <sheet name="T495" sheetId="7" state="hidden" r:id="rId7"/>
    <sheet name="BetClass" sheetId="8" state="hidden" r:id="rId8"/>
    <sheet name="Mata-Mata - Jogos" sheetId="9" r:id="rId9"/>
    <sheet name="Apostas - Mata-Mata" sheetId="10" r:id="rId10"/>
    <sheet name="Pontuacao - Mata-Mata" sheetId="11" r:id="rId11"/>
    <sheet name="Pontuacao - Bonus" sheetId="12" r:id="rId12"/>
    <sheet name="Ranking" sheetId="13" r:id="rId13"/>
    <sheet name="Dashboard" sheetId="14" r:id="rId14"/>
  </sheets>
  <calcPr calcId="181029"/>
</workbook>
</file>

<file path=xl/calcChain.xml><?xml version="1.0" encoding="utf-8"?>
<calcChain xmlns="http://schemas.openxmlformats.org/spreadsheetml/2006/main">
  <c r="A12" i="14" l="1"/>
  <c r="A11" i="14"/>
  <c r="A10" i="14"/>
  <c r="A9" i="14"/>
  <c r="C7" i="12"/>
  <c r="B7" i="12"/>
  <c r="D7" i="12" s="1"/>
  <c r="L7" i="13" s="1"/>
  <c r="C6" i="12"/>
  <c r="B6" i="12"/>
  <c r="D6" i="12" s="1"/>
  <c r="L6" i="13" s="1"/>
  <c r="C5" i="12"/>
  <c r="B5" i="12"/>
  <c r="D5" i="12" s="1"/>
  <c r="L5" i="13" s="1"/>
  <c r="C4" i="12"/>
  <c r="B4" i="12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B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BB9" i="10"/>
  <c r="BH9" i="10" s="1"/>
  <c r="AY9" i="10"/>
  <c r="AX9" i="10"/>
  <c r="Z6" i="11" s="1"/>
  <c r="AW9" i="10"/>
  <c r="Y6" i="11" s="1"/>
  <c r="AV9" i="10"/>
  <c r="AU9" i="10"/>
  <c r="AT9" i="10"/>
  <c r="X6" i="11" s="1"/>
  <c r="AS9" i="10"/>
  <c r="W6" i="11" s="1"/>
  <c r="AR9" i="10"/>
  <c r="AQ9" i="10"/>
  <c r="V6" i="11" s="1"/>
  <c r="AP9" i="10"/>
  <c r="AO9" i="10"/>
  <c r="U6" i="11" s="1"/>
  <c r="AN9" i="10"/>
  <c r="AM9" i="10"/>
  <c r="AL9" i="10"/>
  <c r="AK9" i="10"/>
  <c r="AJ9" i="10"/>
  <c r="AI9" i="10"/>
  <c r="AH9" i="10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K320" i="8"/>
  <c r="F320" i="8"/>
  <c r="E320" i="8"/>
  <c r="G320" i="8" s="1"/>
  <c r="D320" i="8"/>
  <c r="C320" i="8"/>
  <c r="H320" i="8" s="1"/>
  <c r="I320" i="8" s="1"/>
  <c r="J320" i="8" s="1"/>
  <c r="K319" i="8"/>
  <c r="L319" i="8" s="1"/>
  <c r="H319" i="8"/>
  <c r="I319" i="8" s="1"/>
  <c r="G319" i="8"/>
  <c r="F319" i="8"/>
  <c r="E319" i="8"/>
  <c r="D319" i="8"/>
  <c r="C319" i="8"/>
  <c r="K318" i="8"/>
  <c r="F318" i="8"/>
  <c r="E318" i="8"/>
  <c r="G318" i="8" s="1"/>
  <c r="D318" i="8"/>
  <c r="C318" i="8"/>
  <c r="H318" i="8" s="1"/>
  <c r="I318" i="8" s="1"/>
  <c r="K317" i="8"/>
  <c r="L317" i="8" s="1"/>
  <c r="F317" i="8"/>
  <c r="E317" i="8"/>
  <c r="G317" i="8" s="1"/>
  <c r="D317" i="8"/>
  <c r="C317" i="8"/>
  <c r="H317" i="8" s="1"/>
  <c r="I317" i="8" s="1"/>
  <c r="K316" i="8"/>
  <c r="H316" i="8"/>
  <c r="I316" i="8" s="1"/>
  <c r="F316" i="8"/>
  <c r="G316" i="8" s="1"/>
  <c r="E316" i="8"/>
  <c r="D316" i="8"/>
  <c r="L316" i="8" s="1"/>
  <c r="C316" i="8"/>
  <c r="K315" i="8"/>
  <c r="G315" i="8"/>
  <c r="F315" i="8"/>
  <c r="E315" i="8"/>
  <c r="D315" i="8"/>
  <c r="C315" i="8"/>
  <c r="K314" i="8"/>
  <c r="F314" i="8"/>
  <c r="E314" i="8"/>
  <c r="G314" i="8" s="1"/>
  <c r="D314" i="8"/>
  <c r="L314" i="8" s="1"/>
  <c r="C314" i="8"/>
  <c r="K313" i="8"/>
  <c r="L313" i="8" s="1"/>
  <c r="F313" i="8"/>
  <c r="E313" i="8"/>
  <c r="G313" i="8" s="1"/>
  <c r="D313" i="8"/>
  <c r="H313" i="8" s="1"/>
  <c r="I313" i="8" s="1"/>
  <c r="C313" i="8"/>
  <c r="K312" i="8"/>
  <c r="F312" i="8"/>
  <c r="E312" i="8"/>
  <c r="G312" i="8" s="1"/>
  <c r="D312" i="8"/>
  <c r="C312" i="8"/>
  <c r="K311" i="8"/>
  <c r="F311" i="8"/>
  <c r="G311" i="8" s="1"/>
  <c r="E311" i="8"/>
  <c r="D311" i="8"/>
  <c r="C311" i="8"/>
  <c r="L310" i="8"/>
  <c r="K310" i="8"/>
  <c r="H310" i="8"/>
  <c r="G310" i="8"/>
  <c r="F310" i="8"/>
  <c r="E310" i="8"/>
  <c r="D310" i="8"/>
  <c r="C310" i="8"/>
  <c r="K309" i="8"/>
  <c r="L309" i="8" s="1"/>
  <c r="H309" i="8"/>
  <c r="I309" i="8" s="1"/>
  <c r="F309" i="8"/>
  <c r="G309" i="8" s="1"/>
  <c r="E309" i="8"/>
  <c r="D309" i="8"/>
  <c r="C309" i="8"/>
  <c r="K308" i="8"/>
  <c r="L308" i="8" s="1"/>
  <c r="H308" i="8"/>
  <c r="I308" i="8" s="1"/>
  <c r="F308" i="8"/>
  <c r="E308" i="8"/>
  <c r="G308" i="8" s="1"/>
  <c r="D308" i="8"/>
  <c r="C308" i="8"/>
  <c r="K307" i="8"/>
  <c r="F307" i="8"/>
  <c r="E307" i="8"/>
  <c r="G307" i="8" s="1"/>
  <c r="D307" i="8"/>
  <c r="C307" i="8"/>
  <c r="K306" i="8"/>
  <c r="F306" i="8"/>
  <c r="E306" i="8"/>
  <c r="G306" i="8" s="1"/>
  <c r="D306" i="8"/>
  <c r="C306" i="8"/>
  <c r="H306" i="8" s="1"/>
  <c r="I306" i="8" s="1"/>
  <c r="K305" i="8"/>
  <c r="L305" i="8" s="1"/>
  <c r="H305" i="8"/>
  <c r="I305" i="8" s="1"/>
  <c r="G305" i="8"/>
  <c r="F305" i="8"/>
  <c r="E305" i="8"/>
  <c r="D305" i="8"/>
  <c r="C305" i="8"/>
  <c r="K304" i="8"/>
  <c r="L304" i="8" s="1"/>
  <c r="F304" i="8"/>
  <c r="E304" i="8"/>
  <c r="D304" i="8"/>
  <c r="C304" i="8"/>
  <c r="H304" i="8" s="1"/>
  <c r="K303" i="8"/>
  <c r="L303" i="8" s="1"/>
  <c r="F303" i="8"/>
  <c r="E303" i="8"/>
  <c r="G303" i="8" s="1"/>
  <c r="D303" i="8"/>
  <c r="C303" i="8"/>
  <c r="H303" i="8" s="1"/>
  <c r="I303" i="8" s="1"/>
  <c r="K302" i="8"/>
  <c r="F302" i="8"/>
  <c r="G302" i="8" s="1"/>
  <c r="E302" i="8"/>
  <c r="D302" i="8"/>
  <c r="C302" i="8"/>
  <c r="L302" i="8" s="1"/>
  <c r="K301" i="8"/>
  <c r="F301" i="8"/>
  <c r="E301" i="8"/>
  <c r="G301" i="8" s="1"/>
  <c r="D301" i="8"/>
  <c r="C301" i="8"/>
  <c r="L300" i="8"/>
  <c r="K300" i="8"/>
  <c r="F300" i="8"/>
  <c r="E300" i="8"/>
  <c r="G300" i="8" s="1"/>
  <c r="D300" i="8"/>
  <c r="C300" i="8"/>
  <c r="K299" i="8"/>
  <c r="F299" i="8"/>
  <c r="E299" i="8"/>
  <c r="G299" i="8" s="1"/>
  <c r="D299" i="8"/>
  <c r="H299" i="8" s="1"/>
  <c r="I299" i="8" s="1"/>
  <c r="C299" i="8"/>
  <c r="L298" i="8"/>
  <c r="K298" i="8"/>
  <c r="F298" i="8"/>
  <c r="E298" i="8"/>
  <c r="G298" i="8" s="1"/>
  <c r="D298" i="8"/>
  <c r="C298" i="8"/>
  <c r="H298" i="8" s="1"/>
  <c r="I298" i="8" s="1"/>
  <c r="K297" i="8"/>
  <c r="F297" i="8"/>
  <c r="G297" i="8" s="1"/>
  <c r="E297" i="8"/>
  <c r="D297" i="8"/>
  <c r="C297" i="8"/>
  <c r="L296" i="8"/>
  <c r="K296" i="8"/>
  <c r="H296" i="8"/>
  <c r="I296" i="8" s="1"/>
  <c r="G296" i="8"/>
  <c r="F296" i="8"/>
  <c r="E296" i="8"/>
  <c r="D296" i="8"/>
  <c r="C296" i="8"/>
  <c r="K295" i="8"/>
  <c r="L295" i="8" s="1"/>
  <c r="I295" i="8"/>
  <c r="H295" i="8"/>
  <c r="G295" i="8"/>
  <c r="F295" i="8"/>
  <c r="E295" i="8"/>
  <c r="D295" i="8"/>
  <c r="C295" i="8"/>
  <c r="K294" i="8"/>
  <c r="L294" i="8" s="1"/>
  <c r="H294" i="8"/>
  <c r="F294" i="8"/>
  <c r="E294" i="8"/>
  <c r="D294" i="8"/>
  <c r="C294" i="8"/>
  <c r="K293" i="8"/>
  <c r="H293" i="8"/>
  <c r="F293" i="8"/>
  <c r="E293" i="8"/>
  <c r="D293" i="8"/>
  <c r="C293" i="8"/>
  <c r="K292" i="8"/>
  <c r="H292" i="8"/>
  <c r="F292" i="8"/>
  <c r="E292" i="8"/>
  <c r="G292" i="8" s="1"/>
  <c r="I292" i="8" s="1"/>
  <c r="D292" i="8"/>
  <c r="C292" i="8"/>
  <c r="K291" i="8"/>
  <c r="L291" i="8" s="1"/>
  <c r="H291" i="8"/>
  <c r="F291" i="8"/>
  <c r="G291" i="8" s="1"/>
  <c r="E291" i="8"/>
  <c r="D291" i="8"/>
  <c r="C291" i="8"/>
  <c r="K290" i="8"/>
  <c r="F290" i="8"/>
  <c r="E290" i="8"/>
  <c r="G290" i="8" s="1"/>
  <c r="D290" i="8"/>
  <c r="C290" i="8"/>
  <c r="K289" i="8"/>
  <c r="L289" i="8" s="1"/>
  <c r="F289" i="8"/>
  <c r="E289" i="8"/>
  <c r="G289" i="8" s="1"/>
  <c r="D289" i="8"/>
  <c r="C289" i="8"/>
  <c r="H289" i="8" s="1"/>
  <c r="L288" i="8"/>
  <c r="K288" i="8"/>
  <c r="H288" i="8"/>
  <c r="I288" i="8" s="1"/>
  <c r="F288" i="8"/>
  <c r="G288" i="8" s="1"/>
  <c r="E288" i="8"/>
  <c r="D288" i="8"/>
  <c r="C288" i="8"/>
  <c r="K287" i="8"/>
  <c r="F287" i="8"/>
  <c r="E287" i="8"/>
  <c r="G287" i="8" s="1"/>
  <c r="D287" i="8"/>
  <c r="C287" i="8"/>
  <c r="L286" i="8"/>
  <c r="K286" i="8"/>
  <c r="G286" i="8"/>
  <c r="F286" i="8"/>
  <c r="E286" i="8"/>
  <c r="D286" i="8"/>
  <c r="C286" i="8"/>
  <c r="H286" i="8" s="1"/>
  <c r="L285" i="8"/>
  <c r="K285" i="8"/>
  <c r="F285" i="8"/>
  <c r="E285" i="8"/>
  <c r="D285" i="8"/>
  <c r="H285" i="8" s="1"/>
  <c r="C285" i="8"/>
  <c r="K284" i="8"/>
  <c r="F284" i="8"/>
  <c r="E284" i="8"/>
  <c r="G284" i="8" s="1"/>
  <c r="D284" i="8"/>
  <c r="L284" i="8" s="1"/>
  <c r="C284" i="8"/>
  <c r="K283" i="8"/>
  <c r="F283" i="8"/>
  <c r="G283" i="8" s="1"/>
  <c r="E283" i="8"/>
  <c r="D283" i="8"/>
  <c r="C283" i="8"/>
  <c r="L282" i="8"/>
  <c r="K282" i="8"/>
  <c r="F282" i="8"/>
  <c r="G282" i="8" s="1"/>
  <c r="E282" i="8"/>
  <c r="D282" i="8"/>
  <c r="C282" i="8"/>
  <c r="H282" i="8" s="1"/>
  <c r="I282" i="8" s="1"/>
  <c r="K281" i="8"/>
  <c r="L281" i="8" s="1"/>
  <c r="H281" i="8"/>
  <c r="I281" i="8" s="1"/>
  <c r="G281" i="8"/>
  <c r="F281" i="8"/>
  <c r="E281" i="8"/>
  <c r="D281" i="8"/>
  <c r="C281" i="8"/>
  <c r="K280" i="8"/>
  <c r="L280" i="8" s="1"/>
  <c r="H280" i="8"/>
  <c r="I280" i="8" s="1"/>
  <c r="F280" i="8"/>
  <c r="E280" i="8"/>
  <c r="G280" i="8" s="1"/>
  <c r="D280" i="8"/>
  <c r="C280" i="8"/>
  <c r="L279" i="8"/>
  <c r="K279" i="8"/>
  <c r="H279" i="8"/>
  <c r="F279" i="8"/>
  <c r="E279" i="8"/>
  <c r="D279" i="8"/>
  <c r="C279" i="8"/>
  <c r="K278" i="8"/>
  <c r="H278" i="8"/>
  <c r="I278" i="8" s="1"/>
  <c r="F278" i="8"/>
  <c r="E278" i="8"/>
  <c r="G278" i="8" s="1"/>
  <c r="D278" i="8"/>
  <c r="C278" i="8"/>
  <c r="K277" i="8"/>
  <c r="F277" i="8"/>
  <c r="G277" i="8" s="1"/>
  <c r="E277" i="8"/>
  <c r="D277" i="8"/>
  <c r="H277" i="8" s="1"/>
  <c r="I277" i="8" s="1"/>
  <c r="C277" i="8"/>
  <c r="K276" i="8"/>
  <c r="H276" i="8"/>
  <c r="F276" i="8"/>
  <c r="E276" i="8"/>
  <c r="G276" i="8" s="1"/>
  <c r="D276" i="8"/>
  <c r="C276" i="8"/>
  <c r="K275" i="8"/>
  <c r="F275" i="8"/>
  <c r="E275" i="8"/>
  <c r="G275" i="8" s="1"/>
  <c r="D275" i="8"/>
  <c r="C275" i="8"/>
  <c r="L274" i="8"/>
  <c r="K274" i="8"/>
  <c r="F274" i="8"/>
  <c r="G274" i="8" s="1"/>
  <c r="E274" i="8"/>
  <c r="D274" i="8"/>
  <c r="C274" i="8"/>
  <c r="H274" i="8" s="1"/>
  <c r="I274" i="8" s="1"/>
  <c r="K273" i="8"/>
  <c r="F273" i="8"/>
  <c r="E273" i="8"/>
  <c r="G273" i="8" s="1"/>
  <c r="D273" i="8"/>
  <c r="C273" i="8"/>
  <c r="K230" i="8"/>
  <c r="F230" i="8"/>
  <c r="E230" i="8"/>
  <c r="G230" i="8" s="1"/>
  <c r="D230" i="8"/>
  <c r="C230" i="8"/>
  <c r="H230" i="8" s="1"/>
  <c r="I230" i="8" s="1"/>
  <c r="K229" i="8"/>
  <c r="F229" i="8"/>
  <c r="E229" i="8"/>
  <c r="G229" i="8" s="1"/>
  <c r="D229" i="8"/>
  <c r="C229" i="8"/>
  <c r="H229" i="8" s="1"/>
  <c r="I229" i="8" s="1"/>
  <c r="K228" i="8"/>
  <c r="F228" i="8"/>
  <c r="E228" i="8"/>
  <c r="G228" i="8" s="1"/>
  <c r="D228" i="8"/>
  <c r="C228" i="8"/>
  <c r="H228" i="8" s="1"/>
  <c r="I228" i="8" s="1"/>
  <c r="K227" i="8"/>
  <c r="L227" i="8" s="1"/>
  <c r="F227" i="8"/>
  <c r="E227" i="8"/>
  <c r="G227" i="8" s="1"/>
  <c r="I227" i="8" s="1"/>
  <c r="J227" i="8" s="1"/>
  <c r="D227" i="8"/>
  <c r="C227" i="8"/>
  <c r="H227" i="8" s="1"/>
  <c r="K226" i="8"/>
  <c r="L226" i="8" s="1"/>
  <c r="H226" i="8"/>
  <c r="F226" i="8"/>
  <c r="G226" i="8" s="1"/>
  <c r="E226" i="8"/>
  <c r="D226" i="8"/>
  <c r="C226" i="8"/>
  <c r="K225" i="8"/>
  <c r="F225" i="8"/>
  <c r="E225" i="8"/>
  <c r="G225" i="8" s="1"/>
  <c r="D225" i="8"/>
  <c r="H225" i="8" s="1"/>
  <c r="I225" i="8" s="1"/>
  <c r="C225" i="8"/>
  <c r="K224" i="8"/>
  <c r="F224" i="8"/>
  <c r="E224" i="8"/>
  <c r="G224" i="8" s="1"/>
  <c r="D224" i="8"/>
  <c r="H224" i="8" s="1"/>
  <c r="I224" i="8" s="1"/>
  <c r="C224" i="8"/>
  <c r="L223" i="8"/>
  <c r="K223" i="8"/>
  <c r="H223" i="8"/>
  <c r="I223" i="8" s="1"/>
  <c r="G223" i="8"/>
  <c r="F223" i="8"/>
  <c r="E223" i="8"/>
  <c r="D223" i="8"/>
  <c r="C223" i="8"/>
  <c r="L222" i="8"/>
  <c r="K222" i="8"/>
  <c r="F222" i="8"/>
  <c r="E222" i="8"/>
  <c r="G222" i="8" s="1"/>
  <c r="D222" i="8"/>
  <c r="C222" i="8"/>
  <c r="H222" i="8" s="1"/>
  <c r="I222" i="8" s="1"/>
  <c r="K221" i="8"/>
  <c r="F221" i="8"/>
  <c r="E221" i="8"/>
  <c r="G221" i="8" s="1"/>
  <c r="D221" i="8"/>
  <c r="C221" i="8"/>
  <c r="H221" i="8" s="1"/>
  <c r="K220" i="8"/>
  <c r="L220" i="8" s="1"/>
  <c r="G220" i="8"/>
  <c r="F220" i="8"/>
  <c r="E220" i="8"/>
  <c r="D220" i="8"/>
  <c r="C220" i="8"/>
  <c r="H220" i="8" s="1"/>
  <c r="I220" i="8" s="1"/>
  <c r="K219" i="8"/>
  <c r="F219" i="8"/>
  <c r="E219" i="8"/>
  <c r="G219" i="8" s="1"/>
  <c r="D219" i="8"/>
  <c r="C219" i="8"/>
  <c r="H219" i="8" s="1"/>
  <c r="I219" i="8" s="1"/>
  <c r="K218" i="8"/>
  <c r="L218" i="8" s="1"/>
  <c r="F218" i="8"/>
  <c r="G218" i="8" s="1"/>
  <c r="E218" i="8"/>
  <c r="D218" i="8"/>
  <c r="C218" i="8"/>
  <c r="K217" i="8"/>
  <c r="L217" i="8" s="1"/>
  <c r="F217" i="8"/>
  <c r="E217" i="8"/>
  <c r="D217" i="8"/>
  <c r="C217" i="8"/>
  <c r="H217" i="8" s="1"/>
  <c r="K216" i="8"/>
  <c r="G216" i="8"/>
  <c r="F216" i="8"/>
  <c r="E216" i="8"/>
  <c r="D216" i="8"/>
  <c r="C216" i="8"/>
  <c r="K215" i="8"/>
  <c r="F215" i="8"/>
  <c r="E215" i="8"/>
  <c r="D215" i="8"/>
  <c r="H215" i="8" s="1"/>
  <c r="C215" i="8"/>
  <c r="K214" i="8"/>
  <c r="F214" i="8"/>
  <c r="E214" i="8"/>
  <c r="G214" i="8" s="1"/>
  <c r="D214" i="8"/>
  <c r="C214" i="8"/>
  <c r="H214" i="8" s="1"/>
  <c r="I214" i="8" s="1"/>
  <c r="K213" i="8"/>
  <c r="L213" i="8" s="1"/>
  <c r="I213" i="8"/>
  <c r="F213" i="8"/>
  <c r="E213" i="8"/>
  <c r="G213" i="8" s="1"/>
  <c r="D213" i="8"/>
  <c r="C213" i="8"/>
  <c r="H213" i="8" s="1"/>
  <c r="K212" i="8"/>
  <c r="L212" i="8" s="1"/>
  <c r="H212" i="8"/>
  <c r="G212" i="8"/>
  <c r="F212" i="8"/>
  <c r="E212" i="8"/>
  <c r="D212" i="8"/>
  <c r="C212" i="8"/>
  <c r="K211" i="8"/>
  <c r="G211" i="8"/>
  <c r="F211" i="8"/>
  <c r="E211" i="8"/>
  <c r="D211" i="8"/>
  <c r="C211" i="8"/>
  <c r="K210" i="8"/>
  <c r="L210" i="8" s="1"/>
  <c r="H210" i="8"/>
  <c r="F210" i="8"/>
  <c r="E210" i="8"/>
  <c r="G210" i="8" s="1"/>
  <c r="D210" i="8"/>
  <c r="C210" i="8"/>
  <c r="L209" i="8"/>
  <c r="K209" i="8"/>
  <c r="H209" i="8"/>
  <c r="I209" i="8" s="1"/>
  <c r="G209" i="8"/>
  <c r="F209" i="8"/>
  <c r="E209" i="8"/>
  <c r="D209" i="8"/>
  <c r="C209" i="8"/>
  <c r="K208" i="8"/>
  <c r="F208" i="8"/>
  <c r="G208" i="8" s="1"/>
  <c r="I208" i="8" s="1"/>
  <c r="E208" i="8"/>
  <c r="D208" i="8"/>
  <c r="C208" i="8"/>
  <c r="H208" i="8" s="1"/>
  <c r="K207" i="8"/>
  <c r="L207" i="8" s="1"/>
  <c r="F207" i="8"/>
  <c r="E207" i="8"/>
  <c r="G207" i="8" s="1"/>
  <c r="D207" i="8"/>
  <c r="C207" i="8"/>
  <c r="K206" i="8"/>
  <c r="L206" i="8" s="1"/>
  <c r="G206" i="8"/>
  <c r="F206" i="8"/>
  <c r="E206" i="8"/>
  <c r="D206" i="8"/>
  <c r="C206" i="8"/>
  <c r="H206" i="8" s="1"/>
  <c r="I206" i="8" s="1"/>
  <c r="L205" i="8"/>
  <c r="K205" i="8"/>
  <c r="H205" i="8"/>
  <c r="I205" i="8" s="1"/>
  <c r="F205" i="8"/>
  <c r="E205" i="8"/>
  <c r="G205" i="8" s="1"/>
  <c r="D205" i="8"/>
  <c r="C205" i="8"/>
  <c r="K204" i="8"/>
  <c r="F204" i="8"/>
  <c r="G204" i="8" s="1"/>
  <c r="E204" i="8"/>
  <c r="D204" i="8"/>
  <c r="C204" i="8"/>
  <c r="H204" i="8" s="1"/>
  <c r="I204" i="8" s="1"/>
  <c r="J204" i="8" s="1"/>
  <c r="K203" i="8"/>
  <c r="F203" i="8"/>
  <c r="E203" i="8"/>
  <c r="G203" i="8" s="1"/>
  <c r="D203" i="8"/>
  <c r="C203" i="8"/>
  <c r="H203" i="8" s="1"/>
  <c r="I203" i="8" s="1"/>
  <c r="K202" i="8"/>
  <c r="L202" i="8" s="1"/>
  <c r="G202" i="8"/>
  <c r="F202" i="8"/>
  <c r="E202" i="8"/>
  <c r="D202" i="8"/>
  <c r="C202" i="8"/>
  <c r="H202" i="8" s="1"/>
  <c r="I202" i="8" s="1"/>
  <c r="K201" i="8"/>
  <c r="F201" i="8"/>
  <c r="E201" i="8"/>
  <c r="G201" i="8" s="1"/>
  <c r="D201" i="8"/>
  <c r="C201" i="8"/>
  <c r="H201" i="8" s="1"/>
  <c r="I201" i="8" s="1"/>
  <c r="K200" i="8"/>
  <c r="F200" i="8"/>
  <c r="E200" i="8"/>
  <c r="G200" i="8" s="1"/>
  <c r="D200" i="8"/>
  <c r="C200" i="8"/>
  <c r="H200" i="8" s="1"/>
  <c r="I200" i="8" s="1"/>
  <c r="K199" i="8"/>
  <c r="F199" i="8"/>
  <c r="E199" i="8"/>
  <c r="G199" i="8" s="1"/>
  <c r="D199" i="8"/>
  <c r="C199" i="8"/>
  <c r="H199" i="8" s="1"/>
  <c r="I199" i="8" s="1"/>
  <c r="K198" i="8"/>
  <c r="L198" i="8" s="1"/>
  <c r="H198" i="8"/>
  <c r="F198" i="8"/>
  <c r="E198" i="8"/>
  <c r="G198" i="8" s="1"/>
  <c r="D198" i="8"/>
  <c r="C198" i="8"/>
  <c r="K197" i="8"/>
  <c r="F197" i="8"/>
  <c r="E197" i="8"/>
  <c r="G197" i="8" s="1"/>
  <c r="D197" i="8"/>
  <c r="C197" i="8"/>
  <c r="K196" i="8"/>
  <c r="L196" i="8" s="1"/>
  <c r="H196" i="8"/>
  <c r="I196" i="8" s="1"/>
  <c r="F196" i="8"/>
  <c r="E196" i="8"/>
  <c r="G196" i="8" s="1"/>
  <c r="D196" i="8"/>
  <c r="C196" i="8"/>
  <c r="L195" i="8"/>
  <c r="K195" i="8"/>
  <c r="H195" i="8"/>
  <c r="I195" i="8" s="1"/>
  <c r="G195" i="8"/>
  <c r="F195" i="8"/>
  <c r="E195" i="8"/>
  <c r="D195" i="8"/>
  <c r="C195" i="8"/>
  <c r="L194" i="8"/>
  <c r="K194" i="8"/>
  <c r="F194" i="8"/>
  <c r="E194" i="8"/>
  <c r="G194" i="8" s="1"/>
  <c r="D194" i="8"/>
  <c r="C194" i="8"/>
  <c r="H194" i="8" s="1"/>
  <c r="K193" i="8"/>
  <c r="L193" i="8" s="1"/>
  <c r="G193" i="8"/>
  <c r="I193" i="8" s="1"/>
  <c r="F193" i="8"/>
  <c r="E193" i="8"/>
  <c r="D193" i="8"/>
  <c r="C193" i="8"/>
  <c r="H193" i="8" s="1"/>
  <c r="K192" i="8"/>
  <c r="L192" i="8" s="1"/>
  <c r="G192" i="8"/>
  <c r="F192" i="8"/>
  <c r="E192" i="8"/>
  <c r="D192" i="8"/>
  <c r="C192" i="8"/>
  <c r="K191" i="8"/>
  <c r="G191" i="8"/>
  <c r="F191" i="8"/>
  <c r="E191" i="8"/>
  <c r="D191" i="8"/>
  <c r="C191" i="8"/>
  <c r="H191" i="8" s="1"/>
  <c r="I191" i="8" s="1"/>
  <c r="K190" i="8"/>
  <c r="L190" i="8" s="1"/>
  <c r="H190" i="8"/>
  <c r="I190" i="8" s="1"/>
  <c r="F190" i="8"/>
  <c r="G190" i="8" s="1"/>
  <c r="E190" i="8"/>
  <c r="D190" i="8"/>
  <c r="C190" i="8"/>
  <c r="K189" i="8"/>
  <c r="F189" i="8"/>
  <c r="E189" i="8"/>
  <c r="G189" i="8" s="1"/>
  <c r="D189" i="8"/>
  <c r="L189" i="8" s="1"/>
  <c r="C189" i="8"/>
  <c r="K188" i="8"/>
  <c r="F188" i="8"/>
  <c r="E188" i="8"/>
  <c r="G188" i="8" s="1"/>
  <c r="D188" i="8"/>
  <c r="C188" i="8"/>
  <c r="K187" i="8"/>
  <c r="F187" i="8"/>
  <c r="E187" i="8"/>
  <c r="G187" i="8" s="1"/>
  <c r="D187" i="8"/>
  <c r="C187" i="8"/>
  <c r="H187" i="8" s="1"/>
  <c r="I187" i="8" s="1"/>
  <c r="K186" i="8"/>
  <c r="L186" i="8" s="1"/>
  <c r="H186" i="8"/>
  <c r="F186" i="8"/>
  <c r="E186" i="8"/>
  <c r="D186" i="8"/>
  <c r="C186" i="8"/>
  <c r="K185" i="8"/>
  <c r="G185" i="8"/>
  <c r="I185" i="8" s="1"/>
  <c r="F185" i="8"/>
  <c r="E185" i="8"/>
  <c r="D185" i="8"/>
  <c r="C185" i="8"/>
  <c r="H185" i="8" s="1"/>
  <c r="L184" i="8"/>
  <c r="K184" i="8"/>
  <c r="H184" i="8"/>
  <c r="G184" i="8"/>
  <c r="F184" i="8"/>
  <c r="E184" i="8"/>
  <c r="D184" i="8"/>
  <c r="C184" i="8"/>
  <c r="K183" i="8"/>
  <c r="F183" i="8"/>
  <c r="E183" i="8"/>
  <c r="G183" i="8" s="1"/>
  <c r="D183" i="8"/>
  <c r="C183" i="8"/>
  <c r="L183" i="8" s="1"/>
  <c r="K140" i="8"/>
  <c r="F140" i="8"/>
  <c r="E140" i="8"/>
  <c r="D140" i="8"/>
  <c r="C140" i="8"/>
  <c r="H140" i="8" s="1"/>
  <c r="K139" i="8"/>
  <c r="F139" i="8"/>
  <c r="E139" i="8"/>
  <c r="G139" i="8" s="1"/>
  <c r="D139" i="8"/>
  <c r="C139" i="8"/>
  <c r="H139" i="8" s="1"/>
  <c r="K138" i="8"/>
  <c r="F138" i="8"/>
  <c r="E138" i="8"/>
  <c r="G138" i="8" s="1"/>
  <c r="D138" i="8"/>
  <c r="C138" i="8"/>
  <c r="K137" i="8"/>
  <c r="F137" i="8"/>
  <c r="E137" i="8"/>
  <c r="G137" i="8" s="1"/>
  <c r="D137" i="8"/>
  <c r="C137" i="8"/>
  <c r="H137" i="8" s="1"/>
  <c r="K136" i="8"/>
  <c r="F136" i="8"/>
  <c r="E136" i="8"/>
  <c r="D136" i="8"/>
  <c r="C136" i="8"/>
  <c r="K135" i="8"/>
  <c r="F135" i="8"/>
  <c r="E135" i="8"/>
  <c r="G135" i="8" s="1"/>
  <c r="D135" i="8"/>
  <c r="C135" i="8"/>
  <c r="K134" i="8"/>
  <c r="F134" i="8"/>
  <c r="E134" i="8"/>
  <c r="G134" i="8" s="1"/>
  <c r="D134" i="8"/>
  <c r="C134" i="8"/>
  <c r="H134" i="8" s="1"/>
  <c r="K133" i="8"/>
  <c r="F133" i="8"/>
  <c r="E133" i="8"/>
  <c r="D133" i="8"/>
  <c r="C133" i="8"/>
  <c r="H133" i="8" s="1"/>
  <c r="K132" i="8"/>
  <c r="F132" i="8"/>
  <c r="E132" i="8"/>
  <c r="G132" i="8" s="1"/>
  <c r="D132" i="8"/>
  <c r="C132" i="8"/>
  <c r="K131" i="8"/>
  <c r="F131" i="8"/>
  <c r="E131" i="8"/>
  <c r="G131" i="8" s="1"/>
  <c r="D131" i="8"/>
  <c r="C131" i="8"/>
  <c r="H131" i="8" s="1"/>
  <c r="K130" i="8"/>
  <c r="F130" i="8"/>
  <c r="E130" i="8"/>
  <c r="D130" i="8"/>
  <c r="C130" i="8"/>
  <c r="K129" i="8"/>
  <c r="F129" i="8"/>
  <c r="E129" i="8"/>
  <c r="D129" i="8"/>
  <c r="C129" i="8"/>
  <c r="H129" i="8" s="1"/>
  <c r="K128" i="8"/>
  <c r="F128" i="8"/>
  <c r="E128" i="8"/>
  <c r="D128" i="8"/>
  <c r="C128" i="8"/>
  <c r="K127" i="8"/>
  <c r="F127" i="8"/>
  <c r="E127" i="8"/>
  <c r="G127" i="8" s="1"/>
  <c r="D127" i="8"/>
  <c r="C127" i="8"/>
  <c r="K126" i="8"/>
  <c r="F126" i="8"/>
  <c r="E126" i="8"/>
  <c r="D126" i="8"/>
  <c r="C126" i="8"/>
  <c r="H126" i="8" s="1"/>
  <c r="K125" i="8"/>
  <c r="F125" i="8"/>
  <c r="E125" i="8"/>
  <c r="G125" i="8" s="1"/>
  <c r="D125" i="8"/>
  <c r="C125" i="8"/>
  <c r="K124" i="8"/>
  <c r="F124" i="8"/>
  <c r="E124" i="8"/>
  <c r="G124" i="8" s="1"/>
  <c r="D124" i="8"/>
  <c r="C124" i="8"/>
  <c r="K123" i="8"/>
  <c r="F123" i="8"/>
  <c r="E123" i="8"/>
  <c r="G123" i="8" s="1"/>
  <c r="D123" i="8"/>
  <c r="C123" i="8"/>
  <c r="H123" i="8" s="1"/>
  <c r="I123" i="8" s="1"/>
  <c r="K122" i="8"/>
  <c r="F122" i="8"/>
  <c r="E122" i="8"/>
  <c r="D122" i="8"/>
  <c r="C122" i="8"/>
  <c r="H122" i="8" s="1"/>
  <c r="K121" i="8"/>
  <c r="F121" i="8"/>
  <c r="E121" i="8"/>
  <c r="D121" i="8"/>
  <c r="C121" i="8"/>
  <c r="H121" i="8" s="1"/>
  <c r="K120" i="8"/>
  <c r="F120" i="8"/>
  <c r="E120" i="8"/>
  <c r="D120" i="8"/>
  <c r="C120" i="8"/>
  <c r="H120" i="8" s="1"/>
  <c r="K119" i="8"/>
  <c r="F119" i="8"/>
  <c r="E119" i="8"/>
  <c r="G119" i="8" s="1"/>
  <c r="D119" i="8"/>
  <c r="C119" i="8"/>
  <c r="H119" i="8" s="1"/>
  <c r="I119" i="8" s="1"/>
  <c r="K118" i="8"/>
  <c r="F118" i="8"/>
  <c r="E118" i="8"/>
  <c r="D118" i="8"/>
  <c r="C118" i="8"/>
  <c r="K117" i="8"/>
  <c r="F117" i="8"/>
  <c r="E117" i="8"/>
  <c r="G117" i="8" s="1"/>
  <c r="D117" i="8"/>
  <c r="C117" i="8"/>
  <c r="H117" i="8" s="1"/>
  <c r="I117" i="8" s="1"/>
  <c r="K116" i="8"/>
  <c r="F116" i="8"/>
  <c r="E116" i="8"/>
  <c r="D116" i="8"/>
  <c r="C116" i="8"/>
  <c r="K115" i="8"/>
  <c r="F115" i="8"/>
  <c r="E115" i="8"/>
  <c r="G115" i="8" s="1"/>
  <c r="D115" i="8"/>
  <c r="C115" i="8"/>
  <c r="H115" i="8" s="1"/>
  <c r="I115" i="8" s="1"/>
  <c r="K114" i="8"/>
  <c r="F114" i="8"/>
  <c r="E114" i="8"/>
  <c r="D114" i="8"/>
  <c r="C114" i="8"/>
  <c r="K113" i="8"/>
  <c r="F113" i="8"/>
  <c r="E113" i="8"/>
  <c r="G113" i="8" s="1"/>
  <c r="D113" i="8"/>
  <c r="C113" i="8"/>
  <c r="H113" i="8" s="1"/>
  <c r="K112" i="8"/>
  <c r="F112" i="8"/>
  <c r="E112" i="8"/>
  <c r="D112" i="8"/>
  <c r="C112" i="8"/>
  <c r="H112" i="8" s="1"/>
  <c r="K111" i="8"/>
  <c r="F111" i="8"/>
  <c r="E111" i="8"/>
  <c r="D111" i="8"/>
  <c r="C111" i="8"/>
  <c r="K110" i="8"/>
  <c r="F110" i="8"/>
  <c r="E110" i="8"/>
  <c r="G110" i="8" s="1"/>
  <c r="D110" i="8"/>
  <c r="C110" i="8"/>
  <c r="K109" i="8"/>
  <c r="F109" i="8"/>
  <c r="E109" i="8"/>
  <c r="G109" i="8" s="1"/>
  <c r="D109" i="8"/>
  <c r="C109" i="8"/>
  <c r="H109" i="8" s="1"/>
  <c r="I109" i="8" s="1"/>
  <c r="K108" i="8"/>
  <c r="F108" i="8"/>
  <c r="E108" i="8"/>
  <c r="D108" i="8"/>
  <c r="C108" i="8"/>
  <c r="K107" i="8"/>
  <c r="F107" i="8"/>
  <c r="E107" i="8"/>
  <c r="G107" i="8" s="1"/>
  <c r="D107" i="8"/>
  <c r="C107" i="8"/>
  <c r="K106" i="8"/>
  <c r="F106" i="8"/>
  <c r="E106" i="8"/>
  <c r="G106" i="8" s="1"/>
  <c r="D106" i="8"/>
  <c r="C106" i="8"/>
  <c r="H106" i="8" s="1"/>
  <c r="K105" i="8"/>
  <c r="F105" i="8"/>
  <c r="E105" i="8"/>
  <c r="G105" i="8" s="1"/>
  <c r="D105" i="8"/>
  <c r="C105" i="8"/>
  <c r="K104" i="8"/>
  <c r="F104" i="8"/>
  <c r="E104" i="8"/>
  <c r="G104" i="8" s="1"/>
  <c r="D104" i="8"/>
  <c r="C104" i="8"/>
  <c r="H104" i="8" s="1"/>
  <c r="I104" i="8" s="1"/>
  <c r="K103" i="8"/>
  <c r="F103" i="8"/>
  <c r="E103" i="8"/>
  <c r="G103" i="8" s="1"/>
  <c r="D103" i="8"/>
  <c r="C103" i="8"/>
  <c r="K102" i="8"/>
  <c r="F102" i="8"/>
  <c r="E102" i="8"/>
  <c r="D102" i="8"/>
  <c r="C102" i="8"/>
  <c r="K101" i="8"/>
  <c r="F101" i="8"/>
  <c r="E101" i="8"/>
  <c r="D101" i="8"/>
  <c r="C101" i="8"/>
  <c r="H101" i="8" s="1"/>
  <c r="K100" i="8"/>
  <c r="F100" i="8"/>
  <c r="E100" i="8"/>
  <c r="D100" i="8"/>
  <c r="C100" i="8"/>
  <c r="K99" i="8"/>
  <c r="F99" i="8"/>
  <c r="E99" i="8"/>
  <c r="G99" i="8" s="1"/>
  <c r="D99" i="8"/>
  <c r="C99" i="8"/>
  <c r="K98" i="8"/>
  <c r="F98" i="8"/>
  <c r="E98" i="8"/>
  <c r="D98" i="8"/>
  <c r="C98" i="8"/>
  <c r="H98" i="8" s="1"/>
  <c r="K97" i="8"/>
  <c r="F97" i="8"/>
  <c r="E97" i="8"/>
  <c r="G97" i="8" s="1"/>
  <c r="D97" i="8"/>
  <c r="C97" i="8"/>
  <c r="K96" i="8"/>
  <c r="F96" i="8"/>
  <c r="E96" i="8"/>
  <c r="D96" i="8"/>
  <c r="C96" i="8"/>
  <c r="K95" i="8"/>
  <c r="F95" i="8"/>
  <c r="E95" i="8"/>
  <c r="G95" i="8" s="1"/>
  <c r="D95" i="8"/>
  <c r="C95" i="8"/>
  <c r="H95" i="8" s="1"/>
  <c r="I95" i="8" s="1"/>
  <c r="K94" i="8"/>
  <c r="F94" i="8"/>
  <c r="E94" i="8"/>
  <c r="D94" i="8"/>
  <c r="C94" i="8"/>
  <c r="H94" i="8" s="1"/>
  <c r="K93" i="8"/>
  <c r="F93" i="8"/>
  <c r="E93" i="8"/>
  <c r="D93" i="8"/>
  <c r="C93" i="8"/>
  <c r="H93" i="8" s="1"/>
  <c r="K50" i="8"/>
  <c r="F50" i="8"/>
  <c r="E50" i="8"/>
  <c r="G50" i="8" s="1"/>
  <c r="D50" i="8"/>
  <c r="C50" i="8"/>
  <c r="H50" i="8" s="1"/>
  <c r="I50" i="8" s="1"/>
  <c r="K49" i="8"/>
  <c r="F49" i="8"/>
  <c r="E49" i="8"/>
  <c r="D49" i="8"/>
  <c r="C49" i="8"/>
  <c r="H49" i="8" s="1"/>
  <c r="K48" i="8"/>
  <c r="F48" i="8"/>
  <c r="E48" i="8"/>
  <c r="D48" i="8"/>
  <c r="C48" i="8"/>
  <c r="H48" i="8" s="1"/>
  <c r="K47" i="8"/>
  <c r="F47" i="8"/>
  <c r="E47" i="8"/>
  <c r="G47" i="8" s="1"/>
  <c r="D47" i="8"/>
  <c r="C47" i="8"/>
  <c r="H47" i="8" s="1"/>
  <c r="K46" i="8"/>
  <c r="F46" i="8"/>
  <c r="E46" i="8"/>
  <c r="G46" i="8" s="1"/>
  <c r="D46" i="8"/>
  <c r="C46" i="8"/>
  <c r="H46" i="8" s="1"/>
  <c r="I46" i="8" s="1"/>
  <c r="K45" i="8"/>
  <c r="F45" i="8"/>
  <c r="E45" i="8"/>
  <c r="G45" i="8" s="1"/>
  <c r="D45" i="8"/>
  <c r="C45" i="8"/>
  <c r="H45" i="8" s="1"/>
  <c r="K44" i="8"/>
  <c r="F44" i="8"/>
  <c r="E44" i="8"/>
  <c r="G44" i="8" s="1"/>
  <c r="D44" i="8"/>
  <c r="C44" i="8"/>
  <c r="H44" i="8" s="1"/>
  <c r="I44" i="8" s="1"/>
  <c r="K43" i="8"/>
  <c r="F43" i="8"/>
  <c r="E43" i="8"/>
  <c r="G43" i="8" s="1"/>
  <c r="D43" i="8"/>
  <c r="C43" i="8"/>
  <c r="H43" i="8" s="1"/>
  <c r="K42" i="8"/>
  <c r="F42" i="8"/>
  <c r="E42" i="8"/>
  <c r="G42" i="8" s="1"/>
  <c r="D42" i="8"/>
  <c r="C42" i="8"/>
  <c r="K41" i="8"/>
  <c r="F41" i="8"/>
  <c r="E41" i="8"/>
  <c r="G41" i="8" s="1"/>
  <c r="D41" i="8"/>
  <c r="C41" i="8"/>
  <c r="H41" i="8" s="1"/>
  <c r="I41" i="8" s="1"/>
  <c r="K40" i="8"/>
  <c r="F40" i="8"/>
  <c r="E40" i="8"/>
  <c r="G40" i="8" s="1"/>
  <c r="D40" i="8"/>
  <c r="C40" i="8"/>
  <c r="H40" i="8" s="1"/>
  <c r="K39" i="8"/>
  <c r="F39" i="8"/>
  <c r="E39" i="8"/>
  <c r="G39" i="8" s="1"/>
  <c r="D39" i="8"/>
  <c r="C39" i="8"/>
  <c r="K38" i="8"/>
  <c r="F38" i="8"/>
  <c r="E38" i="8"/>
  <c r="G38" i="8" s="1"/>
  <c r="D38" i="8"/>
  <c r="C38" i="8"/>
  <c r="H38" i="8" s="1"/>
  <c r="K37" i="8"/>
  <c r="F37" i="8"/>
  <c r="E37" i="8"/>
  <c r="G37" i="8" s="1"/>
  <c r="D37" i="8"/>
  <c r="C37" i="8"/>
  <c r="K36" i="8"/>
  <c r="F36" i="8"/>
  <c r="E36" i="8"/>
  <c r="G36" i="8" s="1"/>
  <c r="D36" i="8"/>
  <c r="C36" i="8"/>
  <c r="K35" i="8"/>
  <c r="F35" i="8"/>
  <c r="E35" i="8"/>
  <c r="D35" i="8"/>
  <c r="C35" i="8"/>
  <c r="H35" i="8" s="1"/>
  <c r="K34" i="8"/>
  <c r="F34" i="8"/>
  <c r="E34" i="8"/>
  <c r="D34" i="8"/>
  <c r="C34" i="8"/>
  <c r="K33" i="8"/>
  <c r="F33" i="8"/>
  <c r="E33" i="8"/>
  <c r="G33" i="8" s="1"/>
  <c r="D33" i="8"/>
  <c r="C33" i="8"/>
  <c r="K32" i="8"/>
  <c r="F32" i="8"/>
  <c r="E32" i="8"/>
  <c r="G32" i="8" s="1"/>
  <c r="D32" i="8"/>
  <c r="C32" i="8"/>
  <c r="H32" i="8" s="1"/>
  <c r="I32" i="8" s="1"/>
  <c r="K31" i="8"/>
  <c r="F31" i="8"/>
  <c r="E31" i="8"/>
  <c r="D31" i="8"/>
  <c r="C31" i="8"/>
  <c r="H31" i="8" s="1"/>
  <c r="K30" i="8"/>
  <c r="F30" i="8"/>
  <c r="E30" i="8"/>
  <c r="G30" i="8" s="1"/>
  <c r="D30" i="8"/>
  <c r="C30" i="8"/>
  <c r="H30" i="8" s="1"/>
  <c r="K29" i="8"/>
  <c r="F29" i="8"/>
  <c r="E29" i="8"/>
  <c r="G29" i="8" s="1"/>
  <c r="D29" i="8"/>
  <c r="C29" i="8"/>
  <c r="K28" i="8"/>
  <c r="F28" i="8"/>
  <c r="E28" i="8"/>
  <c r="G28" i="8" s="1"/>
  <c r="D28" i="8"/>
  <c r="C28" i="8"/>
  <c r="L28" i="8" s="1"/>
  <c r="K27" i="8"/>
  <c r="F27" i="8"/>
  <c r="E27" i="8"/>
  <c r="G27" i="8" s="1"/>
  <c r="D27" i="8"/>
  <c r="C27" i="8"/>
  <c r="H27" i="8" s="1"/>
  <c r="I27" i="8" s="1"/>
  <c r="K26" i="8"/>
  <c r="F26" i="8"/>
  <c r="E26" i="8"/>
  <c r="D26" i="8"/>
  <c r="C26" i="8"/>
  <c r="K25" i="8"/>
  <c r="F25" i="8"/>
  <c r="E25" i="8"/>
  <c r="G25" i="8" s="1"/>
  <c r="D25" i="8"/>
  <c r="C25" i="8"/>
  <c r="K24" i="8"/>
  <c r="F24" i="8"/>
  <c r="E24" i="8"/>
  <c r="G24" i="8" s="1"/>
  <c r="D24" i="8"/>
  <c r="C24" i="8"/>
  <c r="K23" i="8"/>
  <c r="F23" i="8"/>
  <c r="E23" i="8"/>
  <c r="D23" i="8"/>
  <c r="C23" i="8"/>
  <c r="H23" i="8" s="1"/>
  <c r="K22" i="8"/>
  <c r="F22" i="8"/>
  <c r="E22" i="8"/>
  <c r="G22" i="8" s="1"/>
  <c r="D22" i="8"/>
  <c r="C22" i="8"/>
  <c r="H22" i="8" s="1"/>
  <c r="I22" i="8" s="1"/>
  <c r="K21" i="8"/>
  <c r="F21" i="8"/>
  <c r="E21" i="8"/>
  <c r="G21" i="8" s="1"/>
  <c r="D21" i="8"/>
  <c r="C21" i="8"/>
  <c r="H21" i="8" s="1"/>
  <c r="K20" i="8"/>
  <c r="F20" i="8"/>
  <c r="E20" i="8"/>
  <c r="D20" i="8"/>
  <c r="C20" i="8"/>
  <c r="K19" i="8"/>
  <c r="F19" i="8"/>
  <c r="E19" i="8"/>
  <c r="G19" i="8" s="1"/>
  <c r="D19" i="8"/>
  <c r="C19" i="8"/>
  <c r="H19" i="8" s="1"/>
  <c r="K18" i="8"/>
  <c r="F18" i="8"/>
  <c r="E18" i="8"/>
  <c r="G18" i="8" s="1"/>
  <c r="D18" i="8"/>
  <c r="C18" i="8"/>
  <c r="H18" i="8" s="1"/>
  <c r="I18" i="8" s="1"/>
  <c r="K17" i="8"/>
  <c r="F17" i="8"/>
  <c r="E17" i="8"/>
  <c r="G17" i="8" s="1"/>
  <c r="D17" i="8"/>
  <c r="C17" i="8"/>
  <c r="H17" i="8" s="1"/>
  <c r="I17" i="8" s="1"/>
  <c r="K16" i="8"/>
  <c r="F16" i="8"/>
  <c r="E16" i="8"/>
  <c r="G16" i="8" s="1"/>
  <c r="D16" i="8"/>
  <c r="C16" i="8"/>
  <c r="H16" i="8" s="1"/>
  <c r="I16" i="8" s="1"/>
  <c r="K15" i="8"/>
  <c r="F15" i="8"/>
  <c r="E15" i="8"/>
  <c r="G15" i="8" s="1"/>
  <c r="D15" i="8"/>
  <c r="C15" i="8"/>
  <c r="K14" i="8"/>
  <c r="F14" i="8"/>
  <c r="E14" i="8"/>
  <c r="G14" i="8" s="1"/>
  <c r="D14" i="8"/>
  <c r="C14" i="8"/>
  <c r="H14" i="8" s="1"/>
  <c r="K13" i="8"/>
  <c r="F13" i="8"/>
  <c r="E13" i="8"/>
  <c r="G13" i="8" s="1"/>
  <c r="D13" i="8"/>
  <c r="C13" i="8"/>
  <c r="H13" i="8" s="1"/>
  <c r="I13" i="8" s="1"/>
  <c r="K12" i="8"/>
  <c r="F12" i="8"/>
  <c r="E12" i="8"/>
  <c r="G12" i="8" s="1"/>
  <c r="D12" i="8"/>
  <c r="C12" i="8"/>
  <c r="H12" i="8" s="1"/>
  <c r="K11" i="8"/>
  <c r="F11" i="8"/>
  <c r="E11" i="8"/>
  <c r="G11" i="8" s="1"/>
  <c r="D11" i="8"/>
  <c r="C11" i="8"/>
  <c r="H11" i="8" s="1"/>
  <c r="K10" i="8"/>
  <c r="F10" i="8"/>
  <c r="E10" i="8"/>
  <c r="G10" i="8" s="1"/>
  <c r="D10" i="8"/>
  <c r="C10" i="8"/>
  <c r="K9" i="8"/>
  <c r="F9" i="8"/>
  <c r="E9" i="8"/>
  <c r="D9" i="8"/>
  <c r="C9" i="8"/>
  <c r="K8" i="8"/>
  <c r="F8" i="8"/>
  <c r="E8" i="8"/>
  <c r="G8" i="8" s="1"/>
  <c r="D8" i="8"/>
  <c r="C8" i="8"/>
  <c r="H8" i="8" s="1"/>
  <c r="I8" i="8" s="1"/>
  <c r="K7" i="8"/>
  <c r="F7" i="8"/>
  <c r="E7" i="8"/>
  <c r="D7" i="8"/>
  <c r="C7" i="8"/>
  <c r="K6" i="8"/>
  <c r="F6" i="8"/>
  <c r="E6" i="8"/>
  <c r="G6" i="8" s="1"/>
  <c r="D6" i="8"/>
  <c r="C6" i="8"/>
  <c r="K5" i="8"/>
  <c r="F5" i="8"/>
  <c r="E5" i="8"/>
  <c r="G5" i="8" s="1"/>
  <c r="D5" i="8"/>
  <c r="C5" i="8"/>
  <c r="H5" i="8" s="1"/>
  <c r="I5" i="8" s="1"/>
  <c r="K4" i="8"/>
  <c r="F4" i="8"/>
  <c r="E4" i="8"/>
  <c r="G4" i="8" s="1"/>
  <c r="D4" i="8"/>
  <c r="C4" i="8"/>
  <c r="K3" i="8"/>
  <c r="F3" i="8"/>
  <c r="E3" i="8"/>
  <c r="D3" i="8"/>
  <c r="C3" i="8"/>
  <c r="H3" i="8" s="1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H15" i="6" s="1"/>
  <c r="F14" i="6"/>
  <c r="E14" i="6"/>
  <c r="D14" i="6"/>
  <c r="C14" i="6"/>
  <c r="F13" i="6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H8" i="6" s="1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F3" i="6"/>
  <c r="E3" i="6"/>
  <c r="D3" i="6"/>
  <c r="C3" i="6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5" i="6" l="1"/>
  <c r="H11" i="6"/>
  <c r="G5" i="6"/>
  <c r="G12" i="6"/>
  <c r="H7" i="6"/>
  <c r="G39" i="6"/>
  <c r="G3" i="6"/>
  <c r="H39" i="6"/>
  <c r="I39" i="6" s="1"/>
  <c r="H3" i="6"/>
  <c r="H10" i="6"/>
  <c r="H17" i="6"/>
  <c r="H31" i="6"/>
  <c r="H45" i="6"/>
  <c r="G17" i="6"/>
  <c r="H14" i="6"/>
  <c r="H21" i="6"/>
  <c r="G9" i="6"/>
  <c r="G6" i="6"/>
  <c r="H24" i="6"/>
  <c r="H9" i="6"/>
  <c r="G31" i="6"/>
  <c r="H12" i="6"/>
  <c r="I12" i="6" s="1"/>
  <c r="G10" i="6"/>
  <c r="I10" i="6" s="1"/>
  <c r="G7" i="6"/>
  <c r="G14" i="6"/>
  <c r="G21" i="6"/>
  <c r="H4" i="6"/>
  <c r="G37" i="6"/>
  <c r="H19" i="6"/>
  <c r="H26" i="6"/>
  <c r="H33" i="6"/>
  <c r="H47" i="6"/>
  <c r="G16" i="6"/>
  <c r="G27" i="6"/>
  <c r="H28" i="6"/>
  <c r="H35" i="6"/>
  <c r="H42" i="6"/>
  <c r="G28" i="6"/>
  <c r="H32" i="6"/>
  <c r="H22" i="6"/>
  <c r="H36" i="6"/>
  <c r="H43" i="6"/>
  <c r="H50" i="6"/>
  <c r="G19" i="6"/>
  <c r="G26" i="6"/>
  <c r="G33" i="6"/>
  <c r="G40" i="6"/>
  <c r="G49" i="6"/>
  <c r="G29" i="6"/>
  <c r="G36" i="6"/>
  <c r="G43" i="6"/>
  <c r="G35" i="6"/>
  <c r="H38" i="6"/>
  <c r="H40" i="6"/>
  <c r="H6" i="6"/>
  <c r="I6" i="6" s="1"/>
  <c r="H13" i="6"/>
  <c r="H27" i="6"/>
  <c r="G42" i="6"/>
  <c r="G22" i="6"/>
  <c r="H16" i="6"/>
  <c r="H30" i="6"/>
  <c r="H37" i="6"/>
  <c r="D4" i="12"/>
  <c r="L4" i="13" s="1"/>
  <c r="I12" i="8"/>
  <c r="I40" i="8"/>
  <c r="L110" i="8"/>
  <c r="G23" i="8"/>
  <c r="H29" i="8"/>
  <c r="G93" i="8"/>
  <c r="I93" i="8" s="1"/>
  <c r="H99" i="8"/>
  <c r="I99" i="8" s="1"/>
  <c r="G121" i="8"/>
  <c r="I121" i="8" s="1"/>
  <c r="H127" i="8"/>
  <c r="I127" i="8" s="1"/>
  <c r="H15" i="8"/>
  <c r="I15" i="8" s="1"/>
  <c r="H9" i="8"/>
  <c r="H26" i="8"/>
  <c r="L96" i="8"/>
  <c r="G118" i="8"/>
  <c r="H124" i="8"/>
  <c r="I124" i="8" s="1"/>
  <c r="G47" i="6"/>
  <c r="H29" i="6"/>
  <c r="BV8" i="5"/>
  <c r="J7" i="13" s="1"/>
  <c r="AH7" i="11"/>
  <c r="K7" i="13" s="1"/>
  <c r="H49" i="6"/>
  <c r="BV7" i="5"/>
  <c r="J6" i="13" s="1"/>
  <c r="H23" i="6"/>
  <c r="G41" i="6"/>
  <c r="G50" i="6"/>
  <c r="G44" i="6"/>
  <c r="H46" i="6"/>
  <c r="L43" i="8"/>
  <c r="L11" i="8"/>
  <c r="L40" i="8"/>
  <c r="L42" i="8"/>
  <c r="L25" i="8"/>
  <c r="G9" i="8"/>
  <c r="G31" i="8"/>
  <c r="I31" i="8" s="1"/>
  <c r="H37" i="8"/>
  <c r="I37" i="8" s="1"/>
  <c r="L49" i="8"/>
  <c r="I11" i="8"/>
  <c r="L23" i="8"/>
  <c r="BV5" i="5"/>
  <c r="J4" i="13" s="1"/>
  <c r="L29" i="8"/>
  <c r="H4" i="8"/>
  <c r="I4" i="8" s="1"/>
  <c r="G26" i="8"/>
  <c r="G48" i="8"/>
  <c r="I48" i="8" s="1"/>
  <c r="L133" i="8"/>
  <c r="G101" i="8"/>
  <c r="I101" i="8" s="1"/>
  <c r="H107" i="8"/>
  <c r="I107" i="8" s="1"/>
  <c r="G129" i="8"/>
  <c r="I129" i="8" s="1"/>
  <c r="BM9" i="10"/>
  <c r="AG6" i="11" s="1"/>
  <c r="AE6" i="11"/>
  <c r="AZ9" i="10"/>
  <c r="BA9" i="10"/>
  <c r="BC9" i="10"/>
  <c r="BD9" i="10"/>
  <c r="BE9" i="10"/>
  <c r="BF9" i="10"/>
  <c r="BJ9" i="10" s="1"/>
  <c r="AF6" i="11" s="1"/>
  <c r="G100" i="8"/>
  <c r="L120" i="8"/>
  <c r="L115" i="8"/>
  <c r="L104" i="8"/>
  <c r="L99" i="8"/>
  <c r="H111" i="8"/>
  <c r="I111" i="8" s="1"/>
  <c r="I139" i="8"/>
  <c r="L140" i="8"/>
  <c r="BV6" i="5"/>
  <c r="J5" i="13" s="1"/>
  <c r="L124" i="8"/>
  <c r="H97" i="8"/>
  <c r="I97" i="8" s="1"/>
  <c r="L119" i="8"/>
  <c r="L131" i="8"/>
  <c r="L116" i="8"/>
  <c r="G140" i="8"/>
  <c r="I140" i="8"/>
  <c r="G35" i="8"/>
  <c r="I35" i="8" s="1"/>
  <c r="L45" i="8"/>
  <c r="L50" i="8"/>
  <c r="I30" i="8"/>
  <c r="L35" i="8"/>
  <c r="H136" i="8"/>
  <c r="L20" i="8"/>
  <c r="L30" i="8"/>
  <c r="G136" i="8"/>
  <c r="I21" i="8"/>
  <c r="L15" i="8"/>
  <c r="G126" i="8"/>
  <c r="I126" i="8" s="1"/>
  <c r="H116" i="8"/>
  <c r="L126" i="8"/>
  <c r="L26" i="8"/>
  <c r="L121" i="8"/>
  <c r="L111" i="8"/>
  <c r="L117" i="8"/>
  <c r="L106" i="8"/>
  <c r="H7" i="8"/>
  <c r="G112" i="8"/>
  <c r="I112" i="8" s="1"/>
  <c r="G7" i="8"/>
  <c r="L12" i="8"/>
  <c r="G49" i="8"/>
  <c r="I49" i="8" s="1"/>
  <c r="L102" i="8"/>
  <c r="L97" i="8"/>
  <c r="L112" i="8"/>
  <c r="G122" i="8"/>
  <c r="I122" i="8" s="1"/>
  <c r="I137" i="8"/>
  <c r="L31" i="8"/>
  <c r="L107" i="8"/>
  <c r="L103" i="8"/>
  <c r="L113" i="8"/>
  <c r="L122" i="8"/>
  <c r="H108" i="8"/>
  <c r="L8" i="8"/>
  <c r="I23" i="8"/>
  <c r="G98" i="8"/>
  <c r="I98" i="8" s="1"/>
  <c r="G108" i="8"/>
  <c r="L138" i="8"/>
  <c r="L3" i="8"/>
  <c r="L37" i="8"/>
  <c r="L98" i="8"/>
  <c r="L123" i="8"/>
  <c r="G128" i="8"/>
  <c r="H42" i="8"/>
  <c r="I42" i="8" s="1"/>
  <c r="G94" i="8"/>
  <c r="I94" i="8" s="1"/>
  <c r="L13" i="8"/>
  <c r="L18" i="8"/>
  <c r="I19" i="8"/>
  <c r="L94" i="8"/>
  <c r="L129" i="8"/>
  <c r="L4" i="8"/>
  <c r="L9" i="8"/>
  <c r="H28" i="8"/>
  <c r="I28" i="8" s="1"/>
  <c r="L38" i="8"/>
  <c r="L109" i="8"/>
  <c r="G114" i="8"/>
  <c r="H110" i="8"/>
  <c r="I110" i="8" s="1"/>
  <c r="L139" i="8"/>
  <c r="L134" i="8"/>
  <c r="H20" i="8"/>
  <c r="H25" i="8"/>
  <c r="I25" i="8" s="1"/>
  <c r="G120" i="8"/>
  <c r="I120" i="8" s="1"/>
  <c r="H125" i="8"/>
  <c r="I125" i="8" s="1"/>
  <c r="L130" i="8"/>
  <c r="H48" i="6"/>
  <c r="G24" i="6"/>
  <c r="G13" i="6"/>
  <c r="G11" i="6"/>
  <c r="I11" i="6" s="1"/>
  <c r="G48" i="6"/>
  <c r="H18" i="6"/>
  <c r="G18" i="6"/>
  <c r="G25" i="6"/>
  <c r="I25" i="6" s="1"/>
  <c r="H44" i="6"/>
  <c r="N6" i="13"/>
  <c r="G38" i="6"/>
  <c r="G8" i="6"/>
  <c r="I8" i="6" s="1"/>
  <c r="G32" i="6"/>
  <c r="H20" i="6"/>
  <c r="G45" i="6"/>
  <c r="I45" i="6" s="1"/>
  <c r="G20" i="6"/>
  <c r="G46" i="6"/>
  <c r="G15" i="6"/>
  <c r="I15" i="6" s="1"/>
  <c r="H34" i="6"/>
  <c r="G4" i="6"/>
  <c r="G34" i="6"/>
  <c r="H41" i="6"/>
  <c r="H5" i="6"/>
  <c r="I5" i="6" s="1"/>
  <c r="J219" i="8"/>
  <c r="L297" i="8"/>
  <c r="H297" i="8"/>
  <c r="I297" i="8" s="1"/>
  <c r="L307" i="8"/>
  <c r="H307" i="8"/>
  <c r="I307" i="8" s="1"/>
  <c r="J307" i="8" s="1"/>
  <c r="J316" i="8"/>
  <c r="B244" i="8"/>
  <c r="P9" i="10" s="1"/>
  <c r="L135" i="8"/>
  <c r="H135" i="8"/>
  <c r="I135" i="8" s="1"/>
  <c r="J229" i="8"/>
  <c r="I279" i="8"/>
  <c r="J279" i="8" s="1"/>
  <c r="I14" i="8"/>
  <c r="I186" i="8"/>
  <c r="J220" i="8"/>
  <c r="J298" i="8"/>
  <c r="I210" i="8"/>
  <c r="L118" i="8"/>
  <c r="H118" i="8"/>
  <c r="I118" i="8" s="1"/>
  <c r="G285" i="8"/>
  <c r="J208" i="8"/>
  <c r="J199" i="8"/>
  <c r="J201" i="8"/>
  <c r="I310" i="8"/>
  <c r="J309" i="8" s="1"/>
  <c r="L311" i="8"/>
  <c r="H311" i="8"/>
  <c r="I311" i="8" s="1"/>
  <c r="H130" i="8"/>
  <c r="J195" i="8"/>
  <c r="J196" i="8"/>
  <c r="J202" i="8"/>
  <c r="L211" i="8"/>
  <c r="H211" i="8"/>
  <c r="I211" i="8" s="1"/>
  <c r="L44" i="8"/>
  <c r="L7" i="8"/>
  <c r="H36" i="8"/>
  <c r="I36" i="8" s="1"/>
  <c r="L36" i="8"/>
  <c r="L100" i="8"/>
  <c r="H100" i="8"/>
  <c r="J193" i="8"/>
  <c r="L315" i="8"/>
  <c r="H315" i="8"/>
  <c r="I315" i="8" s="1"/>
  <c r="J315" i="8" s="1"/>
  <c r="J319" i="8"/>
  <c r="J317" i="8"/>
  <c r="J200" i="8"/>
  <c r="J191" i="8"/>
  <c r="I113" i="8"/>
  <c r="I276" i="8"/>
  <c r="I45" i="8"/>
  <c r="L41" i="8"/>
  <c r="L93" i="8"/>
  <c r="L101" i="8"/>
  <c r="L127" i="8"/>
  <c r="L136" i="8"/>
  <c r="J282" i="8"/>
  <c r="L128" i="8"/>
  <c r="H128" i="8"/>
  <c r="L299" i="8"/>
  <c r="L312" i="8"/>
  <c r="L16" i="8"/>
  <c r="I38" i="8"/>
  <c r="G111" i="8"/>
  <c r="H218" i="8"/>
  <c r="I218" i="8" s="1"/>
  <c r="L287" i="8"/>
  <c r="H287" i="8"/>
  <c r="I287" i="8" s="1"/>
  <c r="L290" i="8"/>
  <c r="H290" i="8"/>
  <c r="I290" i="8" s="1"/>
  <c r="L191" i="8"/>
  <c r="L273" i="8"/>
  <c r="H273" i="8"/>
  <c r="I273" i="8" s="1"/>
  <c r="J281" i="8"/>
  <c r="L200" i="8"/>
  <c r="N5" i="13"/>
  <c r="I47" i="8"/>
  <c r="L188" i="8"/>
  <c r="J205" i="8"/>
  <c r="G304" i="8"/>
  <c r="I304" i="8" s="1"/>
  <c r="J304" i="8" s="1"/>
  <c r="L105" i="8"/>
  <c r="H105" i="8"/>
  <c r="I105" i="8" s="1"/>
  <c r="I221" i="8"/>
  <c r="J221" i="8" s="1"/>
  <c r="G5" i="14"/>
  <c r="L320" i="8"/>
  <c r="E5" i="14"/>
  <c r="L34" i="8"/>
  <c r="H138" i="8"/>
  <c r="I138" i="8" s="1"/>
  <c r="L276" i="8"/>
  <c r="J230" i="8"/>
  <c r="L132" i="8"/>
  <c r="H132" i="8"/>
  <c r="I132" i="8" s="1"/>
  <c r="H183" i="8"/>
  <c r="I183" i="8" s="1"/>
  <c r="J222" i="8"/>
  <c r="J213" i="8"/>
  <c r="L197" i="8"/>
  <c r="H197" i="8"/>
  <c r="I197" i="8" s="1"/>
  <c r="J318" i="8"/>
  <c r="J228" i="8"/>
  <c r="E244" i="8" s="1"/>
  <c r="L318" i="8"/>
  <c r="J187" i="8"/>
  <c r="L199" i="8"/>
  <c r="L204" i="8"/>
  <c r="L21" i="8"/>
  <c r="J206" i="8"/>
  <c r="L283" i="8"/>
  <c r="H283" i="8"/>
  <c r="I283" i="8" s="1"/>
  <c r="J283" i="8" s="1"/>
  <c r="H39" i="8"/>
  <c r="I39" i="8" s="1"/>
  <c r="L39" i="8"/>
  <c r="J214" i="8"/>
  <c r="H275" i="8"/>
  <c r="I275" i="8" s="1"/>
  <c r="J275" i="8" s="1"/>
  <c r="L275" i="8"/>
  <c r="L301" i="8"/>
  <c r="H301" i="8"/>
  <c r="I301" i="8" s="1"/>
  <c r="L22" i="8"/>
  <c r="L48" i="8"/>
  <c r="I194" i="8"/>
  <c r="L219" i="8"/>
  <c r="G293" i="8"/>
  <c r="I293" i="8" s="1"/>
  <c r="L32" i="8"/>
  <c r="L214" i="8"/>
  <c r="L224" i="8"/>
  <c r="H33" i="8"/>
  <c r="I33" i="8" s="1"/>
  <c r="L221" i="8"/>
  <c r="L225" i="8"/>
  <c r="H284" i="8"/>
  <c r="I284" i="8" s="1"/>
  <c r="G294" i="8"/>
  <c r="I294" i="8" s="1"/>
  <c r="G30" i="6"/>
  <c r="L5" i="8"/>
  <c r="L108" i="8"/>
  <c r="L125" i="8"/>
  <c r="L187" i="8"/>
  <c r="H6" i="8"/>
  <c r="I6" i="8" s="1"/>
  <c r="I29" i="8"/>
  <c r="L46" i="8"/>
  <c r="G102" i="8"/>
  <c r="H188" i="8"/>
  <c r="I188" i="8" s="1"/>
  <c r="J188" i="8" s="1"/>
  <c r="G215" i="8"/>
  <c r="I215" i="8" s="1"/>
  <c r="J215" i="8" s="1"/>
  <c r="L228" i="8"/>
  <c r="H312" i="8"/>
  <c r="I312" i="8" s="1"/>
  <c r="J312" i="8" s="1"/>
  <c r="L19" i="8"/>
  <c r="H102" i="8"/>
  <c r="I184" i="8"/>
  <c r="J184" i="8" s="1"/>
  <c r="L201" i="8"/>
  <c r="I43" i="8"/>
  <c r="L95" i="8"/>
  <c r="I106" i="8"/>
  <c r="G116" i="8"/>
  <c r="H192" i="8"/>
  <c r="I192" i="8" s="1"/>
  <c r="J192" i="8" s="1"/>
  <c r="L208" i="8"/>
  <c r="L6" i="8"/>
  <c r="H10" i="8"/>
  <c r="I10" i="8" s="1"/>
  <c r="G20" i="8"/>
  <c r="L33" i="8"/>
  <c r="G133" i="8"/>
  <c r="I133" i="8" s="1"/>
  <c r="I198" i="8"/>
  <c r="J198" i="8" s="1"/>
  <c r="L215" i="8"/>
  <c r="L277" i="8"/>
  <c r="I291" i="8"/>
  <c r="J291" i="8" s="1"/>
  <c r="N7" i="13"/>
  <c r="G23" i="6"/>
  <c r="H34" i="8"/>
  <c r="G96" i="8"/>
  <c r="H103" i="8"/>
  <c r="I103" i="8" s="1"/>
  <c r="H216" i="8"/>
  <c r="I216" i="8" s="1"/>
  <c r="G3" i="8"/>
  <c r="I3" i="8" s="1"/>
  <c r="H24" i="8"/>
  <c r="I24" i="8" s="1"/>
  <c r="G34" i="8"/>
  <c r="L47" i="8"/>
  <c r="H96" i="8"/>
  <c r="G130" i="8"/>
  <c r="H189" i="8"/>
  <c r="I189" i="8" s="1"/>
  <c r="I212" i="8"/>
  <c r="J212" i="8" s="1"/>
  <c r="L229" i="8"/>
  <c r="I285" i="8"/>
  <c r="H302" i="8"/>
  <c r="I302" i="8" s="1"/>
  <c r="L10" i="8"/>
  <c r="L14" i="8"/>
  <c r="I134" i="8"/>
  <c r="I289" i="8"/>
  <c r="L17" i="8"/>
  <c r="L27" i="8"/>
  <c r="L114" i="8"/>
  <c r="H114" i="8"/>
  <c r="I131" i="8"/>
  <c r="I217" i="8"/>
  <c r="I286" i="8"/>
  <c r="J286" i="8" s="1"/>
  <c r="L185" i="8"/>
  <c r="L24" i="8"/>
  <c r="L137" i="8"/>
  <c r="L292" i="8"/>
  <c r="H300" i="8"/>
  <c r="I300" i="8" s="1"/>
  <c r="J300" i="8" s="1"/>
  <c r="N4" i="13"/>
  <c r="J203" i="8"/>
  <c r="I226" i="8"/>
  <c r="J226" i="8" s="1"/>
  <c r="L216" i="8"/>
  <c r="L278" i="8"/>
  <c r="G186" i="8"/>
  <c r="L203" i="8"/>
  <c r="H207" i="8"/>
  <c r="I207" i="8" s="1"/>
  <c r="J207" i="8" s="1"/>
  <c r="G217" i="8"/>
  <c r="L230" i="8"/>
  <c r="G279" i="8"/>
  <c r="L293" i="8"/>
  <c r="L306" i="8"/>
  <c r="H314" i="8"/>
  <c r="I314" i="8" s="1"/>
  <c r="I7" i="6" l="1"/>
  <c r="I3" i="6"/>
  <c r="I21" i="6"/>
  <c r="I14" i="6"/>
  <c r="I9" i="6"/>
  <c r="I17" i="6"/>
  <c r="I24" i="6"/>
  <c r="I31" i="6"/>
  <c r="I36" i="6"/>
  <c r="I43" i="6"/>
  <c r="I4" i="6"/>
  <c r="J3" i="6" s="1"/>
  <c r="I19" i="6"/>
  <c r="I37" i="6"/>
  <c r="I28" i="6"/>
  <c r="I41" i="6"/>
  <c r="I16" i="6"/>
  <c r="I26" i="6"/>
  <c r="I33" i="6"/>
  <c r="I47" i="6"/>
  <c r="I32" i="6"/>
  <c r="I35" i="6"/>
  <c r="I27" i="6"/>
  <c r="I49" i="6"/>
  <c r="M7" i="13"/>
  <c r="O7" i="13" s="1"/>
  <c r="I40" i="6"/>
  <c r="I29" i="6"/>
  <c r="I13" i="6"/>
  <c r="J13" i="6" s="1"/>
  <c r="I50" i="6"/>
  <c r="I22" i="6"/>
  <c r="I42" i="6"/>
  <c r="J7" i="6"/>
  <c r="C69" i="6" s="1"/>
  <c r="I38" i="6"/>
  <c r="I48" i="6"/>
  <c r="I44" i="6"/>
  <c r="I23" i="6"/>
  <c r="I46" i="6"/>
  <c r="I30" i="6"/>
  <c r="J15" i="8"/>
  <c r="J18" i="8"/>
  <c r="J17" i="8"/>
  <c r="J14" i="8"/>
  <c r="J27" i="8"/>
  <c r="I26" i="8"/>
  <c r="I96" i="8"/>
  <c r="I102" i="8"/>
  <c r="J101" i="8" s="1"/>
  <c r="I9" i="8"/>
  <c r="I108" i="8"/>
  <c r="J106" i="8" s="1"/>
  <c r="I18" i="6"/>
  <c r="I7" i="8"/>
  <c r="J8" i="8" s="1"/>
  <c r="J117" i="8"/>
  <c r="B162" i="8" s="1"/>
  <c r="J137" i="8"/>
  <c r="J138" i="8"/>
  <c r="BI9" i="10"/>
  <c r="BK9" i="10" s="1"/>
  <c r="AC6" i="11"/>
  <c r="BG9" i="10"/>
  <c r="AA6" i="11"/>
  <c r="J107" i="8"/>
  <c r="I100" i="8"/>
  <c r="J99" i="8" s="1"/>
  <c r="I114" i="8"/>
  <c r="J113" i="8" s="1"/>
  <c r="I130" i="8"/>
  <c r="J132" i="8" s="1"/>
  <c r="J47" i="8"/>
  <c r="D64" i="8" s="1"/>
  <c r="J96" i="8"/>
  <c r="J45" i="8"/>
  <c r="J24" i="8"/>
  <c r="J111" i="8"/>
  <c r="J29" i="8"/>
  <c r="J118" i="8"/>
  <c r="J122" i="8"/>
  <c r="J119" i="8"/>
  <c r="I136" i="8"/>
  <c r="J136" i="8" s="1"/>
  <c r="I20" i="8"/>
  <c r="J21" i="8" s="1"/>
  <c r="J36" i="8"/>
  <c r="I128" i="8"/>
  <c r="J128" i="8" s="1"/>
  <c r="J105" i="8"/>
  <c r="I116" i="8"/>
  <c r="J9" i="6"/>
  <c r="I34" i="6"/>
  <c r="I20" i="6"/>
  <c r="J3" i="8"/>
  <c r="J5" i="8"/>
  <c r="J4" i="8"/>
  <c r="C241" i="8"/>
  <c r="M9" i="10" s="1"/>
  <c r="B241" i="8"/>
  <c r="J9" i="10" s="1"/>
  <c r="B332" i="8"/>
  <c r="AB11" i="10" s="1"/>
  <c r="J293" i="8"/>
  <c r="J295" i="8"/>
  <c r="J296" i="8"/>
  <c r="J20" i="8"/>
  <c r="J22" i="8"/>
  <c r="J19" i="8"/>
  <c r="B154" i="8"/>
  <c r="P7" i="10" s="1"/>
  <c r="J225" i="8"/>
  <c r="J103" i="8"/>
  <c r="J288" i="8"/>
  <c r="J39" i="8"/>
  <c r="J40" i="8"/>
  <c r="J95" i="8"/>
  <c r="J121" i="8"/>
  <c r="J292" i="8"/>
  <c r="J197" i="8"/>
  <c r="C249" i="8" s="1"/>
  <c r="J26" i="8"/>
  <c r="J28" i="8"/>
  <c r="C59" i="8" s="1"/>
  <c r="AG5" i="10" s="1"/>
  <c r="J217" i="8"/>
  <c r="B254" i="8" s="1"/>
  <c r="C338" i="8"/>
  <c r="D325" i="8"/>
  <c r="C325" i="8"/>
  <c r="G11" i="10" s="1"/>
  <c r="B325" i="8"/>
  <c r="H11" i="10" s="1"/>
  <c r="E325" i="8"/>
  <c r="J110" i="8"/>
  <c r="C237" i="8"/>
  <c r="L9" i="10" s="1"/>
  <c r="C250" i="8"/>
  <c r="B250" i="8"/>
  <c r="D237" i="8"/>
  <c r="B237" i="8"/>
  <c r="D9" i="10" s="1"/>
  <c r="E237" i="8"/>
  <c r="C242" i="8"/>
  <c r="Y9" i="10" s="1"/>
  <c r="E242" i="8"/>
  <c r="D242" i="8"/>
  <c r="B242" i="8"/>
  <c r="AB9" i="10" s="1"/>
  <c r="C255" i="8"/>
  <c r="B255" i="8"/>
  <c r="J294" i="8"/>
  <c r="J223" i="8"/>
  <c r="J41" i="8"/>
  <c r="J276" i="8"/>
  <c r="J23" i="8"/>
  <c r="J49" i="8"/>
  <c r="J289" i="8"/>
  <c r="J284" i="8"/>
  <c r="B338" i="8" s="1"/>
  <c r="J9" i="8"/>
  <c r="J290" i="8"/>
  <c r="J109" i="8"/>
  <c r="J305" i="8"/>
  <c r="J124" i="8"/>
  <c r="J301" i="8"/>
  <c r="J303" i="8"/>
  <c r="J8" i="6"/>
  <c r="B251" i="8"/>
  <c r="E238" i="8"/>
  <c r="C238" i="8"/>
  <c r="I9" i="10" s="1"/>
  <c r="D238" i="8"/>
  <c r="B238" i="8"/>
  <c r="F9" i="10" s="1"/>
  <c r="C251" i="8"/>
  <c r="E234" i="8"/>
  <c r="D234" i="8"/>
  <c r="B247" i="8"/>
  <c r="C247" i="8"/>
  <c r="J185" i="8"/>
  <c r="J216" i="8"/>
  <c r="C254" i="8" s="1"/>
  <c r="J112" i="8"/>
  <c r="I34" i="8"/>
  <c r="J34" i="8" s="1"/>
  <c r="J13" i="8"/>
  <c r="J140" i="8"/>
  <c r="J273" i="8"/>
  <c r="J274" i="8"/>
  <c r="J314" i="8"/>
  <c r="J302" i="8"/>
  <c r="J224" i="8"/>
  <c r="J313" i="8"/>
  <c r="J123" i="8"/>
  <c r="C257" i="8"/>
  <c r="C69" i="8"/>
  <c r="B56" i="8"/>
  <c r="R5" i="10" s="1"/>
  <c r="J108" i="8"/>
  <c r="C244" i="8"/>
  <c r="W9" i="10" s="1"/>
  <c r="E235" i="8"/>
  <c r="C235" i="8"/>
  <c r="G9" i="10" s="1"/>
  <c r="B235" i="8"/>
  <c r="H9" i="10" s="1"/>
  <c r="J186" i="8"/>
  <c r="B236" i="8"/>
  <c r="R9" i="10" s="1"/>
  <c r="E236" i="8"/>
  <c r="J50" i="8"/>
  <c r="E334" i="8"/>
  <c r="C334" i="8"/>
  <c r="W11" i="10" s="1"/>
  <c r="B347" i="8"/>
  <c r="C347" i="8"/>
  <c r="D334" i="8"/>
  <c r="B334" i="8"/>
  <c r="P11" i="10" s="1"/>
  <c r="D149" i="8"/>
  <c r="C162" i="8"/>
  <c r="J311" i="8"/>
  <c r="J6" i="8"/>
  <c r="J306" i="8"/>
  <c r="J94" i="8"/>
  <c r="J104" i="8"/>
  <c r="J42" i="8"/>
  <c r="J93" i="8"/>
  <c r="J12" i="8"/>
  <c r="J183" i="8"/>
  <c r="J11" i="8"/>
  <c r="J190" i="8"/>
  <c r="J30" i="8"/>
  <c r="D239" i="8"/>
  <c r="B239" i="8"/>
  <c r="T9" i="10" s="1"/>
  <c r="C252" i="8"/>
  <c r="B252" i="8"/>
  <c r="J308" i="8"/>
  <c r="B257" i="8"/>
  <c r="J189" i="8"/>
  <c r="C234" i="8" s="1"/>
  <c r="C9" i="10" s="1"/>
  <c r="J43" i="8"/>
  <c r="J37" i="8"/>
  <c r="J44" i="8"/>
  <c r="J46" i="8"/>
  <c r="J278" i="8"/>
  <c r="J280" i="8"/>
  <c r="J139" i="8"/>
  <c r="C154" i="8" s="1"/>
  <c r="W7" i="10" s="1"/>
  <c r="B59" i="8"/>
  <c r="T5" i="10" s="1"/>
  <c r="J297" i="8"/>
  <c r="J48" i="8"/>
  <c r="B77" i="8" s="1"/>
  <c r="J310" i="8"/>
  <c r="C345" i="8" s="1"/>
  <c r="J10" i="6"/>
  <c r="J287" i="8"/>
  <c r="J218" i="8"/>
  <c r="D244" i="8"/>
  <c r="J285" i="8"/>
  <c r="J38" i="8"/>
  <c r="J35" i="8"/>
  <c r="J299" i="8"/>
  <c r="J25" i="8"/>
  <c r="J120" i="8"/>
  <c r="J194" i="8"/>
  <c r="B248" i="8" s="1"/>
  <c r="J16" i="8"/>
  <c r="D56" i="8" s="1"/>
  <c r="J277" i="8"/>
  <c r="J209" i="8"/>
  <c r="E239" i="8" s="1"/>
  <c r="J211" i="8"/>
  <c r="J210" i="8"/>
  <c r="J11" i="6" l="1"/>
  <c r="D54" i="6"/>
  <c r="J46" i="6"/>
  <c r="B69" i="6"/>
  <c r="C54" i="6"/>
  <c r="E4" i="9" s="1"/>
  <c r="J5" i="6"/>
  <c r="J6" i="6"/>
  <c r="J36" i="6"/>
  <c r="J4" i="6"/>
  <c r="E53" i="6" s="1"/>
  <c r="J41" i="6"/>
  <c r="J40" i="6"/>
  <c r="J39" i="6"/>
  <c r="J23" i="6"/>
  <c r="B58" i="6" s="1"/>
  <c r="D6" i="9" s="1"/>
  <c r="J47" i="6"/>
  <c r="B64" i="6" s="1"/>
  <c r="D11" i="9" s="1"/>
  <c r="J35" i="6"/>
  <c r="B61" i="6" s="1"/>
  <c r="D8" i="9" s="1"/>
  <c r="J34" i="6"/>
  <c r="J18" i="6"/>
  <c r="J30" i="6"/>
  <c r="J50" i="6"/>
  <c r="J49" i="6"/>
  <c r="J42" i="6"/>
  <c r="J20" i="6"/>
  <c r="J12" i="6"/>
  <c r="J26" i="6"/>
  <c r="J38" i="6"/>
  <c r="J45" i="6"/>
  <c r="J37" i="6"/>
  <c r="J31" i="6"/>
  <c r="B60" i="6" s="1"/>
  <c r="D15" i="9" s="1"/>
  <c r="J25" i="6"/>
  <c r="J48" i="6"/>
  <c r="J14" i="6"/>
  <c r="E54" i="6"/>
  <c r="B54" i="6"/>
  <c r="D16" i="9" s="1"/>
  <c r="J29" i="6"/>
  <c r="J32" i="6"/>
  <c r="J44" i="6"/>
  <c r="J27" i="6"/>
  <c r="J24" i="6"/>
  <c r="J19" i="6"/>
  <c r="B57" i="6" s="1"/>
  <c r="D5" i="9" s="1"/>
  <c r="J33" i="6"/>
  <c r="J28" i="6"/>
  <c r="J43" i="6"/>
  <c r="J15" i="6"/>
  <c r="B56" i="6" s="1"/>
  <c r="D12" i="9" s="1"/>
  <c r="J102" i="8"/>
  <c r="J98" i="8"/>
  <c r="C64" i="8"/>
  <c r="W5" i="10" s="1"/>
  <c r="J10" i="8"/>
  <c r="C77" i="8"/>
  <c r="J116" i="8"/>
  <c r="J7" i="8"/>
  <c r="J100" i="8"/>
  <c r="B64" i="8"/>
  <c r="P5" i="10" s="1"/>
  <c r="D27" i="9"/>
  <c r="J16" i="9"/>
  <c r="E21" i="9"/>
  <c r="J6" i="9"/>
  <c r="D25" i="9"/>
  <c r="J12" i="9"/>
  <c r="J15" i="9"/>
  <c r="E24" i="9"/>
  <c r="J16" i="6"/>
  <c r="J17" i="6"/>
  <c r="AO5" i="10"/>
  <c r="E64" i="8"/>
  <c r="AS5" i="10"/>
  <c r="AR5" i="10"/>
  <c r="E56" i="8"/>
  <c r="J131" i="8"/>
  <c r="B146" i="8"/>
  <c r="R7" i="10" s="1"/>
  <c r="AR7" i="10" s="1"/>
  <c r="B149" i="8"/>
  <c r="T7" i="10" s="1"/>
  <c r="J97" i="8"/>
  <c r="B157" i="8" s="1"/>
  <c r="BL9" i="10"/>
  <c r="AD6" i="11"/>
  <c r="AH6" i="11" s="1"/>
  <c r="K6" i="13" s="1"/>
  <c r="M6" i="13" s="1"/>
  <c r="O6" i="13" s="1"/>
  <c r="J114" i="8"/>
  <c r="B148" i="8" s="1"/>
  <c r="F7" i="10" s="1"/>
  <c r="C149" i="8"/>
  <c r="AG7" i="10" s="1"/>
  <c r="J126" i="8"/>
  <c r="B167" i="8"/>
  <c r="E149" i="8"/>
  <c r="J115" i="8"/>
  <c r="E148" i="8" s="1"/>
  <c r="J32" i="8"/>
  <c r="C159" i="8"/>
  <c r="J31" i="8"/>
  <c r="J135" i="8"/>
  <c r="J134" i="8"/>
  <c r="B159" i="8"/>
  <c r="D146" i="8"/>
  <c r="C146" i="8"/>
  <c r="AF7" i="10" s="1"/>
  <c r="J127" i="8"/>
  <c r="J125" i="8"/>
  <c r="J130" i="8"/>
  <c r="J129" i="8"/>
  <c r="J33" i="8"/>
  <c r="D60" i="8" s="1"/>
  <c r="J133" i="8"/>
  <c r="C166" i="8" s="1"/>
  <c r="J21" i="6"/>
  <c r="J22" i="6"/>
  <c r="B243" i="8"/>
  <c r="AD9" i="10" s="1"/>
  <c r="C256" i="8"/>
  <c r="E243" i="8"/>
  <c r="B256" i="8"/>
  <c r="D243" i="8"/>
  <c r="C243" i="8"/>
  <c r="V9" i="10" s="1"/>
  <c r="E146" i="8"/>
  <c r="C72" i="8"/>
  <c r="D150" i="8"/>
  <c r="E150" i="8"/>
  <c r="C150" i="8"/>
  <c r="AC7" i="10" s="1"/>
  <c r="C163" i="8"/>
  <c r="B150" i="8"/>
  <c r="X7" i="10" s="1"/>
  <c r="B163" i="8"/>
  <c r="C332" i="8"/>
  <c r="Y11" i="10" s="1"/>
  <c r="C161" i="8"/>
  <c r="B161" i="8"/>
  <c r="D148" i="8"/>
  <c r="B72" i="8"/>
  <c r="C343" i="8"/>
  <c r="C330" i="8"/>
  <c r="AC11" i="10" s="1"/>
  <c r="B343" i="8"/>
  <c r="E330" i="8"/>
  <c r="B330" i="8"/>
  <c r="X11" i="10" s="1"/>
  <c r="D330" i="8"/>
  <c r="B345" i="8"/>
  <c r="D338" i="8"/>
  <c r="E60" i="8"/>
  <c r="B60" i="8"/>
  <c r="X5" i="10" s="1"/>
  <c r="E329" i="8"/>
  <c r="B342" i="8"/>
  <c r="D329" i="8"/>
  <c r="C329" i="8"/>
  <c r="AG11" i="10" s="1"/>
  <c r="B329" i="8"/>
  <c r="T11" i="10" s="1"/>
  <c r="C342" i="8"/>
  <c r="B53" i="6"/>
  <c r="D10" i="9" s="1"/>
  <c r="C68" i="6"/>
  <c r="E147" i="8"/>
  <c r="D147" i="8"/>
  <c r="C147" i="8"/>
  <c r="L7" i="10" s="1"/>
  <c r="C160" i="8"/>
  <c r="B160" i="8"/>
  <c r="B147" i="8"/>
  <c r="D7" i="10" s="1"/>
  <c r="C239" i="8"/>
  <c r="AG9" i="10" s="1"/>
  <c r="B145" i="8"/>
  <c r="H7" i="10" s="1"/>
  <c r="B158" i="8"/>
  <c r="E145" i="8"/>
  <c r="D145" i="8"/>
  <c r="C145" i="8"/>
  <c r="G7" i="10" s="1"/>
  <c r="C158" i="8"/>
  <c r="C54" i="8"/>
  <c r="C5" i="10" s="1"/>
  <c r="B54" i="8"/>
  <c r="Z5" i="10" s="1"/>
  <c r="D54" i="8"/>
  <c r="E54" i="8"/>
  <c r="B67" i="8"/>
  <c r="C67" i="8"/>
  <c r="D59" i="8"/>
  <c r="D235" i="8"/>
  <c r="D233" i="8"/>
  <c r="C246" i="8"/>
  <c r="B233" i="8"/>
  <c r="N9" i="10" s="1"/>
  <c r="E233" i="8"/>
  <c r="C233" i="8"/>
  <c r="B9" i="10" s="1"/>
  <c r="B246" i="8"/>
  <c r="C336" i="8"/>
  <c r="B336" i="8"/>
  <c r="D323" i="8"/>
  <c r="C323" i="8"/>
  <c r="B11" i="10" s="1"/>
  <c r="B323" i="8"/>
  <c r="N11" i="10" s="1"/>
  <c r="E323" i="8"/>
  <c r="D241" i="8"/>
  <c r="C61" i="8"/>
  <c r="M5" i="10" s="1"/>
  <c r="B61" i="8"/>
  <c r="J5" i="10" s="1"/>
  <c r="E61" i="8"/>
  <c r="D61" i="8"/>
  <c r="B74" i="8"/>
  <c r="C74" i="8"/>
  <c r="C236" i="8"/>
  <c r="AF9" i="10" s="1"/>
  <c r="E241" i="8"/>
  <c r="D236" i="8"/>
  <c r="C56" i="8"/>
  <c r="AF5" i="10" s="1"/>
  <c r="B340" i="8"/>
  <c r="E327" i="8"/>
  <c r="C327" i="8"/>
  <c r="L11" i="10" s="1"/>
  <c r="D327" i="8"/>
  <c r="C340" i="8"/>
  <c r="B327" i="8"/>
  <c r="D11" i="10" s="1"/>
  <c r="D154" i="8"/>
  <c r="B234" i="8"/>
  <c r="Z9" i="10" s="1"/>
  <c r="E332" i="8"/>
  <c r="C248" i="8"/>
  <c r="B331" i="8"/>
  <c r="J11" i="10" s="1"/>
  <c r="C344" i="8"/>
  <c r="E331" i="8"/>
  <c r="C331" i="8"/>
  <c r="M11" i="10" s="1"/>
  <c r="D331" i="8"/>
  <c r="B344" i="8"/>
  <c r="D326" i="8"/>
  <c r="E326" i="8"/>
  <c r="C326" i="8"/>
  <c r="AF11" i="10" s="1"/>
  <c r="C339" i="8"/>
  <c r="B326" i="8"/>
  <c r="R11" i="10" s="1"/>
  <c r="B339" i="8"/>
  <c r="E154" i="8"/>
  <c r="E63" i="8"/>
  <c r="D63" i="8"/>
  <c r="C63" i="8"/>
  <c r="V5" i="10" s="1"/>
  <c r="C76" i="8"/>
  <c r="B76" i="8"/>
  <c r="B63" i="8"/>
  <c r="AD5" i="10" s="1"/>
  <c r="E59" i="8"/>
  <c r="D55" i="8"/>
  <c r="B68" i="8"/>
  <c r="C68" i="8"/>
  <c r="B55" i="8"/>
  <c r="H5" i="10" s="1"/>
  <c r="E55" i="8"/>
  <c r="C55" i="8"/>
  <c r="G5" i="10" s="1"/>
  <c r="B55" i="6"/>
  <c r="D7" i="9" s="1"/>
  <c r="D332" i="8"/>
  <c r="D143" i="8"/>
  <c r="B156" i="8"/>
  <c r="B143" i="8"/>
  <c r="N7" i="10" s="1"/>
  <c r="C156" i="8"/>
  <c r="E143" i="8"/>
  <c r="C143" i="8"/>
  <c r="B7" i="10" s="1"/>
  <c r="C167" i="8"/>
  <c r="B249" i="8"/>
  <c r="B69" i="8"/>
  <c r="C58" i="8"/>
  <c r="I5" i="10" s="1"/>
  <c r="C71" i="8"/>
  <c r="B71" i="8"/>
  <c r="D58" i="8"/>
  <c r="E58" i="8"/>
  <c r="B58" i="8"/>
  <c r="F5" i="10" s="1"/>
  <c r="B346" i="8"/>
  <c r="D333" i="8"/>
  <c r="C333" i="8"/>
  <c r="V11" i="10" s="1"/>
  <c r="B333" i="8"/>
  <c r="AD11" i="10" s="1"/>
  <c r="E333" i="8"/>
  <c r="C346" i="8"/>
  <c r="D346" i="8" s="1"/>
  <c r="D240" i="8"/>
  <c r="C240" i="8"/>
  <c r="AC9" i="10" s="1"/>
  <c r="C253" i="8"/>
  <c r="D253" i="8" s="1"/>
  <c r="B253" i="8"/>
  <c r="E240" i="8"/>
  <c r="B240" i="8"/>
  <c r="X9" i="10" s="1"/>
  <c r="C70" i="8"/>
  <c r="B70" i="8"/>
  <c r="E57" i="8"/>
  <c r="D57" i="8"/>
  <c r="C57" i="8"/>
  <c r="L5" i="10" s="1"/>
  <c r="B57" i="8"/>
  <c r="D5" i="10" s="1"/>
  <c r="B324" i="8"/>
  <c r="Z11" i="10" s="1"/>
  <c r="E324" i="8"/>
  <c r="C337" i="8"/>
  <c r="B337" i="8"/>
  <c r="D324" i="8"/>
  <c r="C324" i="8"/>
  <c r="C11" i="10" s="1"/>
  <c r="D328" i="8"/>
  <c r="C328" i="8"/>
  <c r="I11" i="10" s="1"/>
  <c r="B328" i="8"/>
  <c r="F11" i="10" s="1"/>
  <c r="C341" i="8"/>
  <c r="E328" i="8"/>
  <c r="B341" i="8"/>
  <c r="D151" i="8"/>
  <c r="D62" i="8"/>
  <c r="B75" i="8"/>
  <c r="E62" i="8"/>
  <c r="C62" i="8"/>
  <c r="Y5" i="10" s="1"/>
  <c r="B62" i="8"/>
  <c r="AB5" i="10" s="1"/>
  <c r="C75" i="8"/>
  <c r="E53" i="8"/>
  <c r="D53" i="8"/>
  <c r="B53" i="8"/>
  <c r="N5" i="10" s="1"/>
  <c r="C66" i="8"/>
  <c r="C53" i="8"/>
  <c r="B5" i="10" s="1"/>
  <c r="B66" i="8"/>
  <c r="C53" i="6" l="1"/>
  <c r="D4" i="9" s="1"/>
  <c r="D53" i="6"/>
  <c r="B68" i="6"/>
  <c r="C62" i="6"/>
  <c r="E15" i="9" s="1"/>
  <c r="C61" i="6"/>
  <c r="E9" i="9" s="1"/>
  <c r="B76" i="6"/>
  <c r="B70" i="6"/>
  <c r="E62" i="6"/>
  <c r="D62" i="6"/>
  <c r="D64" i="6"/>
  <c r="B74" i="6"/>
  <c r="C55" i="6"/>
  <c r="E6" i="9" s="1"/>
  <c r="C76" i="6"/>
  <c r="E61" i="6"/>
  <c r="C73" i="6"/>
  <c r="C77" i="6"/>
  <c r="B62" i="6"/>
  <c r="D17" i="9" s="1"/>
  <c r="D61" i="6"/>
  <c r="B77" i="6"/>
  <c r="E55" i="6"/>
  <c r="B59" i="6"/>
  <c r="D13" i="9" s="1"/>
  <c r="B78" i="6"/>
  <c r="D57" i="6"/>
  <c r="E60" i="6"/>
  <c r="B73" i="6"/>
  <c r="E57" i="6"/>
  <c r="E59" i="6"/>
  <c r="C74" i="6"/>
  <c r="D60" i="6"/>
  <c r="C75" i="6"/>
  <c r="C60" i="6"/>
  <c r="E17" i="9" s="1"/>
  <c r="B79" i="6"/>
  <c r="E64" i="6"/>
  <c r="C79" i="6"/>
  <c r="B63" i="6"/>
  <c r="D18" i="9" s="1"/>
  <c r="C64" i="6"/>
  <c r="E14" i="9" s="1"/>
  <c r="D63" i="6"/>
  <c r="D59" i="6"/>
  <c r="E63" i="6"/>
  <c r="C70" i="6"/>
  <c r="C78" i="6"/>
  <c r="C63" i="6"/>
  <c r="D14" i="9" s="1"/>
  <c r="C59" i="6"/>
  <c r="E19" i="9" s="1"/>
  <c r="D55" i="6"/>
  <c r="E58" i="6"/>
  <c r="D58" i="6"/>
  <c r="C58" i="6"/>
  <c r="E7" i="9" s="1"/>
  <c r="B75" i="6"/>
  <c r="D144" i="8"/>
  <c r="C164" i="8"/>
  <c r="C157" i="8"/>
  <c r="B144" i="8"/>
  <c r="Z7" i="10" s="1"/>
  <c r="D23" i="9"/>
  <c r="J10" i="9"/>
  <c r="D22" i="9"/>
  <c r="J7" i="9"/>
  <c r="D20" i="9"/>
  <c r="J5" i="9"/>
  <c r="C56" i="6"/>
  <c r="D19" i="9" s="1"/>
  <c r="E56" i="6"/>
  <c r="D56" i="6"/>
  <c r="C71" i="6"/>
  <c r="E22" i="9"/>
  <c r="J9" i="9"/>
  <c r="J25" i="9"/>
  <c r="J14" i="9"/>
  <c r="D24" i="9"/>
  <c r="E25" i="9"/>
  <c r="E29" i="9" s="1"/>
  <c r="J13" i="9"/>
  <c r="J11" i="9"/>
  <c r="E23" i="9"/>
  <c r="J23" i="9" s="1"/>
  <c r="D21" i="9"/>
  <c r="J4" i="9"/>
  <c r="J17" i="9"/>
  <c r="D26" i="9"/>
  <c r="J24" i="9"/>
  <c r="D29" i="9"/>
  <c r="J18" i="9"/>
  <c r="E27" i="9"/>
  <c r="J8" i="9"/>
  <c r="E20" i="9"/>
  <c r="E28" i="9"/>
  <c r="J21" i="9"/>
  <c r="B71" i="6"/>
  <c r="AJ5" i="10"/>
  <c r="AP5" i="10"/>
  <c r="AU5" i="10"/>
  <c r="AV5" i="10"/>
  <c r="B73" i="8"/>
  <c r="AI5" i="10"/>
  <c r="C73" i="8"/>
  <c r="D70" i="8" s="1"/>
  <c r="C60" i="8"/>
  <c r="AC5" i="10" s="1"/>
  <c r="AK5" i="10"/>
  <c r="BC5" i="10"/>
  <c r="AN5" i="10"/>
  <c r="AT5" i="10"/>
  <c r="AM5" i="10"/>
  <c r="AQ5" i="10"/>
  <c r="AL5" i="10"/>
  <c r="BA5" i="10"/>
  <c r="AH5" i="10"/>
  <c r="AW5" i="10"/>
  <c r="C144" i="8"/>
  <c r="C7" i="10" s="1"/>
  <c r="E144" i="8"/>
  <c r="E153" i="8"/>
  <c r="AN7" i="10"/>
  <c r="C148" i="8"/>
  <c r="I7" i="10" s="1"/>
  <c r="AK7" i="10"/>
  <c r="E151" i="8"/>
  <c r="AJ7" i="10"/>
  <c r="B153" i="8"/>
  <c r="AD7" i="10" s="1"/>
  <c r="AL7" i="10"/>
  <c r="AQ7" i="10"/>
  <c r="AU7" i="10"/>
  <c r="AH7" i="10"/>
  <c r="AV7" i="10"/>
  <c r="D153" i="8"/>
  <c r="C165" i="8"/>
  <c r="D161" i="8" s="1"/>
  <c r="B165" i="8"/>
  <c r="B152" i="8"/>
  <c r="AB7" i="10" s="1"/>
  <c r="C152" i="8"/>
  <c r="Y7" i="10" s="1"/>
  <c r="D152" i="8"/>
  <c r="C153" i="8"/>
  <c r="V7" i="10" s="1"/>
  <c r="E152" i="8"/>
  <c r="C151" i="8"/>
  <c r="M7" i="10" s="1"/>
  <c r="B164" i="8"/>
  <c r="B151" i="8"/>
  <c r="J7" i="10" s="1"/>
  <c r="B166" i="8"/>
  <c r="C57" i="6"/>
  <c r="D9" i="9" s="1"/>
  <c r="B72" i="6"/>
  <c r="C72" i="6"/>
  <c r="D255" i="8"/>
  <c r="D341" i="8"/>
  <c r="D340" i="8"/>
  <c r="D343" i="8"/>
  <c r="D246" i="8"/>
  <c r="D336" i="8"/>
  <c r="D339" i="8"/>
  <c r="D250" i="8"/>
  <c r="D247" i="8"/>
  <c r="D337" i="8"/>
  <c r="D342" i="8"/>
  <c r="D256" i="8"/>
  <c r="D251" i="8"/>
  <c r="D73" i="8"/>
  <c r="D345" i="8"/>
  <c r="D257" i="8"/>
  <c r="D69" i="8"/>
  <c r="D74" i="8"/>
  <c r="D252" i="8"/>
  <c r="D347" i="8"/>
  <c r="D66" i="8"/>
  <c r="D67" i="8"/>
  <c r="D344" i="8"/>
  <c r="D248" i="8"/>
  <c r="D249" i="8"/>
  <c r="D254" i="8"/>
  <c r="D71" i="6" l="1"/>
  <c r="D79" i="6"/>
  <c r="D76" i="6"/>
  <c r="D77" i="6"/>
  <c r="D78" i="6"/>
  <c r="D71" i="8"/>
  <c r="D167" i="8"/>
  <c r="D75" i="8"/>
  <c r="E32" i="9"/>
  <c r="J29" i="9"/>
  <c r="E31" i="9"/>
  <c r="J27" i="9"/>
  <c r="D69" i="6"/>
  <c r="J19" i="9"/>
  <c r="C5" i="11" s="1"/>
  <c r="E26" i="9"/>
  <c r="D73" i="6"/>
  <c r="D75" i="6"/>
  <c r="D30" i="9"/>
  <c r="J22" i="9"/>
  <c r="J26" i="9"/>
  <c r="D31" i="9"/>
  <c r="D72" i="6"/>
  <c r="D68" i="6"/>
  <c r="D28" i="9"/>
  <c r="J20" i="9"/>
  <c r="E30" i="9"/>
  <c r="BB5" i="10"/>
  <c r="AZ5" i="10"/>
  <c r="BD5" i="10"/>
  <c r="AY5" i="10"/>
  <c r="D76" i="8"/>
  <c r="D68" i="8"/>
  <c r="AX5" i="10"/>
  <c r="D72" i="8"/>
  <c r="B84" i="8" s="1"/>
  <c r="D77" i="8"/>
  <c r="BE5" i="10"/>
  <c r="AT7" i="10"/>
  <c r="D164" i="8"/>
  <c r="D160" i="8"/>
  <c r="D159" i="8"/>
  <c r="D163" i="8"/>
  <c r="AW7" i="10"/>
  <c r="AI7" i="10"/>
  <c r="AM7" i="10"/>
  <c r="AZ7" i="10"/>
  <c r="D157" i="8"/>
  <c r="BB7" i="10"/>
  <c r="D158" i="8"/>
  <c r="D166" i="8"/>
  <c r="D162" i="8"/>
  <c r="AP7" i="10"/>
  <c r="AY7" i="10"/>
  <c r="D165" i="8"/>
  <c r="D156" i="8"/>
  <c r="D74" i="6"/>
  <c r="D70" i="6"/>
  <c r="B83" i="8"/>
  <c r="B80" i="8"/>
  <c r="B353" i="8"/>
  <c r="B358" i="8"/>
  <c r="B352" i="8"/>
  <c r="B349" i="8"/>
  <c r="B351" i="8"/>
  <c r="B350" i="8"/>
  <c r="B355" i="8"/>
  <c r="B356" i="8"/>
  <c r="B354" i="8"/>
  <c r="B266" i="8"/>
  <c r="B265" i="8"/>
  <c r="B264" i="8"/>
  <c r="B263" i="8"/>
  <c r="B261" i="8"/>
  <c r="B260" i="8"/>
  <c r="B259" i="8"/>
  <c r="B262" i="8"/>
  <c r="B268" i="8"/>
  <c r="J5" i="11" l="1"/>
  <c r="F5" i="11"/>
  <c r="G4" i="11"/>
  <c r="I4" i="11"/>
  <c r="G5" i="11"/>
  <c r="B4" i="11"/>
  <c r="X4" i="11"/>
  <c r="B82" i="6"/>
  <c r="L5" i="11"/>
  <c r="B84" i="6"/>
  <c r="B87" i="6"/>
  <c r="T4" i="11"/>
  <c r="T5" i="11"/>
  <c r="S4" i="11"/>
  <c r="B82" i="8"/>
  <c r="B171" i="8"/>
  <c r="E33" i="9"/>
  <c r="E34" i="9" s="1"/>
  <c r="J31" i="9"/>
  <c r="B83" i="6"/>
  <c r="Q4" i="11"/>
  <c r="N4" i="11"/>
  <c r="E5" i="11"/>
  <c r="V4" i="11"/>
  <c r="D33" i="9"/>
  <c r="J30" i="9"/>
  <c r="V5" i="11"/>
  <c r="W4" i="11"/>
  <c r="U4" i="11"/>
  <c r="D32" i="9"/>
  <c r="D34" i="9" s="1"/>
  <c r="J34" i="9" s="1"/>
  <c r="J28" i="9"/>
  <c r="M4" i="11"/>
  <c r="P5" i="11"/>
  <c r="B85" i="6"/>
  <c r="H4" i="11"/>
  <c r="B89" i="6"/>
  <c r="B92" i="6"/>
  <c r="E18" i="9" s="1"/>
  <c r="L4" i="11"/>
  <c r="B88" i="6"/>
  <c r="P4" i="11"/>
  <c r="H5" i="11"/>
  <c r="F4" i="11"/>
  <c r="D35" i="9"/>
  <c r="J32" i="9"/>
  <c r="B5" i="11"/>
  <c r="J4" i="11"/>
  <c r="O4" i="11"/>
  <c r="Q5" i="11"/>
  <c r="E4" i="11"/>
  <c r="N5" i="11"/>
  <c r="C4" i="11"/>
  <c r="B86" i="6"/>
  <c r="O5" i="11"/>
  <c r="D5" i="11"/>
  <c r="Y4" i="11"/>
  <c r="D4" i="11"/>
  <c r="M5" i="11"/>
  <c r="S5" i="11"/>
  <c r="R4" i="11"/>
  <c r="K4" i="11"/>
  <c r="BF5" i="10"/>
  <c r="BJ5" i="10" s="1"/>
  <c r="B85" i="8"/>
  <c r="B86" i="8"/>
  <c r="BI5" i="10"/>
  <c r="BK5" i="10" s="1"/>
  <c r="B88" i="8"/>
  <c r="AA5" i="10" s="1"/>
  <c r="B79" i="8"/>
  <c r="BG5" i="10"/>
  <c r="B81" i="8"/>
  <c r="BH5" i="10"/>
  <c r="BH7" i="10"/>
  <c r="BG7" i="10"/>
  <c r="B170" i="8"/>
  <c r="B173" i="8"/>
  <c r="AX7" i="10"/>
  <c r="R5" i="11"/>
  <c r="B169" i="8"/>
  <c r="B174" i="8"/>
  <c r="BE7" i="10"/>
  <c r="Y5" i="11"/>
  <c r="B172" i="8"/>
  <c r="B176" i="8"/>
  <c r="B175" i="8"/>
  <c r="B178" i="8"/>
  <c r="S7" i="10" s="1"/>
  <c r="BD7" i="10"/>
  <c r="X5" i="11"/>
  <c r="U9" i="10"/>
  <c r="K9" i="10"/>
  <c r="AE9" i="10"/>
  <c r="AA9" i="10"/>
  <c r="E9" i="10"/>
  <c r="S9" i="10"/>
  <c r="Q9" i="10"/>
  <c r="O9" i="10"/>
  <c r="AE11" i="10"/>
  <c r="S11" i="10"/>
  <c r="Q11" i="10"/>
  <c r="K11" i="10"/>
  <c r="AA11" i="10"/>
  <c r="O11" i="10"/>
  <c r="U11" i="10"/>
  <c r="E11" i="10"/>
  <c r="AC4" i="11" l="1"/>
  <c r="Z4" i="11"/>
  <c r="AF4" i="11"/>
  <c r="AB4" i="11"/>
  <c r="AA4" i="11"/>
  <c r="E5" i="10"/>
  <c r="K5" i="10"/>
  <c r="E35" i="9"/>
  <c r="J35" i="9" s="1"/>
  <c r="J33" i="9"/>
  <c r="AE5" i="11" s="1"/>
  <c r="E10" i="9"/>
  <c r="E11" i="9"/>
  <c r="AA5" i="11"/>
  <c r="E5" i="9"/>
  <c r="AB5" i="11"/>
  <c r="E12" i="9"/>
  <c r="E13" i="9"/>
  <c r="E16" i="9"/>
  <c r="E8" i="9"/>
  <c r="Q5" i="10"/>
  <c r="BL5" i="10"/>
  <c r="AD4" i="11"/>
  <c r="U5" i="10"/>
  <c r="AE5" i="10"/>
  <c r="O5" i="10"/>
  <c r="BM5" i="10"/>
  <c r="S5" i="10"/>
  <c r="AC5" i="11"/>
  <c r="BI7" i="10"/>
  <c r="BK7" i="10" s="1"/>
  <c r="AE7" i="10"/>
  <c r="U7" i="10"/>
  <c r="AA7" i="10"/>
  <c r="K7" i="10"/>
  <c r="O7" i="10"/>
  <c r="E7" i="10"/>
  <c r="Q7" i="10"/>
  <c r="BF7" i="10"/>
  <c r="BJ7" i="10" s="1"/>
  <c r="AF5" i="11" s="1"/>
  <c r="Z5" i="11"/>
  <c r="BL7" i="10"/>
  <c r="BM7" i="10"/>
  <c r="AD5" i="11" l="1"/>
  <c r="AE4" i="11"/>
  <c r="AS7" i="10"/>
  <c r="K5" i="11"/>
  <c r="AO7" i="10"/>
  <c r="I5" i="11"/>
  <c r="AG4" i="11"/>
  <c r="AH4" i="11" s="1"/>
  <c r="K4" i="13" s="1"/>
  <c r="M4" i="13" s="1"/>
  <c r="AG5" i="11"/>
  <c r="BC7" i="10" l="1"/>
  <c r="U5" i="11"/>
  <c r="BA7" i="10"/>
  <c r="W5" i="11"/>
  <c r="O4" i="13"/>
  <c r="AH5" i="11" l="1"/>
  <c r="K5" i="13" s="1"/>
  <c r="M5" i="13" s="1"/>
  <c r="O5" i="13" l="1"/>
  <c r="C5" i="14"/>
  <c r="P4" i="13" l="1"/>
  <c r="P6" i="13"/>
  <c r="P7" i="13"/>
  <c r="P5" i="13"/>
  <c r="D7" i="13" l="1"/>
  <c r="D12" i="14" s="1"/>
  <c r="B5" i="13"/>
  <c r="B10" i="14" s="1"/>
  <c r="C7" i="13"/>
  <c r="C12" i="14" s="1"/>
  <c r="B7" i="13"/>
  <c r="B12" i="14" s="1"/>
  <c r="G4" i="13"/>
  <c r="G9" i="14" s="1"/>
  <c r="F4" i="13"/>
  <c r="F9" i="14" s="1"/>
  <c r="B6" i="13"/>
  <c r="B11" i="14" s="1"/>
  <c r="C4" i="13"/>
  <c r="C9" i="14" s="1"/>
  <c r="D4" i="13"/>
  <c r="D9" i="14" s="1"/>
  <c r="F7" i="13"/>
  <c r="F12" i="14" s="1"/>
  <c r="E7" i="13"/>
  <c r="E12" i="14" s="1"/>
  <c r="C5" i="13"/>
  <c r="C10" i="14" s="1"/>
  <c r="D6" i="13"/>
  <c r="D11" i="14" s="1"/>
  <c r="C6" i="13"/>
  <c r="C11" i="14" s="1"/>
  <c r="G5" i="13"/>
  <c r="G10" i="14" s="1"/>
  <c r="F5" i="13"/>
  <c r="F10" i="14" s="1"/>
  <c r="G7" i="13"/>
  <c r="G12" i="14" s="1"/>
  <c r="E5" i="13"/>
  <c r="E10" i="14" s="1"/>
  <c r="D5" i="13"/>
  <c r="D10" i="14" s="1"/>
  <c r="G6" i="13"/>
  <c r="G11" i="14" s="1"/>
  <c r="E4" i="13"/>
  <c r="E9" i="14" s="1"/>
  <c r="F6" i="13"/>
  <c r="F11" i="14" s="1"/>
  <c r="E6" i="13"/>
  <c r="E11" i="14" s="1"/>
  <c r="B4" i="13"/>
  <c r="B9" i="14" s="1"/>
  <c r="A5" i="14"/>
</calcChain>
</file>

<file path=xl/sharedStrings.xml><?xml version="1.0" encoding="utf-8"?>
<sst xmlns="http://schemas.openxmlformats.org/spreadsheetml/2006/main" count="6090" uniqueCount="1091">
  <si>
    <t>BOLAO COPA DO MUNDO 2026  -  TURIM MFO</t>
  </si>
  <si>
    <t>REGULAMENTO OFICIAL v7 - ENVIO UNICO | BRACKET FIFA CORRETO</t>
  </si>
  <si>
    <t>COMO FUNCIONA</t>
  </si>
  <si>
    <t>Envio UNICO antes da Copa. Preencha tudo de uma vez: grupos, bonus e mata-mata.</t>
  </si>
  <si>
    <t>Os confrontos do mata-mata sao calculados automaticamente com base nos seus palpites dos grupos.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</si>
  <si>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</si>
  <si>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</si>
  <si>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</si>
  <si>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</si>
  <si>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</si>
  <si>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</si>
  <si>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3x2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</si>
  <si>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</si>
  <si>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</si>
  <si>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</si>
  <si>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</si>
  <si>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</si>
  <si>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</si>
  <si>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</si>
  <si>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</si>
  <si>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</si>
  <si>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</si>
  <si>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sao definidos automaticamente pelos seus palpites dos grupos.</t>
  </si>
  <si>
    <t>A Rodada de 32 segue o bracket oficial da FIFA (M73-M88), incluindo a tabela de 495 combinacoes de 3os colocados.</t>
  </si>
  <si>
    <t>Preencha da esquerda para a direita: R32 primeiro, depois Oitavas, Quartas, Semis e Final.</t>
  </si>
  <si>
    <t>PONTUACAO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</si>
  <si>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</si>
  <si>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</si>
  <si>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</si>
  <si>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</si>
  <si>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</si>
  <si>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</si>
  <si>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</si>
  <si>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</si>
  <si>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</si>
  <si>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</si>
  <si>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(Campeao)</t>
  </si>
  <si>
    <t>25 pontos</t>
  </si>
  <si>
    <t>CRITERIOS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</si>
  <si>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</si>
  <si>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</si>
  <si>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</si>
  <si>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</si>
  <si>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Administrador: ___________________________   |   Versao 6.0 - Copa 2026</t>
  </si>
  <si>
    <t>COPA DO MUNDO 2026 - CALENDARIO: FASE DE GRUPOS</t>
  </si>
  <si>
    <t>ID</t>
  </si>
  <si>
    <t>Data</t>
  </si>
  <si>
    <t>Grupo</t>
  </si>
  <si>
    <t>Selecao 1</t>
  </si>
  <si>
    <t>Selecao 2</t>
  </si>
  <si>
    <t>Gols S1</t>
  </si>
  <si>
    <t>Gols S2</t>
  </si>
  <si>
    <t>Status</t>
  </si>
  <si>
    <t>G001</t>
  </si>
  <si>
    <t>A</t>
  </si>
  <si>
    <t>Mexico</t>
  </si>
  <si>
    <t>Africa do Sul</t>
  </si>
  <si>
    <t>G002</t>
  </si>
  <si>
    <t>Coreia do Sul</t>
  </si>
  <si>
    <t>Tchequia</t>
  </si>
  <si>
    <t>G003</t>
  </si>
  <si>
    <t>G004</t>
  </si>
  <si>
    <t>G005</t>
  </si>
  <si>
    <t>G006</t>
  </si>
  <si>
    <t>G007</t>
  </si>
  <si>
    <t>B</t>
  </si>
  <si>
    <t>Canada</t>
  </si>
  <si>
    <t>Bosnia e Herzegovina</t>
  </si>
  <si>
    <t>G008</t>
  </si>
  <si>
    <t>Qatar</t>
  </si>
  <si>
    <t>Suica</t>
  </si>
  <si>
    <t>G009</t>
  </si>
  <si>
    <t>G010</t>
  </si>
  <si>
    <t>G011</t>
  </si>
  <si>
    <t>G012</t>
  </si>
  <si>
    <t>G013</t>
  </si>
  <si>
    <t>C</t>
  </si>
  <si>
    <t>Brasil</t>
  </si>
  <si>
    <t>Marrocos</t>
  </si>
  <si>
    <t>G014</t>
  </si>
  <si>
    <t>Haiti</t>
  </si>
  <si>
    <t>Escocia</t>
  </si>
  <si>
    <t>G015</t>
  </si>
  <si>
    <t>G016</t>
  </si>
  <si>
    <t>G017</t>
  </si>
  <si>
    <t>G018</t>
  </si>
  <si>
    <t>G019</t>
  </si>
  <si>
    <t>D</t>
  </si>
  <si>
    <t>Estados Unidos</t>
  </si>
  <si>
    <t>Paraguai</t>
  </si>
  <si>
    <t>G020</t>
  </si>
  <si>
    <t>Australia</t>
  </si>
  <si>
    <t>Turquia</t>
  </si>
  <si>
    <t>G021</t>
  </si>
  <si>
    <t>G022</t>
  </si>
  <si>
    <t>G023</t>
  </si>
  <si>
    <t>G024</t>
  </si>
  <si>
    <t>G025</t>
  </si>
  <si>
    <t>E</t>
  </si>
  <si>
    <t>Alemanha</t>
  </si>
  <si>
    <t>Curacao</t>
  </si>
  <si>
    <t>G026</t>
  </si>
  <si>
    <t>Costa do Marfim</t>
  </si>
  <si>
    <t>Equador</t>
  </si>
  <si>
    <t>G027</t>
  </si>
  <si>
    <t>G028</t>
  </si>
  <si>
    <t>G029</t>
  </si>
  <si>
    <t>G030</t>
  </si>
  <si>
    <t>G031</t>
  </si>
  <si>
    <t>F</t>
  </si>
  <si>
    <t>Holanda</t>
  </si>
  <si>
    <t>Japao</t>
  </si>
  <si>
    <t>G032</t>
  </si>
  <si>
    <t>Suecia</t>
  </si>
  <si>
    <t>Tunisia</t>
  </si>
  <si>
    <t>G033</t>
  </si>
  <si>
    <t>G034</t>
  </si>
  <si>
    <t>G035</t>
  </si>
  <si>
    <t>G036</t>
  </si>
  <si>
    <t>G037</t>
  </si>
  <si>
    <t>G</t>
  </si>
  <si>
    <t>Belgica</t>
  </si>
  <si>
    <t>Egito</t>
  </si>
  <si>
    <t>G038</t>
  </si>
  <si>
    <t>Ira</t>
  </si>
  <si>
    <t>Nova Zelandia</t>
  </si>
  <si>
    <t>G039</t>
  </si>
  <si>
    <t>G040</t>
  </si>
  <si>
    <t>G041</t>
  </si>
  <si>
    <t>G042</t>
  </si>
  <si>
    <t>G043</t>
  </si>
  <si>
    <t>H</t>
  </si>
  <si>
    <t>Espanha</t>
  </si>
  <si>
    <t>Cabo Verde</t>
  </si>
  <si>
    <t>G044</t>
  </si>
  <si>
    <t>Arabia Saudita</t>
  </si>
  <si>
    <t>Uruguai</t>
  </si>
  <si>
    <t>G045</t>
  </si>
  <si>
    <t>G046</t>
  </si>
  <si>
    <t>G047</t>
  </si>
  <si>
    <t>G048</t>
  </si>
  <si>
    <t>G049</t>
  </si>
  <si>
    <t>I</t>
  </si>
  <si>
    <t>Franca</t>
  </si>
  <si>
    <t>Senegal</t>
  </si>
  <si>
    <t>G050</t>
  </si>
  <si>
    <t>Iraque</t>
  </si>
  <si>
    <t>Noruega</t>
  </si>
  <si>
    <t>G051</t>
  </si>
  <si>
    <t>G052</t>
  </si>
  <si>
    <t>G053</t>
  </si>
  <si>
    <t>G054</t>
  </si>
  <si>
    <t>G055</t>
  </si>
  <si>
    <t>J</t>
  </si>
  <si>
    <t>Argentina</t>
  </si>
  <si>
    <t>Argelia</t>
  </si>
  <si>
    <t>G056</t>
  </si>
  <si>
    <t>Austria</t>
  </si>
  <si>
    <t>Jordania</t>
  </si>
  <si>
    <t>G057</t>
  </si>
  <si>
    <t>G058</t>
  </si>
  <si>
    <t>G059</t>
  </si>
  <si>
    <t>G060</t>
  </si>
  <si>
    <t>G061</t>
  </si>
  <si>
    <t>K</t>
  </si>
  <si>
    <t>Portugal</t>
  </si>
  <si>
    <t>RD Congo</t>
  </si>
  <si>
    <t>G062</t>
  </si>
  <si>
    <t>Uzbequistao</t>
  </si>
  <si>
    <t>Colombia</t>
  </si>
  <si>
    <t>G063</t>
  </si>
  <si>
    <t>G064</t>
  </si>
  <si>
    <t>G065</t>
  </si>
  <si>
    <t>G066</t>
  </si>
  <si>
    <t>G067</t>
  </si>
  <si>
    <t>L</t>
  </si>
  <si>
    <t>Inglaterra</t>
  </si>
  <si>
    <t>Croacia</t>
  </si>
  <si>
    <t>G068</t>
  </si>
  <si>
    <t>Gana</t>
  </si>
  <si>
    <t>Panama</t>
  </si>
  <si>
    <t>G069</t>
  </si>
  <si>
    <t>G070</t>
  </si>
  <si>
    <t>G071</t>
  </si>
  <si>
    <t>G072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</si>
  <si>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</si>
  <si>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</si>
  <si>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</si>
  <si>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</si>
  <si>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</si>
  <si>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</si>
  <si>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</si>
  <si>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</si>
  <si>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</si>
  <si>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</si>
  <si>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</si>
  <si>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</si>
  <si>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</si>
  <si>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</si>
  <si>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</si>
  <si>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</si>
  <si>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</si>
  <si>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</si>
  <si>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</si>
  <si>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</si>
  <si>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</si>
  <si>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</si>
  <si>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</si>
  <si>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</si>
  <si>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</si>
  <si>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</si>
  <si>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</si>
  <si>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</si>
  <si>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</si>
  <si>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</si>
  <si>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</si>
  <si>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</si>
  <si>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</si>
  <si>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</si>
  <si>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</si>
  <si>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</si>
  <si>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</si>
  <si>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</si>
  <si>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</si>
  <si>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</si>
  <si>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</si>
  <si>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</si>
  <si>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</si>
  <si>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</si>
  <si>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</si>
  <si>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</si>
  <si>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</si>
  <si>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</si>
  <si>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</si>
  <si>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</si>
  <si>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</si>
  <si>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</si>
  <si>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</si>
  <si>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</si>
  <si>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</si>
  <si>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</si>
  <si>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</si>
  <si>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</si>
  <si>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</si>
  <si>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</si>
  <si>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</si>
  <si>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</si>
  <si>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</si>
  <si>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</si>
  <si>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</si>
  <si>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</si>
  <si>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</si>
  <si>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</si>
  <si>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</si>
  <si>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</si>
  <si>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</si>
  <si>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</si>
  <si>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</si>
  <si>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</si>
  <si>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</si>
  <si>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</si>
  <si>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Pedro Brandao</t>
  </si>
  <si>
    <t>Joao Mello</t>
  </si>
  <si>
    <t>Victor Bethlem</t>
  </si>
  <si>
    <t>Pedro Herdy</t>
  </si>
  <si>
    <t>BOLAO 2026 - APOSTAS: BONUS</t>
  </si>
  <si>
    <t>Preencha antes do 1o jogo (11/Jun). Admin preenche linha 4 com resultados reais apos a Copa.</t>
  </si>
  <si>
    <t>Artilheiro (10 pts)</t>
  </si>
  <si>
    <t>Melhor Campanha Grupos (5 pts)</t>
  </si>
  <si>
    <t>RESULTADO REAL (Admin)</t>
  </si>
  <si>
    <t>PONTUACAO: FASE DE GRUPOS - AUTOMATICO (NAO EDITAR)</t>
  </si>
  <si>
    <t>5=placar exato | 3=resultado+saldo correto | 2=apenas resultado correto | 0=errou</t>
  </si>
  <si>
    <t>G001
A</t>
  </si>
  <si>
    <t>G002
A</t>
  </si>
  <si>
    <t>G003
A</t>
  </si>
  <si>
    <t>G004
A</t>
  </si>
  <si>
    <t>G005
A</t>
  </si>
  <si>
    <t>G006
A</t>
  </si>
  <si>
    <t>G007
B</t>
  </si>
  <si>
    <t>G008
B</t>
  </si>
  <si>
    <t>G009
B</t>
  </si>
  <si>
    <t>G010
B</t>
  </si>
  <si>
    <t>G011
B</t>
  </si>
  <si>
    <t>G012
B</t>
  </si>
  <si>
    <t>G013
C</t>
  </si>
  <si>
    <t>G014
C</t>
  </si>
  <si>
    <t>G015
C</t>
  </si>
  <si>
    <t>G016
C</t>
  </si>
  <si>
    <t>G017
C</t>
  </si>
  <si>
    <t>G018
C</t>
  </si>
  <si>
    <t>G019
D</t>
  </si>
  <si>
    <t>G020
D</t>
  </si>
  <si>
    <t>G021
D</t>
  </si>
  <si>
    <t>G022
D</t>
  </si>
  <si>
    <t>G023
D</t>
  </si>
  <si>
    <t>G024
D</t>
  </si>
  <si>
    <t>G025
E</t>
  </si>
  <si>
    <t>G026
E</t>
  </si>
  <si>
    <t>G027
E</t>
  </si>
  <si>
    <t>G028
E</t>
  </si>
  <si>
    <t>G029
E</t>
  </si>
  <si>
    <t>G030
E</t>
  </si>
  <si>
    <t>G031
F</t>
  </si>
  <si>
    <t>G032
F</t>
  </si>
  <si>
    <t>G033
F</t>
  </si>
  <si>
    <t>G034
F</t>
  </si>
  <si>
    <t>G035
F</t>
  </si>
  <si>
    <t>G036
F</t>
  </si>
  <si>
    <t>G037
G</t>
  </si>
  <si>
    <t>G038
G</t>
  </si>
  <si>
    <t>G039
G</t>
  </si>
  <si>
    <t>G040
G</t>
  </si>
  <si>
    <t>G041
G</t>
  </si>
  <si>
    <t>G042
G</t>
  </si>
  <si>
    <t>G043
H</t>
  </si>
  <si>
    <t>G044
H</t>
  </si>
  <si>
    <t>G045
H</t>
  </si>
  <si>
    <t>G046
H</t>
  </si>
  <si>
    <t>G047
H</t>
  </si>
  <si>
    <t>G048
H</t>
  </si>
  <si>
    <t>G049
I</t>
  </si>
  <si>
    <t>G050
I</t>
  </si>
  <si>
    <t>G051
I</t>
  </si>
  <si>
    <t>G052
I</t>
  </si>
  <si>
    <t>G053
I</t>
  </si>
  <si>
    <t>G054
I</t>
  </si>
  <si>
    <t>G055
J</t>
  </si>
  <si>
    <t>G056
J</t>
  </si>
  <si>
    <t>G057
J</t>
  </si>
  <si>
    <t>G058
J</t>
  </si>
  <si>
    <t>G059
J</t>
  </si>
  <si>
    <t>G060
J</t>
  </si>
  <si>
    <t>G061
K</t>
  </si>
  <si>
    <t>G062
K</t>
  </si>
  <si>
    <t>G063
K</t>
  </si>
  <si>
    <t>G064
K</t>
  </si>
  <si>
    <t>G065
K</t>
  </si>
  <si>
    <t>G066
K</t>
  </si>
  <si>
    <t>G067
L</t>
  </si>
  <si>
    <t>G068
L</t>
  </si>
  <si>
    <t>G069
L</t>
  </si>
  <si>
    <t>G070
L</t>
  </si>
  <si>
    <t>G071
L</t>
  </si>
  <si>
    <t>G072
L</t>
  </si>
  <si>
    <t>TOTAL
PTS</t>
  </si>
  <si>
    <t>Times</t>
  </si>
  <si>
    <t>Mexico x Africa do Sul</t>
  </si>
  <si>
    <t>Coreia do Sul x Tchequia</t>
  </si>
  <si>
    <t>Tchequia x Africa do Sul</t>
  </si>
  <si>
    <t>Mexico x Coreia do Sul</t>
  </si>
  <si>
    <t>Tchequia x Mexico</t>
  </si>
  <si>
    <t>Africa do Sul x Coreia do Sul</t>
  </si>
  <si>
    <t>Canada x Bosnia e Herzegovina</t>
  </si>
  <si>
    <t>Qatar x Suica</t>
  </si>
  <si>
    <t>Suica x Bosnia e Herzegovina</t>
  </si>
  <si>
    <t>Canada x Qatar</t>
  </si>
  <si>
    <t>Suica x Canada</t>
  </si>
  <si>
    <t>Bosnia e Herzegovina x Qatar</t>
  </si>
  <si>
    <t>Brasil x Marrocos</t>
  </si>
  <si>
    <t>Haiti x Escocia</t>
  </si>
  <si>
    <t>Escocia x Marrocos</t>
  </si>
  <si>
    <t>Brasil x Haiti</t>
  </si>
  <si>
    <t>Escocia x Brasil</t>
  </si>
  <si>
    <t>Marrocos x Haiti</t>
  </si>
  <si>
    <t>Estados Unidos x Paraguai</t>
  </si>
  <si>
    <t>Australia x Turquia</t>
  </si>
  <si>
    <t>Estados Unidos x Australia</t>
  </si>
  <si>
    <t>Turquia x Paraguai</t>
  </si>
  <si>
    <t>Turquia x Estados Unidos</t>
  </si>
  <si>
    <t>Paraguai x Australia</t>
  </si>
  <si>
    <t>Alemanha x Curacao</t>
  </si>
  <si>
    <t>Costa do Marfim x Equador</t>
  </si>
  <si>
    <t>Alemanha x Costa do Marfim</t>
  </si>
  <si>
    <t>Equador x Curacao</t>
  </si>
  <si>
    <t>Equador x Alemanha</t>
  </si>
  <si>
    <t>Curacao x Costa do Marfim</t>
  </si>
  <si>
    <t>Holanda x Japao</t>
  </si>
  <si>
    <t>Suecia x Tunisia</t>
  </si>
  <si>
    <t>Holanda x Suecia</t>
  </si>
  <si>
    <t>Tunisia x Japao</t>
  </si>
  <si>
    <t>Japao x Suecia</t>
  </si>
  <si>
    <t>Tunisia x Holanda</t>
  </si>
  <si>
    <t>Belgica x Egito</t>
  </si>
  <si>
    <t>Ira x Nova Zelandia</t>
  </si>
  <si>
    <t>Belgica x Ira</t>
  </si>
  <si>
    <t>Nova Zelandia x Egito</t>
  </si>
  <si>
    <t>Egito x Ira</t>
  </si>
  <si>
    <t>Nova Zelandia x Belgica</t>
  </si>
  <si>
    <t>Espanha x Cabo Verde</t>
  </si>
  <si>
    <t>Arabia Saudita x Uruguai</t>
  </si>
  <si>
    <t>Espanha x Arabia Saudita</t>
  </si>
  <si>
    <t>Uruguai x Cabo Verde</t>
  </si>
  <si>
    <t>Cabo Verde x Arabia Saudita</t>
  </si>
  <si>
    <t>Uruguai x Espanha</t>
  </si>
  <si>
    <t>Franca x Senegal</t>
  </si>
  <si>
    <t>Iraque x Noruega</t>
  </si>
  <si>
    <t>Franca x Iraque</t>
  </si>
  <si>
    <t>Noruega x Senegal</t>
  </si>
  <si>
    <t>Noruega x Franca</t>
  </si>
  <si>
    <t>Senegal x Iraque</t>
  </si>
  <si>
    <t>Argentina x Argelia</t>
  </si>
  <si>
    <t>Austria x Jordania</t>
  </si>
  <si>
    <t>Argentina x Austria</t>
  </si>
  <si>
    <t>Jordania x Argelia</t>
  </si>
  <si>
    <t>Argelia x Austria</t>
  </si>
  <si>
    <t>Jordania x Argentina</t>
  </si>
  <si>
    <t>Portugal x RD Congo</t>
  </si>
  <si>
    <t>Uzbequistao x Colombia</t>
  </si>
  <si>
    <t>Portugal x Uzbequistao</t>
  </si>
  <si>
    <t>Colombia x RD Congo</t>
  </si>
  <si>
    <t>Colombia x Portugal</t>
  </si>
  <si>
    <t>RD Congo x Uzbequistao</t>
  </si>
  <si>
    <t>Inglaterra x Croacia</t>
  </si>
  <si>
    <t>Gana x Panama</t>
  </si>
  <si>
    <t>Inglaterra x Gana</t>
  </si>
  <si>
    <t>Panama x Croacia</t>
  </si>
  <si>
    <t>Panama x Inglaterra</t>
  </si>
  <si>
    <t>Croacia x Gana</t>
  </si>
  <si>
    <t>CLASSIFICACAO GABARITO - NAO EDITAR</t>
  </si>
  <si>
    <t>Selecao</t>
  </si>
  <si>
    <t>V</t>
  </si>
  <si>
    <t>GF</t>
  </si>
  <si>
    <t>GA</t>
  </si>
  <si>
    <t>GD</t>
  </si>
  <si>
    <t>Pts</t>
  </si>
  <si>
    <t>Sort Key</t>
  </si>
  <si>
    <t>Pos</t>
  </si>
  <si>
    <t>1o</t>
  </si>
  <si>
    <t>2o</t>
  </si>
  <si>
    <t>3o</t>
  </si>
  <si>
    <t>4o</t>
  </si>
  <si>
    <t>Sort</t>
  </si>
  <si>
    <t>Rank</t>
  </si>
  <si>
    <t>8 Melhores 3os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</si>
  <si>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</si>
  <si>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</si>
  <si>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</si>
  <si>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</si>
  <si>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</si>
  <si>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</si>
  <si>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</si>
  <si>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</si>
  <si>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</si>
  <si>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</si>
  <si>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</si>
  <si>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</si>
  <si>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</si>
  <si>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</si>
  <si>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</si>
  <si>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</si>
  <si>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</si>
  <si>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</si>
  <si>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</si>
  <si>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</si>
  <si>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</si>
  <si>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</si>
  <si>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</si>
  <si>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</si>
  <si>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</si>
  <si>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</si>
  <si>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</si>
  <si>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</si>
  <si>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</si>
  <si>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</si>
  <si>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</si>
  <si>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</si>
  <si>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</si>
  <si>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</si>
  <si>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</si>
  <si>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</si>
  <si>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</si>
  <si>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</si>
  <si>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</si>
  <si>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</si>
  <si>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</si>
  <si>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</si>
  <si>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</si>
  <si>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</si>
  <si>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</si>
  <si>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</si>
  <si>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</si>
  <si>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</si>
  <si>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</si>
  <si>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</si>
  <si>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</si>
  <si>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</si>
  <si>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</si>
  <si>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</si>
  <si>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</si>
  <si>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</si>
  <si>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</si>
  <si>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</si>
  <si>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</si>
  <si>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</si>
  <si>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</si>
  <si>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</si>
  <si>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</si>
  <si>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</si>
  <si>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</si>
  <si>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</si>
  <si>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</si>
  <si>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</si>
  <si>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</si>
  <si>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</si>
  <si>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</si>
  <si>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</si>
  <si>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</si>
  <si>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</si>
  <si>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</si>
  <si>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</si>
  <si>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</si>
  <si>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</si>
  <si>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</si>
  <si>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</si>
  <si>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</si>
  <si>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</si>
  <si>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</si>
  <si>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</si>
  <si>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</si>
  <si>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</si>
  <si>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</si>
  <si>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</si>
  <si>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</si>
  <si>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</si>
  <si>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</si>
  <si>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</si>
  <si>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</si>
  <si>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</si>
  <si>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</si>
  <si>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</si>
  <si>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</si>
  <si>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</si>
  <si>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</si>
  <si>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</si>
  <si>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</si>
  <si>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</si>
  <si>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</si>
  <si>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</si>
  <si>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</si>
  <si>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</si>
  <si>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</si>
  <si>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</si>
  <si>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</si>
  <si>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</si>
  <si>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</si>
  <si>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</si>
  <si>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</si>
  <si>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</si>
  <si>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</si>
  <si>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</si>
  <si>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</si>
  <si>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</si>
  <si>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</si>
  <si>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</si>
  <si>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</si>
  <si>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</si>
  <si>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</si>
  <si>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</si>
  <si>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</si>
  <si>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</si>
  <si>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</si>
  <si>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</si>
  <si>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</si>
  <si>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</si>
  <si>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</si>
  <si>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</si>
  <si>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</si>
  <si>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</si>
  <si>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</si>
  <si>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</si>
  <si>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</si>
  <si>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</si>
  <si>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</si>
  <si>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</si>
  <si>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</si>
  <si>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</si>
  <si>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</si>
  <si>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</si>
  <si>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</si>
  <si>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</si>
  <si>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</si>
  <si>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</si>
  <si>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</si>
  <si>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</si>
  <si>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</si>
  <si>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</si>
  <si>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</si>
  <si>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</si>
  <si>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</si>
  <si>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</si>
  <si>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</si>
  <si>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</si>
  <si>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</si>
  <si>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</si>
  <si>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</si>
  <si>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</si>
  <si>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</si>
  <si>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</si>
  <si>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</si>
  <si>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</si>
  <si>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</si>
  <si>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</si>
  <si>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</si>
  <si>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</si>
  <si>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</si>
  <si>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</si>
  <si>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</si>
  <si>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</si>
  <si>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</si>
  <si>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</si>
  <si>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</si>
  <si>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</si>
  <si>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</si>
  <si>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</si>
  <si>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</si>
  <si>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</si>
  <si>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</si>
  <si>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</si>
  <si>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</si>
  <si>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</si>
  <si>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</si>
  <si>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</si>
  <si>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</si>
  <si>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</si>
  <si>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</si>
  <si>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</si>
  <si>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</si>
  <si>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</si>
  <si>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</si>
  <si>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</si>
  <si>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</si>
  <si>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</si>
  <si>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</si>
  <si>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</si>
  <si>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</si>
  <si>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</si>
  <si>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</si>
  <si>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</si>
  <si>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</si>
  <si>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</si>
  <si>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</si>
  <si>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</si>
  <si>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</si>
  <si>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</si>
  <si>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</si>
  <si>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</si>
  <si>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</si>
  <si>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</si>
  <si>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</si>
  <si>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</si>
  <si>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</si>
  <si>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</si>
  <si>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</si>
  <si>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</si>
  <si>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</si>
  <si>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</si>
  <si>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</si>
  <si>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</si>
  <si>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</si>
  <si>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</si>
  <si>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</si>
  <si>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</si>
  <si>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</si>
  <si>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</si>
  <si>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</si>
  <si>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</si>
  <si>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</si>
  <si>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</si>
  <si>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</si>
  <si>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</si>
  <si>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</si>
  <si>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</si>
  <si>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</si>
  <si>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</si>
  <si>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</si>
  <si>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</si>
  <si>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</si>
  <si>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</si>
  <si>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</si>
  <si>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</si>
  <si>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</si>
  <si>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</si>
  <si>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</si>
  <si>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</si>
  <si>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</si>
  <si>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</si>
  <si>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</si>
  <si>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</si>
  <si>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</si>
  <si>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</si>
  <si>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</si>
  <si>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</si>
  <si>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</si>
  <si>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</si>
  <si>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</si>
  <si>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</si>
  <si>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</si>
  <si>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</si>
  <si>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</si>
  <si>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</si>
  <si>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</si>
  <si>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</si>
  <si>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</si>
  <si>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</si>
  <si>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</si>
  <si>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</si>
  <si>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</si>
  <si>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</si>
  <si>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</si>
  <si>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</si>
  <si>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</si>
  <si>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</si>
  <si>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</si>
  <si>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</si>
  <si>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</si>
  <si>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</si>
  <si>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</si>
  <si>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</si>
  <si>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</si>
  <si>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</si>
  <si>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</si>
  <si>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</si>
  <si>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</si>
  <si>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</si>
  <si>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</si>
  <si>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</si>
  <si>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</si>
  <si>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</si>
  <si>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</si>
  <si>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</si>
  <si>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</si>
  <si>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</si>
  <si>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</si>
  <si>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</si>
  <si>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</si>
  <si>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</si>
  <si>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</si>
  <si>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</si>
  <si>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</si>
  <si>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</si>
  <si>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</si>
  <si>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</si>
  <si>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</si>
  <si>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</si>
  <si>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</si>
  <si>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</si>
  <si>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</si>
  <si>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</si>
  <si>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</si>
  <si>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</si>
  <si>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</si>
  <si>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</si>
  <si>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</si>
  <si>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</si>
  <si>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</si>
  <si>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</si>
  <si>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</si>
  <si>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</si>
  <si>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</si>
  <si>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</si>
  <si>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</si>
  <si>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</si>
  <si>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</si>
  <si>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</si>
  <si>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</si>
  <si>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</si>
  <si>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</si>
  <si>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</si>
  <si>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</si>
  <si>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</si>
  <si>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</si>
  <si>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</si>
  <si>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</si>
  <si>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</si>
  <si>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</si>
  <si>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</si>
  <si>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</si>
  <si>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</si>
  <si>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</si>
  <si>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</si>
  <si>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</si>
  <si>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</si>
  <si>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</si>
  <si>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</si>
  <si>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</si>
  <si>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</si>
  <si>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</si>
  <si>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</si>
  <si>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</si>
  <si>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</si>
  <si>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</si>
  <si>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</si>
  <si>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</si>
  <si>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</si>
  <si>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</si>
  <si>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</si>
  <si>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</si>
  <si>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</si>
  <si>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</si>
  <si>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</si>
  <si>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</si>
  <si>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</si>
  <si>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</si>
  <si>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</si>
  <si>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</si>
  <si>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</si>
  <si>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</si>
  <si>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</si>
  <si>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</si>
  <si>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</si>
  <si>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</si>
  <si>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</si>
  <si>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</si>
  <si>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</si>
  <si>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</si>
  <si>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</si>
  <si>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</si>
  <si>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</si>
  <si>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</si>
  <si>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</si>
  <si>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</si>
  <si>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</si>
  <si>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</si>
  <si>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</si>
  <si>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</si>
  <si>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</si>
  <si>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</si>
  <si>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</si>
  <si>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</si>
  <si>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</si>
  <si>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</si>
  <si>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</si>
  <si>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</si>
  <si>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</si>
  <si>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</si>
  <si>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</si>
  <si>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</si>
  <si>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</si>
  <si>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</si>
  <si>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</si>
  <si>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</si>
  <si>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</si>
  <si>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</si>
  <si>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</si>
  <si>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</si>
  <si>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</si>
  <si>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</si>
  <si>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</si>
  <si>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</si>
  <si>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</si>
  <si>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</si>
  <si>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</si>
  <si>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</si>
  <si>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</si>
  <si>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</si>
  <si>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</si>
  <si>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</si>
  <si>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</si>
  <si>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</si>
  <si>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</si>
  <si>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</si>
  <si>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</si>
  <si>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</si>
  <si>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</si>
  <si>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</si>
  <si>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</si>
  <si>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</si>
  <si>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</si>
  <si>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</si>
  <si>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</si>
  <si>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</si>
  <si>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</si>
  <si>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</si>
  <si>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</si>
  <si>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</si>
  <si>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</si>
  <si>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</si>
  <si>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</si>
  <si>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</si>
  <si>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</si>
  <si>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</si>
  <si>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</si>
  <si>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</si>
  <si>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</si>
  <si>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</si>
  <si>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</si>
  <si>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</si>
  <si>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</si>
  <si>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</si>
  <si>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</si>
  <si>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</si>
  <si>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</si>
  <si>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</si>
  <si>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</si>
  <si>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</si>
  <si>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</si>
  <si>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</si>
  <si>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</si>
  <si>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</si>
  <si>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</si>
  <si>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</si>
  <si>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</si>
  <si>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</si>
  <si>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</si>
  <si>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</si>
  <si>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</si>
  <si>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</si>
  <si>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</si>
  <si>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</si>
  <si>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</si>
  <si>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</si>
  <si>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</si>
  <si>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</si>
  <si>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</si>
  <si>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</si>
  <si>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</si>
  <si>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</si>
  <si>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</si>
  <si>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</si>
  <si>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</si>
  <si>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</si>
  <si>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</si>
  <si>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</si>
  <si>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</si>
  <si>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</si>
  <si>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</si>
  <si>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</si>
  <si>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</si>
  <si>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</si>
  <si>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</si>
  <si>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</si>
  <si>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</si>
  <si>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</si>
  <si>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</si>
  <si>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</si>
  <si>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</si>
  <si>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</si>
  <si>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</si>
  <si>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</si>
  <si>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</si>
  <si>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</si>
  <si>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</si>
  <si>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</si>
  <si>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</si>
  <si>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</si>
  <si>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</si>
  <si>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</si>
  <si>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</si>
  <si>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</si>
  <si>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</si>
  <si>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</si>
  <si>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</si>
  <si>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CLASSIFICACAO POR APOSTADOR - NAO EDITAR</t>
  </si>
  <si>
    <t>-- Joao Mello --</t>
  </si>
  <si>
    <t>-- Victor Bethlem --</t>
  </si>
  <si>
    <t>-- Pedro Herdy --</t>
  </si>
  <si>
    <t>COPA DO MUNDO 2026 - MATA-MATA (FASE ELIMINATORIA) - BRACKET FIFA</t>
  </si>
  <si>
    <t>Fase</t>
  </si>
  <si>
    <t>Selecao 1 (auto)</t>
  </si>
  <si>
    <t>Selecao 2 (auto)</t>
  </si>
  <si>
    <t>Vencedor</t>
  </si>
  <si>
    <t>Venc_Calc</t>
  </si>
  <si>
    <t>Colunas D/E: automatico via bracket FIFA + T495. Col H: preencha S1 ou S2 SOMENTE em prorrogacao/penaltis. Cols F/G: tempo regulamentar.</t>
  </si>
  <si>
    <t>M01</t>
  </si>
  <si>
    <t>M73</t>
  </si>
  <si>
    <t>M02</t>
  </si>
  <si>
    <t>M74</t>
  </si>
  <si>
    <t>M03</t>
  </si>
  <si>
    <t>M75</t>
  </si>
  <si>
    <t>M04</t>
  </si>
  <si>
    <t>M76</t>
  </si>
  <si>
    <t>M05</t>
  </si>
  <si>
    <t>M77</t>
  </si>
  <si>
    <t>M06</t>
  </si>
  <si>
    <t>M78</t>
  </si>
  <si>
    <t>M07</t>
  </si>
  <si>
    <t>M79</t>
  </si>
  <si>
    <t>M08</t>
  </si>
  <si>
    <t>M80</t>
  </si>
  <si>
    <t>M09</t>
  </si>
  <si>
    <t>M81</t>
  </si>
  <si>
    <t>M10</t>
  </si>
  <si>
    <t>M82</t>
  </si>
  <si>
    <t>M11</t>
  </si>
  <si>
    <t>M83</t>
  </si>
  <si>
    <t>M12</t>
  </si>
  <si>
    <t>M84</t>
  </si>
  <si>
    <t>M13</t>
  </si>
  <si>
    <t>M85</t>
  </si>
  <si>
    <t>M14</t>
  </si>
  <si>
    <t>M86</t>
  </si>
  <si>
    <t>M15</t>
  </si>
  <si>
    <t>M87</t>
  </si>
  <si>
    <t>M16</t>
  </si>
  <si>
    <t>M88</t>
  </si>
  <si>
    <t>M17</t>
  </si>
  <si>
    <t>J89</t>
  </si>
  <si>
    <t>M18</t>
  </si>
  <si>
    <t>J90</t>
  </si>
  <si>
    <t>M19</t>
  </si>
  <si>
    <t>J91</t>
  </si>
  <si>
    <t>M20</t>
  </si>
  <si>
    <t>J92</t>
  </si>
  <si>
    <t>M21</t>
  </si>
  <si>
    <t>J93</t>
  </si>
  <si>
    <t>M22</t>
  </si>
  <si>
    <t>J94</t>
  </si>
  <si>
    <t>M23</t>
  </si>
  <si>
    <t>J95</t>
  </si>
  <si>
    <t>M24</t>
  </si>
  <si>
    <t>J96</t>
  </si>
  <si>
    <t>M25</t>
  </si>
  <si>
    <t>J97</t>
  </si>
  <si>
    <t>M26</t>
  </si>
  <si>
    <t>J98</t>
  </si>
  <si>
    <t>M27</t>
  </si>
  <si>
    <t>J99</t>
  </si>
  <si>
    <t>M28</t>
  </si>
  <si>
    <t>J100</t>
  </si>
  <si>
    <t>M29</t>
  </si>
  <si>
    <t>J101</t>
  </si>
  <si>
    <t>M30</t>
  </si>
  <si>
    <t>J102</t>
  </si>
  <si>
    <t>M31</t>
  </si>
  <si>
    <t>J103</t>
  </si>
  <si>
    <t>M32</t>
  </si>
  <si>
    <t>J104</t>
  </si>
  <si>
    <t>BOLAO 2026 - APOSTAS: MATA-MATA (BRACKET FIFA CORRETO)</t>
  </si>
  <si>
    <t>LINHA AZUL: confrontos automaticos (palpites grupos + bracket FIFA). LINHA LARANJA: coloque X no time que acredita que avancara. Preencha da esquerda para direita: R32 primeiro, depois as proximas fases.</t>
  </si>
  <si>
    <t>Rodada / Jogo</t>
  </si>
  <si>
    <t>Quem avanca? (X)</t>
  </si>
  <si>
    <t>PONTUACAO: MATA-MATA - AUTOMATICO (NAO EDITAR)</t>
  </si>
  <si>
    <t>R32:3 | Oitavas:5 | Quartas:8 | Semi:12 | 3oLugar:10 | Final(Campeao):25</t>
  </si>
  <si>
    <t>M1
R32</t>
  </si>
  <si>
    <t>M2
R32</t>
  </si>
  <si>
    <t>M3
R32</t>
  </si>
  <si>
    <t>M4
R32</t>
  </si>
  <si>
    <t>M5
R32</t>
  </si>
  <si>
    <t>M6
R32</t>
  </si>
  <si>
    <t>M7
R32</t>
  </si>
  <si>
    <t>M8
R32</t>
  </si>
  <si>
    <t>M9
R32</t>
  </si>
  <si>
    <t>M10
R32</t>
  </si>
  <si>
    <t>M11
R32</t>
  </si>
  <si>
    <t>M12
R32</t>
  </si>
  <si>
    <t>M13
R32</t>
  </si>
  <si>
    <t>M14
R32</t>
  </si>
  <si>
    <t>M15
R32</t>
  </si>
  <si>
    <t>M16
R32</t>
  </si>
  <si>
    <t>M17
Oit</t>
  </si>
  <si>
    <t>M18
Oit</t>
  </si>
  <si>
    <t>M19
Oit</t>
  </si>
  <si>
    <t>M20
Oit</t>
  </si>
  <si>
    <t>M21
Oit</t>
  </si>
  <si>
    <t>M22
Oit</t>
  </si>
  <si>
    <t>M23
Oit</t>
  </si>
  <si>
    <t>M24
Oit</t>
  </si>
  <si>
    <t>M25
Qua</t>
  </si>
  <si>
    <t>M26
Qua</t>
  </si>
  <si>
    <t>M27
Qua</t>
  </si>
  <si>
    <t>M28
Qua</t>
  </si>
  <si>
    <t>M29
Sem</t>
  </si>
  <si>
    <t>M30
Sem</t>
  </si>
  <si>
    <t xml:space="preserve">M31
3o </t>
  </si>
  <si>
    <t>M32
Fin</t>
  </si>
  <si>
    <t>PONTUACAO: BONUS - AUTOMATICO (NAO EDITAR)</t>
  </si>
  <si>
    <t>Artilheiro (10)</t>
  </si>
  <si>
    <t>Melhor Campanha (5)</t>
  </si>
  <si>
    <t>TOTAL BONUS</t>
  </si>
  <si>
    <t>RANKING - BOLAO COPA DO MUNDO 2026  -  TURIM MFO</t>
  </si>
  <si>
    <t>Ranking atualizado automaticamente apos cada resultado inserido</t>
  </si>
  <si>
    <t>Pos.</t>
  </si>
  <si>
    <t>Total Pontos</t>
  </si>
  <si>
    <t>Pts Grupos</t>
  </si>
  <si>
    <t>Pts Mata-Mata</t>
  </si>
  <si>
    <t>Pts Bonus</t>
  </si>
  <si>
    <t>Exatos Grupos</t>
  </si>
  <si>
    <t>4</t>
  </si>
  <si>
    <t>DASHBOARD - BOLAO COPA DO MUNDO 2026  -  TURIM MFO</t>
  </si>
  <si>
    <t>Visao geral atualizada automaticamente</t>
  </si>
  <si>
    <t>Lider</t>
  </si>
  <si>
    <t>Maior Pontuacao</t>
  </si>
  <si>
    <t>Jogos Grupos</t>
  </si>
  <si>
    <t>Jogos MM</t>
  </si>
  <si>
    <t>Participantes</t>
  </si>
  <si>
    <t>Total</t>
  </si>
  <si>
    <t>Grupos</t>
  </si>
  <si>
    <t>MM</t>
  </si>
  <si>
    <t>Bonus</t>
  </si>
  <si>
    <t>Exatos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</si>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</sst>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8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0"/>
      <color rgb="FF2E75B6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b/>
      <sz val="11"/>
      <color rgb="FF1F3864"/>
      <name val="Arial"/>
    </font>
    <font>
      <sz val="10"/>
      <color rgb="FF2E75B6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10"/>
      <color rgb="FF1F3864"/>
      <name val="Arial"/>
    </font>
    <font>
      <b/>
      <sz val="11"/>
      <color rgb="FF8B0000"/>
      <name val="Arial"/>
    </font>
    <font>
      <sz val="6"/>
      <color rgb="FFFFFFFF"/>
      <name val="Arial"/>
    </font>
    <font>
      <sz val="9"/>
      <color rgb="FF1A1A2E"/>
      <name val="Arial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b/>
      <sz val="11"/>
      <color rgb="FF2E75B6"/>
      <name val="Arial"/>
    </font>
    <font>
      <i/>
      <sz val="10"/>
      <color rgb="FFFF9800"/>
      <name val="Arial"/>
    </font>
    <font>
      <b/>
      <sz val="10"/>
      <color rgb="FF1565C0"/>
      <name val="Arial"/>
    </font>
    <font>
      <sz val="10"/>
      <color rgb="FF1F3864"/>
      <name val="Arial"/>
    </font>
    <font>
      <b/>
      <sz val="10"/>
      <color rgb="FFFF9800"/>
      <name val="Arial"/>
    </font>
    <font>
      <sz val="9"/>
      <color rgb="FF00897B"/>
      <name val="Arial"/>
    </font>
    <font>
      <b/>
      <sz val="10"/>
      <color rgb="FF283593"/>
      <name val="Arial"/>
    </font>
    <font>
      <b/>
      <sz val="10"/>
      <color rgb="FF1B5E20"/>
      <name val="Arial"/>
    </font>
    <font>
      <b/>
      <sz val="10"/>
      <color rgb="FF880E4F"/>
      <name val="Arial"/>
    </font>
    <font>
      <b/>
      <sz val="10"/>
      <color rgb="FFBF360C"/>
      <name val="Arial"/>
    </font>
    <font>
      <b/>
      <sz val="10"/>
      <color rgb="FFB71C1C"/>
      <name val="Arial"/>
    </font>
    <font>
      <b/>
      <sz val="9"/>
      <color rgb="FF1F3864"/>
      <name val="Arial"/>
    </font>
    <font>
      <b/>
      <sz val="8"/>
      <color rgb="FF1F3864"/>
      <name val="Arial"/>
    </font>
    <font>
      <sz val="8"/>
      <color rgb="FF1F3864"/>
      <name val="Arial"/>
    </font>
    <font>
      <b/>
      <sz val="9"/>
      <color rgb="FF8B4000"/>
      <name val="Arial"/>
    </font>
    <font>
      <b/>
      <sz val="13"/>
      <color rgb="FF8B4000"/>
      <name val="Arial"/>
    </font>
    <font>
      <b/>
      <sz val="18"/>
      <color rgb="FFFFFFFF"/>
      <name val="Arial"/>
    </font>
    <font>
      <i/>
      <sz val="11"/>
      <color rgb="FF2E75B6"/>
      <name val="Arial"/>
    </font>
    <font>
      <b/>
      <sz val="14"/>
      <color rgb="FF1A5E0A"/>
      <name val="Arial"/>
    </font>
    <font>
      <b/>
      <sz val="12"/>
      <color rgb="FF1A5E0A"/>
      <name val="Arial"/>
    </font>
    <font>
      <sz val="10"/>
      <color rgb="FF1A5E0A"/>
      <name val="Arial"/>
    </font>
    <font>
      <b/>
      <sz val="14"/>
      <color rgb="FF2C2C2C"/>
      <name val="Arial"/>
    </font>
    <font>
      <b/>
      <sz val="12"/>
      <color rgb="FF2C2C2C"/>
      <name val="Arial"/>
    </font>
    <font>
      <sz val="10"/>
      <color rgb="FF2C2C2C"/>
      <name val="Arial"/>
    </font>
    <font>
      <b/>
      <sz val="14"/>
      <color rgb="FF6B3A00"/>
      <name val="Arial"/>
    </font>
    <font>
      <b/>
      <sz val="12"/>
      <color rgb="FF6B3A00"/>
      <name val="Arial"/>
    </font>
    <font>
      <sz val="10"/>
      <color rgb="FF6B3A00"/>
      <name val="Arial"/>
    </font>
    <font>
      <b/>
      <sz val="14"/>
      <color rgb="FF1A1A2E"/>
      <name val="Arial"/>
    </font>
    <font>
      <b/>
      <sz val="12"/>
      <color rgb="FF1A1A2E"/>
      <name val="Arial"/>
    </font>
    <font>
      <b/>
      <sz val="13"/>
      <name val="Arial"/>
    </font>
    <font>
      <b/>
      <sz val="10"/>
      <name val="Arial"/>
    </font>
    <font>
      <sz val="10"/>
      <name val="Arial"/>
    </font>
    <font>
      <sz val="11"/>
      <color theme="1"/>
      <name val="Aptos Narrow"/>
    </font>
    <font>
      <b/>
      <sz val="11"/>
      <color rgb="FF1F3864"/>
      <name val="Arial"/>
      <charset val="1"/>
    </font>
    <font>
      <b/>
      <sz val="13"/>
      <color rgb="FF8B4000"/>
      <name val="Arial"/>
      <charset val="1"/>
    </font>
  </fonts>
  <fills count="6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EF7FF"/>
      </patternFill>
    </fill>
    <fill>
      <patternFill patternType="solid">
        <fgColor rgb="FFFFF2CC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EDE7F6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F9800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F7F7F7"/>
      </patternFill>
    </fill>
    <fill>
      <patternFill patternType="solid">
        <fgColor rgb="FFFFF3E0"/>
      </patternFill>
    </fill>
    <fill>
      <patternFill patternType="solid">
        <fgColor rgb="FF8E44AD"/>
      </patternFill>
    </fill>
    <fill>
      <patternFill patternType="solid">
        <fgColor rgb="FFFFF2CC"/>
        <bgColor rgb="FFFFF9C4"/>
      </patternFill>
    </fill>
    <fill>
      <patternFill patternType="solid">
        <fgColor rgb="FFFFE0B2"/>
        <bgColor rgb="FFFFE4B2"/>
      </patternFill>
    </fill>
    <fill>
      <patternFill patternType="solid">
        <fgColor rgb="FFFFF2CC"/>
        <bgColor rgb="FFFDEBD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5" fillId="0" borderId="0"/>
  </cellStyleXfs>
  <cellXfs count="29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3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left" vertical="center"/>
    </xf>
    <xf numFmtId="0" fontId="16" fillId="3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3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  <xf numFmtId="0" fontId="9" fillId="3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0" fontId="17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8" fillId="1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32" fillId="30" borderId="1" xfId="0" applyFont="1" applyFill="1" applyBorder="1" applyAlignment="1">
      <alignment horizontal="center" vertical="center"/>
    </xf>
    <xf numFmtId="0" fontId="33" fillId="0" borderId="0" xfId="0" applyFont="1"/>
    <xf numFmtId="0" fontId="35" fillId="41" borderId="1" xfId="0" applyFont="1" applyFill="1" applyBorder="1" applyAlignment="1">
      <alignment horizontal="center" vertical="center"/>
    </xf>
    <xf numFmtId="164" fontId="0" fillId="41" borderId="1" xfId="0" applyNumberForma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left" vertical="center"/>
    </xf>
    <xf numFmtId="0" fontId="15" fillId="41" borderId="1" xfId="0" applyFont="1" applyFill="1" applyBorder="1" applyAlignment="1">
      <alignment horizontal="left" vertical="center"/>
    </xf>
    <xf numFmtId="0" fontId="37" fillId="32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42" borderId="1" xfId="0" applyFont="1" applyFill="1" applyBorder="1" applyAlignment="1">
      <alignment horizontal="center" vertical="center"/>
    </xf>
    <xf numFmtId="164" fontId="0" fillId="42" borderId="1" xfId="0" applyNumberFormat="1" applyFill="1" applyBorder="1" applyAlignment="1">
      <alignment horizontal="center" vertical="center"/>
    </xf>
    <xf numFmtId="0" fontId="36" fillId="42" borderId="1" xfId="0" applyFont="1" applyFill="1" applyBorder="1" applyAlignment="1">
      <alignment horizontal="left" vertical="center"/>
    </xf>
    <xf numFmtId="0" fontId="15" fillId="42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center" vertical="center"/>
    </xf>
    <xf numFmtId="0" fontId="40" fillId="43" borderId="1" xfId="0" applyFont="1" applyFill="1" applyBorder="1" applyAlignment="1">
      <alignment horizontal="center" vertical="center"/>
    </xf>
    <xf numFmtId="164" fontId="0" fillId="43" borderId="1" xfId="0" applyNumberFormat="1" applyFill="1" applyBorder="1" applyAlignment="1">
      <alignment horizontal="center" vertical="center"/>
    </xf>
    <xf numFmtId="0" fontId="36" fillId="43" borderId="1" xfId="0" applyFont="1" applyFill="1" applyBorder="1" applyAlignment="1">
      <alignment horizontal="left" vertical="center"/>
    </xf>
    <xf numFmtId="0" fontId="15" fillId="43" borderId="1" xfId="0" applyFont="1" applyFill="1" applyBorder="1" applyAlignment="1">
      <alignment horizontal="left" vertical="center"/>
    </xf>
    <xf numFmtId="0" fontId="10" fillId="43" borderId="1" xfId="0" applyFont="1" applyFill="1" applyBorder="1" applyAlignment="1">
      <alignment horizontal="center" vertical="center"/>
    </xf>
    <xf numFmtId="0" fontId="41" fillId="44" borderId="1" xfId="0" applyFont="1" applyFill="1" applyBorder="1" applyAlignment="1">
      <alignment horizontal="center" vertical="center"/>
    </xf>
    <xf numFmtId="164" fontId="0" fillId="44" borderId="1" xfId="0" applyNumberFormat="1" applyFill="1" applyBorder="1" applyAlignment="1">
      <alignment horizontal="center" vertical="center"/>
    </xf>
    <xf numFmtId="0" fontId="36" fillId="44" borderId="1" xfId="0" applyFont="1" applyFill="1" applyBorder="1" applyAlignment="1">
      <alignment horizontal="left" vertical="center"/>
    </xf>
    <xf numFmtId="0" fontId="15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42" fillId="45" borderId="1" xfId="0" applyFont="1" applyFill="1" applyBorder="1" applyAlignment="1">
      <alignment horizontal="center" vertical="center"/>
    </xf>
    <xf numFmtId="164" fontId="0" fillId="45" borderId="1" xfId="0" applyNumberForma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left" vertical="center"/>
    </xf>
    <xf numFmtId="0" fontId="15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43" fillId="46" borderId="1" xfId="0" applyFont="1" applyFill="1" applyBorder="1" applyAlignment="1">
      <alignment horizontal="center" vertical="center"/>
    </xf>
    <xf numFmtId="164" fontId="0" fillId="46" borderId="1" xfId="0" applyNumberForma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left" vertical="center"/>
    </xf>
    <xf numFmtId="0" fontId="10" fillId="4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14" fillId="47" borderId="1" xfId="0" applyFont="1" applyFill="1" applyBorder="1" applyAlignment="1">
      <alignment horizontal="center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0" borderId="1" xfId="0" applyFont="1" applyFill="1" applyBorder="1" applyAlignment="1">
      <alignment horizontal="center" vertical="center" wrapText="1"/>
    </xf>
    <xf numFmtId="0" fontId="14" fillId="51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3" borderId="1" xfId="0" applyFont="1" applyFill="1" applyBorder="1" applyAlignment="1">
      <alignment horizontal="left" vertical="center"/>
    </xf>
    <xf numFmtId="0" fontId="48" fillId="53" borderId="1" xfId="0" applyFont="1" applyFill="1" applyBorder="1" applyAlignment="1">
      <alignment horizontal="center" vertical="center"/>
    </xf>
    <xf numFmtId="0" fontId="44" fillId="33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left" vertical="center"/>
    </xf>
    <xf numFmtId="0" fontId="15" fillId="35" borderId="1" xfId="0" applyFont="1" applyFill="1" applyBorder="1" applyAlignment="1">
      <alignment horizontal="left" vertical="center"/>
    </xf>
    <xf numFmtId="0" fontId="51" fillId="54" borderId="1" xfId="0" applyFont="1" applyFill="1" applyBorder="1" applyAlignment="1">
      <alignment horizontal="center" vertical="center"/>
    </xf>
    <xf numFmtId="0" fontId="52" fillId="54" borderId="1" xfId="0" applyFont="1" applyFill="1" applyBorder="1" applyAlignment="1">
      <alignment horizontal="left" vertical="center"/>
    </xf>
    <xf numFmtId="0" fontId="53" fillId="5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5" fillId="55" borderId="1" xfId="0" applyFont="1" applyFill="1" applyBorder="1" applyAlignment="1">
      <alignment horizontal="left" vertical="center"/>
    </xf>
    <xf numFmtId="0" fontId="56" fillId="55" borderId="1" xfId="0" applyFont="1" applyFill="1" applyBorder="1" applyAlignment="1">
      <alignment horizontal="center" vertical="center"/>
    </xf>
    <xf numFmtId="0" fontId="57" fillId="56" borderId="1" xfId="0" applyFont="1" applyFill="1" applyBorder="1" applyAlignment="1">
      <alignment horizontal="center" vertical="center"/>
    </xf>
    <xf numFmtId="0" fontId="58" fillId="56" borderId="1" xfId="0" applyFont="1" applyFill="1" applyBorder="1" applyAlignment="1">
      <alignment horizontal="left" vertical="center"/>
    </xf>
    <xf numFmtId="0" fontId="59" fillId="56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left" vertical="center"/>
    </xf>
    <xf numFmtId="0" fontId="62" fillId="54" borderId="1" xfId="0" applyFont="1" applyFill="1" applyBorder="1" applyAlignment="1">
      <alignment horizontal="center" vertical="center"/>
    </xf>
    <xf numFmtId="0" fontId="63" fillId="54" borderId="1" xfId="0" applyFont="1" applyFill="1" applyBorder="1" applyAlignment="1">
      <alignment horizontal="left" vertical="center"/>
    </xf>
    <xf numFmtId="0" fontId="64" fillId="54" borderId="1" xfId="0" applyFont="1" applyFill="1" applyBorder="1" applyAlignment="1">
      <alignment horizontal="center" vertical="center"/>
    </xf>
    <xf numFmtId="0" fontId="62" fillId="55" borderId="1" xfId="0" applyFont="1" applyFill="1" applyBorder="1" applyAlignment="1">
      <alignment horizontal="center" vertical="center"/>
    </xf>
    <xf numFmtId="0" fontId="63" fillId="55" borderId="1" xfId="0" applyFont="1" applyFill="1" applyBorder="1" applyAlignment="1">
      <alignment horizontal="left" vertical="center"/>
    </xf>
    <xf numFmtId="0" fontId="64" fillId="55" borderId="1" xfId="0" applyFont="1" applyFill="1" applyBorder="1" applyAlignment="1">
      <alignment horizontal="center" vertical="center"/>
    </xf>
    <xf numFmtId="0" fontId="62" fillId="56" borderId="1" xfId="0" applyFont="1" applyFill="1" applyBorder="1" applyAlignment="1">
      <alignment horizontal="center" vertical="center"/>
    </xf>
    <xf numFmtId="0" fontId="63" fillId="56" borderId="1" xfId="0" applyFont="1" applyFill="1" applyBorder="1" applyAlignment="1">
      <alignment horizontal="left" vertical="center"/>
    </xf>
    <xf numFmtId="0" fontId="64" fillId="56" borderId="1" xfId="0" applyFont="1" applyFill="1" applyBorder="1" applyAlignment="1">
      <alignment horizontal="center" vertical="center"/>
    </xf>
    <xf numFmtId="0" fontId="62" fillId="30" borderId="1" xfId="0" applyFont="1" applyFill="1" applyBorder="1" applyAlignment="1">
      <alignment horizontal="center" vertical="center"/>
    </xf>
    <xf numFmtId="0" fontId="63" fillId="30" borderId="1" xfId="0" applyFont="1" applyFill="1" applyBorder="1" applyAlignment="1">
      <alignment horizontal="left" vertical="center"/>
    </xf>
    <xf numFmtId="0" fontId="64" fillId="30" borderId="1" xfId="0" applyFont="1" applyFill="1" applyBorder="1" applyAlignment="1">
      <alignment horizontal="center" vertical="center"/>
    </xf>
    <xf numFmtId="1" fontId="9" fillId="6" borderId="1" xfId="1" applyNumberFormat="1" applyFont="1" applyFill="1" applyBorder="1" applyAlignment="1">
      <alignment horizontal="center" vertical="center"/>
    </xf>
    <xf numFmtId="0" fontId="66" fillId="58" borderId="1" xfId="0" applyFont="1" applyFill="1" applyBorder="1" applyAlignment="1">
      <alignment horizontal="center" vertical="center"/>
    </xf>
    <xf numFmtId="0" fontId="67" fillId="59" borderId="1" xfId="0" applyFont="1" applyFill="1" applyBorder="1" applyAlignment="1">
      <alignment horizontal="center" vertical="center"/>
    </xf>
    <xf numFmtId="0" fontId="66" fillId="6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left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7" borderId="1" xfId="0" applyFont="1" applyFill="1" applyBorder="1" applyAlignment="1">
      <alignment horizontal="center" vertical="center" wrapText="1"/>
    </xf>
    <xf numFmtId="164" fontId="46" fillId="41" borderId="1" xfId="0" applyNumberFormat="1" applyFont="1" applyFill="1" applyBorder="1" applyAlignment="1">
      <alignment horizontal="center" vertical="center"/>
    </xf>
    <xf numFmtId="0" fontId="14" fillId="51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164" fontId="46" fillId="42" borderId="1" xfId="0" applyNumberFormat="1" applyFont="1" applyFill="1" applyBorder="1" applyAlignment="1">
      <alignment horizontal="center" vertical="center"/>
    </xf>
    <xf numFmtId="0" fontId="14" fillId="50" borderId="1" xfId="0" applyFont="1" applyFill="1" applyBorder="1" applyAlignment="1">
      <alignment horizontal="center" vertical="center" wrapText="1"/>
    </xf>
    <xf numFmtId="164" fontId="46" fillId="43" borderId="1" xfId="0" applyNumberFormat="1" applyFont="1" applyFill="1" applyBorder="1" applyAlignment="1">
      <alignment horizontal="center" vertical="center"/>
    </xf>
    <xf numFmtId="164" fontId="46" fillId="44" borderId="1" xfId="0" applyNumberFormat="1" applyFont="1" applyFill="1" applyBorder="1" applyAlignment="1">
      <alignment horizontal="center" vertical="center"/>
    </xf>
    <xf numFmtId="164" fontId="46" fillId="46" borderId="1" xfId="0" applyNumberFormat="1" applyFont="1" applyFill="1" applyBorder="1" applyAlignment="1">
      <alignment horizontal="center" vertical="center"/>
    </xf>
    <xf numFmtId="164" fontId="46" fillId="45" borderId="1" xfId="0" applyNumberFormat="1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7D809D3-511E-4B60-9DB7-0256214EE394}"/>
  </cellStyles>
  <dxfs count="11"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00897B"/>
        <name val="Arial"/>
      </font>
      <fill>
        <patternFill patternType="solid">
          <fgColor rgb="FFE0F2F1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8"/>
  <sheetViews>
    <sheetView showGridLines="0" workbookViewId="0"/>
  </sheetViews>
  <sheetFormatPr defaultRowHeight="14.4"/>
  <cols>
    <col min="1" max="1" width="2" customWidth="1"/>
    <col min="2" max="2" width="78" customWidth="1"/>
    <col min="3" max="3" width="22" customWidth="1"/>
    <col min="4" max="4" width="2" customWidth="1"/>
  </cols>
  <sheetData>
    <row r="1" spans="2:3" ht="55.95" customHeight="1">
      <c r="B1" s="252" t="s">
        <v>0</v>
      </c>
      <c r="C1" s="253"/>
    </row>
    <row r="2" spans="2:3" ht="28.2" customHeight="1">
      <c r="B2" s="254" t="s">
        <v>1</v>
      </c>
      <c r="C2" s="253"/>
    </row>
    <row r="3" spans="2:3" ht="24" customHeight="1">
      <c r="B3" s="1" t="s">
        <v>2</v>
      </c>
      <c r="C3" s="2"/>
    </row>
    <row r="4" spans="2:3" ht="19.95" customHeight="1">
      <c r="B4" s="3" t="s">
        <v>3</v>
      </c>
    </row>
    <row r="5" spans="2:3" ht="19.95" customHeight="1">
      <c r="B5" s="3" t="s">
        <v>4</v>
      </c>
    </row>
    <row r="6" spans="2:3" ht="19.95" customHeight="1">
      <c r="B6" s="3" t="s">
        <v>5</v>
      </c>
    </row>
    <row r="7" spans="2:3" ht="6" customHeight="1"/>
    <row r="8" spans="2:3" ht="24" customHeight="1">
      <c r="B8" s="1" t="s">
        <v>6</v>
      </c>
      <c r="C8" s="2"/>
    </row>
    <row r="9" spans="2:3" ht="19.95" customHeight="1">
      <c r="B9" s="3" t="s">
        <v>7</v>
      </c>
      <c r="C9" s="4" t="s">
        <v>8</v>
      </c>
    </row>
    <row r="10" spans="2:3" ht="19.95" customHeight="1">
      <c r="B10" s="3" t="s">
        <v>9</v>
      </c>
      <c r="C10" s="4" t="s">
        <v>10</v>
      </c>
    </row>
    <row r="11" spans="2:3" ht="19.95" customHeight="1">
      <c r="B11" s="3" t="s">
        <v>11</v>
      </c>
      <c r="C11" s="4" t="s">
        <v>12</v>
      </c>
    </row>
    <row r="12" spans="2:3" ht="19.95" customHeight="1">
      <c r="B12" s="3" t="s">
        <v>13</v>
      </c>
      <c r="C12" s="4" t="s">
        <v>14</v>
      </c>
    </row>
    <row r="13" spans="2:3" ht="6" customHeight="1"/>
    <row r="14" spans="2:3" ht="24" customHeight="1">
      <c r="B14" s="1" t="s">
        <v>15</v>
      </c>
      <c r="C14" s="2"/>
    </row>
    <row r="15" spans="2:3" ht="19.95" customHeight="1">
      <c r="B15" s="3" t="s">
        <v>16</v>
      </c>
      <c r="C15" s="4" t="s">
        <v>17</v>
      </c>
    </row>
    <row r="16" spans="2:3" ht="19.95" customHeight="1">
      <c r="B16" s="3" t="s">
        <v>18</v>
      </c>
      <c r="C16" s="4" t="s">
        <v>8</v>
      </c>
    </row>
    <row r="17" spans="2:3" ht="6" customHeight="1"/>
    <row r="18" spans="2:3" ht="24" customHeight="1">
      <c r="B18" s="1" t="s">
        <v>19</v>
      </c>
      <c r="C18" s="2"/>
    </row>
    <row r="19" spans="2:3" ht="19.95" customHeight="1">
      <c r="B19" s="3" t="s">
        <v>20</v>
      </c>
      <c r="C19" s="4" t="s">
        <v>21</v>
      </c>
    </row>
    <row r="20" spans="2:3" ht="19.95" customHeight="1">
      <c r="B20" s="3" t="s">
        <v>22</v>
      </c>
    </row>
    <row r="21" spans="2:3" ht="19.95" customHeight="1">
      <c r="B21" s="3" t="s">
        <v>23</v>
      </c>
    </row>
    <row r="22" spans="2:3" ht="19.95" customHeight="1">
      <c r="B22" s="3" t="s">
        <v>24</v>
      </c>
    </row>
    <row r="23" spans="2:3" ht="6" customHeight="1"/>
    <row r="24" spans="2:3" ht="24" customHeight="1">
      <c r="B24" s="1" t="s">
        <v>25</v>
      </c>
      <c r="C24" s="2"/>
    </row>
    <row r="25" spans="2:3" ht="19.95" customHeight="1">
      <c r="B25" s="3" t="s">
        <v>26</v>
      </c>
      <c r="C25" s="4" t="s">
        <v>27</v>
      </c>
    </row>
    <row r="26" spans="2:3" ht="19.95" customHeight="1">
      <c r="B26" s="3" t="s">
        <v>28</v>
      </c>
      <c r="C26" s="4" t="s">
        <v>29</v>
      </c>
    </row>
    <row r="27" spans="2:3" ht="19.95" customHeight="1">
      <c r="B27" s="3" t="s">
        <v>30</v>
      </c>
      <c r="C27" s="4" t="s">
        <v>31</v>
      </c>
    </row>
    <row r="28" spans="2:3" ht="19.95" customHeight="1">
      <c r="B28" s="3" t="s">
        <v>32</v>
      </c>
      <c r="C28" s="4" t="s">
        <v>33</v>
      </c>
    </row>
    <row r="29" spans="2:3" ht="19.95" customHeight="1">
      <c r="B29" s="3" t="s">
        <v>34</v>
      </c>
      <c r="C29" s="4" t="s">
        <v>35</v>
      </c>
    </row>
    <row r="30" spans="2:3" ht="19.95" customHeight="1">
      <c r="B30" s="3" t="s">
        <v>36</v>
      </c>
      <c r="C30" s="4" t="s">
        <v>37</v>
      </c>
    </row>
    <row r="31" spans="2:3" ht="6" customHeight="1"/>
    <row r="32" spans="2:3" ht="24" customHeight="1">
      <c r="B32" s="1" t="s">
        <v>38</v>
      </c>
      <c r="C32" s="2"/>
    </row>
    <row r="33" spans="2:2" ht="19.95" customHeight="1">
      <c r="B33" s="3" t="s">
        <v>39</v>
      </c>
    </row>
    <row r="34" spans="2:2" ht="19.95" customHeight="1">
      <c r="B34" s="3" t="s">
        <v>40</v>
      </c>
    </row>
    <row r="35" spans="2:2" ht="19.95" customHeight="1">
      <c r="B35" s="3" t="s">
        <v>41</v>
      </c>
    </row>
    <row r="36" spans="2:2" ht="19.95" customHeight="1">
      <c r="B36" s="3" t="s">
        <v>42</v>
      </c>
    </row>
    <row r="37" spans="2:2" ht="6" customHeight="1"/>
    <row r="38" spans="2:2" ht="19.95" customHeight="1">
      <c r="B38" s="3" t="s">
        <v>43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74"/>
  <sheetViews>
    <sheetView showGridLines="0" tabSelected="1" workbookViewId="0">
      <pane ySplit="2" topLeftCell="A3" activePane="bottomLeft" state="frozen"/>
      <selection pane="bottomLeft" activeCell="G5" sqref="G5"/>
    </sheetView>
  </sheetViews>
  <sheetFormatPr defaultRowHeight="14.4"/>
  <cols>
    <col min="1" max="1" width="8" customWidth="1"/>
    <col min="2" max="2" width="12" customWidth="1"/>
    <col min="3" max="3" width="7" customWidth="1"/>
    <col min="4" max="5" width="22" customWidth="1"/>
    <col min="6" max="7" width="10" customWidth="1"/>
    <col min="8" max="8" width="16" customWidth="1"/>
  </cols>
  <sheetData>
    <row r="1" spans="1:8" ht="43.95" customHeight="1">
      <c r="A1" s="255" t="s">
        <v>44</v>
      </c>
      <c r="B1" s="253"/>
      <c r="C1" s="253"/>
      <c r="D1" s="253"/>
      <c r="E1" s="253"/>
      <c r="F1" s="253"/>
      <c r="G1" s="253"/>
      <c r="H1" s="253"/>
    </row>
    <row r="2" spans="1:8" ht="22.2" customHeight="1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</row>
    <row r="3" spans="1:8">
      <c r="A3" s="6" t="s">
        <v>53</v>
      </c>
      <c r="B3" s="7">
        <v>46184</v>
      </c>
      <c r="C3" s="8" t="s">
        <v>54</v>
      </c>
      <c r="D3" s="9" t="s">
        <v>55</v>
      </c>
      <c r="E3" s="9" t="s">
        <v>56</v>
      </c>
      <c r="F3" s="10">
        <v>2</v>
      </c>
      <c r="G3" s="10">
        <v>0</v>
      </c>
      <c r="H3" s="11" t="str">
        <f t="shared" ref="H3:H34" si="0">IF(AND(F3="",G3=""),"Aguardando",IF(AND(ISNUMBER(F3),ISNUMBER(G3)),"Finalizado","Verificar"))</f>
        <v>Finalizado</v>
      </c>
    </row>
    <row r="4" spans="1:8">
      <c r="A4" s="6" t="s">
        <v>57</v>
      </c>
      <c r="B4" s="7">
        <v>46184</v>
      </c>
      <c r="C4" s="8" t="s">
        <v>54</v>
      </c>
      <c r="D4" s="9" t="s">
        <v>58</v>
      </c>
      <c r="E4" s="9" t="s">
        <v>59</v>
      </c>
      <c r="F4" s="10">
        <v>2</v>
      </c>
      <c r="G4" s="10">
        <v>1</v>
      </c>
      <c r="H4" s="11" t="str">
        <f t="shared" si="0"/>
        <v>Finalizado</v>
      </c>
    </row>
    <row r="5" spans="1:8">
      <c r="A5" s="6" t="s">
        <v>60</v>
      </c>
      <c r="B5" s="7">
        <v>46191</v>
      </c>
      <c r="C5" s="8" t="s">
        <v>54</v>
      </c>
      <c r="D5" s="9" t="s">
        <v>59</v>
      </c>
      <c r="E5" s="9" t="s">
        <v>56</v>
      </c>
      <c r="F5" s="10"/>
      <c r="G5" s="10"/>
      <c r="H5" s="11" t="str">
        <f t="shared" si="0"/>
        <v>Aguardando</v>
      </c>
    </row>
    <row r="6" spans="1:8">
      <c r="A6" s="6" t="s">
        <v>61</v>
      </c>
      <c r="B6" s="7">
        <v>46191</v>
      </c>
      <c r="C6" s="8" t="s">
        <v>54</v>
      </c>
      <c r="D6" s="9" t="s">
        <v>55</v>
      </c>
      <c r="E6" s="9" t="s">
        <v>58</v>
      </c>
      <c r="F6" s="10"/>
      <c r="G6" s="10"/>
      <c r="H6" s="11" t="str">
        <f t="shared" si="0"/>
        <v>Aguardando</v>
      </c>
    </row>
    <row r="7" spans="1:8">
      <c r="A7" s="6" t="s">
        <v>62</v>
      </c>
      <c r="B7" s="7">
        <v>46197</v>
      </c>
      <c r="C7" s="8" t="s">
        <v>54</v>
      </c>
      <c r="D7" s="9" t="s">
        <v>59</v>
      </c>
      <c r="E7" s="9" t="s">
        <v>55</v>
      </c>
      <c r="F7" s="10"/>
      <c r="G7" s="10"/>
      <c r="H7" s="11" t="str">
        <f t="shared" si="0"/>
        <v>Aguardando</v>
      </c>
    </row>
    <row r="8" spans="1:8">
      <c r="A8" s="6" t="s">
        <v>63</v>
      </c>
      <c r="B8" s="7">
        <v>46197</v>
      </c>
      <c r="C8" s="8" t="s">
        <v>54</v>
      </c>
      <c r="D8" s="9" t="s">
        <v>56</v>
      </c>
      <c r="E8" s="9" t="s">
        <v>58</v>
      </c>
      <c r="F8" s="10"/>
      <c r="G8" s="10"/>
      <c r="H8" s="11" t="str">
        <f t="shared" si="0"/>
        <v>Aguardando</v>
      </c>
    </row>
    <row r="9" spans="1:8">
      <c r="A9" s="12" t="s">
        <v>64</v>
      </c>
      <c r="B9" s="13">
        <v>46185</v>
      </c>
      <c r="C9" s="14" t="s">
        <v>65</v>
      </c>
      <c r="D9" s="15" t="s">
        <v>66</v>
      </c>
      <c r="E9" s="15" t="s">
        <v>67</v>
      </c>
      <c r="F9" s="10"/>
      <c r="G9" s="10"/>
      <c r="H9" s="16" t="str">
        <f t="shared" si="0"/>
        <v>Aguardando</v>
      </c>
    </row>
    <row r="10" spans="1:8">
      <c r="A10" s="12" t="s">
        <v>68</v>
      </c>
      <c r="B10" s="13">
        <v>46186</v>
      </c>
      <c r="C10" s="14" t="s">
        <v>65</v>
      </c>
      <c r="D10" s="15" t="s">
        <v>69</v>
      </c>
      <c r="E10" s="15" t="s">
        <v>70</v>
      </c>
      <c r="F10" s="10"/>
      <c r="G10" s="10"/>
      <c r="H10" s="16" t="str">
        <f t="shared" si="0"/>
        <v>Aguardando</v>
      </c>
    </row>
    <row r="11" spans="1:8">
      <c r="A11" s="12" t="s">
        <v>71</v>
      </c>
      <c r="B11" s="13">
        <v>46191</v>
      </c>
      <c r="C11" s="14" t="s">
        <v>65</v>
      </c>
      <c r="D11" s="15" t="s">
        <v>70</v>
      </c>
      <c r="E11" s="15" t="s">
        <v>67</v>
      </c>
      <c r="F11" s="10"/>
      <c r="G11" s="10"/>
      <c r="H11" s="16" t="str">
        <f t="shared" si="0"/>
        <v>Aguardando</v>
      </c>
    </row>
    <row r="12" spans="1:8">
      <c r="A12" s="12" t="s">
        <v>72</v>
      </c>
      <c r="B12" s="13">
        <v>46191</v>
      </c>
      <c r="C12" s="14" t="s">
        <v>65</v>
      </c>
      <c r="D12" s="15" t="s">
        <v>66</v>
      </c>
      <c r="E12" s="15" t="s">
        <v>69</v>
      </c>
      <c r="F12" s="10"/>
      <c r="G12" s="10"/>
      <c r="H12" s="16" t="str">
        <f t="shared" si="0"/>
        <v>Aguardando</v>
      </c>
    </row>
    <row r="13" spans="1:8">
      <c r="A13" s="12" t="s">
        <v>73</v>
      </c>
      <c r="B13" s="13">
        <v>46197</v>
      </c>
      <c r="C13" s="14" t="s">
        <v>65</v>
      </c>
      <c r="D13" s="15" t="s">
        <v>70</v>
      </c>
      <c r="E13" s="15" t="s">
        <v>66</v>
      </c>
      <c r="F13" s="10"/>
      <c r="G13" s="10"/>
      <c r="H13" s="16" t="str">
        <f t="shared" si="0"/>
        <v>Aguardando</v>
      </c>
    </row>
    <row r="14" spans="1:8">
      <c r="A14" s="12" t="s">
        <v>74</v>
      </c>
      <c r="B14" s="13">
        <v>46197</v>
      </c>
      <c r="C14" s="14" t="s">
        <v>65</v>
      </c>
      <c r="D14" s="15" t="s">
        <v>67</v>
      </c>
      <c r="E14" s="15" t="s">
        <v>69</v>
      </c>
      <c r="F14" s="10"/>
      <c r="G14" s="10"/>
      <c r="H14" s="16" t="str">
        <f t="shared" si="0"/>
        <v>Aguardando</v>
      </c>
    </row>
    <row r="15" spans="1:8">
      <c r="A15" s="17" t="s">
        <v>75</v>
      </c>
      <c r="B15" s="18">
        <v>46186</v>
      </c>
      <c r="C15" s="19" t="s">
        <v>76</v>
      </c>
      <c r="D15" s="20" t="s">
        <v>77</v>
      </c>
      <c r="E15" s="20" t="s">
        <v>78</v>
      </c>
      <c r="F15" s="10"/>
      <c r="G15" s="10"/>
      <c r="H15" s="21" t="str">
        <f t="shared" si="0"/>
        <v>Aguardando</v>
      </c>
    </row>
    <row r="16" spans="1:8">
      <c r="A16" s="17" t="s">
        <v>79</v>
      </c>
      <c r="B16" s="18">
        <v>46186</v>
      </c>
      <c r="C16" s="19" t="s">
        <v>76</v>
      </c>
      <c r="D16" s="20" t="s">
        <v>80</v>
      </c>
      <c r="E16" s="20" t="s">
        <v>81</v>
      </c>
      <c r="F16" s="10"/>
      <c r="G16" s="10"/>
      <c r="H16" s="21" t="str">
        <f t="shared" si="0"/>
        <v>Aguardando</v>
      </c>
    </row>
    <row r="17" spans="1:8">
      <c r="A17" s="17" t="s">
        <v>82</v>
      </c>
      <c r="B17" s="18">
        <v>46192</v>
      </c>
      <c r="C17" s="19" t="s">
        <v>76</v>
      </c>
      <c r="D17" s="20" t="s">
        <v>81</v>
      </c>
      <c r="E17" s="20" t="s">
        <v>78</v>
      </c>
      <c r="F17" s="10"/>
      <c r="G17" s="10"/>
      <c r="H17" s="21" t="str">
        <f t="shared" si="0"/>
        <v>Aguardando</v>
      </c>
    </row>
    <row r="18" spans="1:8">
      <c r="A18" s="17" t="s">
        <v>83</v>
      </c>
      <c r="B18" s="18">
        <v>46192</v>
      </c>
      <c r="C18" s="19" t="s">
        <v>76</v>
      </c>
      <c r="D18" s="20" t="s">
        <v>77</v>
      </c>
      <c r="E18" s="20" t="s">
        <v>80</v>
      </c>
      <c r="F18" s="10"/>
      <c r="G18" s="10"/>
      <c r="H18" s="21" t="str">
        <f t="shared" si="0"/>
        <v>Aguardando</v>
      </c>
    </row>
    <row r="19" spans="1:8">
      <c r="A19" s="17" t="s">
        <v>84</v>
      </c>
      <c r="B19" s="18">
        <v>46197</v>
      </c>
      <c r="C19" s="19" t="s">
        <v>76</v>
      </c>
      <c r="D19" s="20" t="s">
        <v>81</v>
      </c>
      <c r="E19" s="20" t="s">
        <v>77</v>
      </c>
      <c r="F19" s="10"/>
      <c r="G19" s="10"/>
      <c r="H19" s="21" t="str">
        <f t="shared" si="0"/>
        <v>Aguardando</v>
      </c>
    </row>
    <row r="20" spans="1:8">
      <c r="A20" s="17" t="s">
        <v>85</v>
      </c>
      <c r="B20" s="18">
        <v>46197</v>
      </c>
      <c r="C20" s="19" t="s">
        <v>76</v>
      </c>
      <c r="D20" s="20" t="s">
        <v>78</v>
      </c>
      <c r="E20" s="20" t="s">
        <v>80</v>
      </c>
      <c r="F20" s="10"/>
      <c r="G20" s="10"/>
      <c r="H20" s="21" t="str">
        <f t="shared" si="0"/>
        <v>Aguardando</v>
      </c>
    </row>
    <row r="21" spans="1:8">
      <c r="A21" s="22" t="s">
        <v>86</v>
      </c>
      <c r="B21" s="23">
        <v>46185</v>
      </c>
      <c r="C21" s="24" t="s">
        <v>87</v>
      </c>
      <c r="D21" s="25" t="s">
        <v>88</v>
      </c>
      <c r="E21" s="25" t="s">
        <v>89</v>
      </c>
      <c r="F21" s="10"/>
      <c r="G21" s="10"/>
      <c r="H21" s="26" t="str">
        <f t="shared" si="0"/>
        <v>Aguardando</v>
      </c>
    </row>
    <row r="22" spans="1:8">
      <c r="A22" s="22" t="s">
        <v>90</v>
      </c>
      <c r="B22" s="23">
        <v>46186</v>
      </c>
      <c r="C22" s="24" t="s">
        <v>87</v>
      </c>
      <c r="D22" s="25" t="s">
        <v>91</v>
      </c>
      <c r="E22" s="25" t="s">
        <v>92</v>
      </c>
      <c r="F22" s="10"/>
      <c r="G22" s="10"/>
      <c r="H22" s="26" t="str">
        <f t="shared" si="0"/>
        <v>Aguardando</v>
      </c>
    </row>
    <row r="23" spans="1:8">
      <c r="A23" s="22" t="s">
        <v>93</v>
      </c>
      <c r="B23" s="23">
        <v>46192</v>
      </c>
      <c r="C23" s="24" t="s">
        <v>87</v>
      </c>
      <c r="D23" s="25" t="s">
        <v>88</v>
      </c>
      <c r="E23" s="25" t="s">
        <v>91</v>
      </c>
      <c r="F23" s="10"/>
      <c r="G23" s="10"/>
      <c r="H23" s="26" t="str">
        <f t="shared" si="0"/>
        <v>Aguardando</v>
      </c>
    </row>
    <row r="24" spans="1:8">
      <c r="A24" s="22" t="s">
        <v>94</v>
      </c>
      <c r="B24" s="23">
        <v>46192</v>
      </c>
      <c r="C24" s="24" t="s">
        <v>87</v>
      </c>
      <c r="D24" s="25" t="s">
        <v>92</v>
      </c>
      <c r="E24" s="25" t="s">
        <v>89</v>
      </c>
      <c r="F24" s="10"/>
      <c r="G24" s="10"/>
      <c r="H24" s="26" t="str">
        <f t="shared" si="0"/>
        <v>Aguardando</v>
      </c>
    </row>
    <row r="25" spans="1:8">
      <c r="A25" s="22" t="s">
        <v>95</v>
      </c>
      <c r="B25" s="23">
        <v>46198</v>
      </c>
      <c r="C25" s="24" t="s">
        <v>87</v>
      </c>
      <c r="D25" s="25" t="s">
        <v>92</v>
      </c>
      <c r="E25" s="25" t="s">
        <v>88</v>
      </c>
      <c r="F25" s="10"/>
      <c r="G25" s="10"/>
      <c r="H25" s="26" t="str">
        <f t="shared" si="0"/>
        <v>Aguardando</v>
      </c>
    </row>
    <row r="26" spans="1:8">
      <c r="A26" s="22" t="s">
        <v>96</v>
      </c>
      <c r="B26" s="23">
        <v>46198</v>
      </c>
      <c r="C26" s="24" t="s">
        <v>87</v>
      </c>
      <c r="D26" s="25" t="s">
        <v>89</v>
      </c>
      <c r="E26" s="25" t="s">
        <v>91</v>
      </c>
      <c r="F26" s="10"/>
      <c r="G26" s="10"/>
      <c r="H26" s="26" t="str">
        <f t="shared" si="0"/>
        <v>Aguardando</v>
      </c>
    </row>
    <row r="27" spans="1:8">
      <c r="A27" s="27" t="s">
        <v>97</v>
      </c>
      <c r="B27" s="28">
        <v>46187</v>
      </c>
      <c r="C27" s="29" t="s">
        <v>98</v>
      </c>
      <c r="D27" s="30" t="s">
        <v>99</v>
      </c>
      <c r="E27" s="30" t="s">
        <v>100</v>
      </c>
      <c r="F27" s="10"/>
      <c r="G27" s="10"/>
      <c r="H27" s="31" t="str">
        <f t="shared" si="0"/>
        <v>Aguardando</v>
      </c>
    </row>
    <row r="28" spans="1:8">
      <c r="A28" s="27" t="s">
        <v>101</v>
      </c>
      <c r="B28" s="28">
        <v>46187</v>
      </c>
      <c r="C28" s="29" t="s">
        <v>98</v>
      </c>
      <c r="D28" s="30" t="s">
        <v>102</v>
      </c>
      <c r="E28" s="30" t="s">
        <v>103</v>
      </c>
      <c r="F28" s="10"/>
      <c r="G28" s="10"/>
      <c r="H28" s="31" t="str">
        <f t="shared" si="0"/>
        <v>Aguardando</v>
      </c>
    </row>
    <row r="29" spans="1:8">
      <c r="A29" s="27" t="s">
        <v>104</v>
      </c>
      <c r="B29" s="28">
        <v>46193</v>
      </c>
      <c r="C29" s="29" t="s">
        <v>98</v>
      </c>
      <c r="D29" s="30" t="s">
        <v>99</v>
      </c>
      <c r="E29" s="30" t="s">
        <v>102</v>
      </c>
      <c r="F29" s="10"/>
      <c r="G29" s="10"/>
      <c r="H29" s="31" t="str">
        <f t="shared" si="0"/>
        <v>Aguardando</v>
      </c>
    </row>
    <row r="30" spans="1:8">
      <c r="A30" s="27" t="s">
        <v>105</v>
      </c>
      <c r="B30" s="28">
        <v>46193</v>
      </c>
      <c r="C30" s="29" t="s">
        <v>98</v>
      </c>
      <c r="D30" s="30" t="s">
        <v>103</v>
      </c>
      <c r="E30" s="30" t="s">
        <v>100</v>
      </c>
      <c r="F30" s="10"/>
      <c r="G30" s="10"/>
      <c r="H30" s="31" t="str">
        <f t="shared" si="0"/>
        <v>Aguardando</v>
      </c>
    </row>
    <row r="31" spans="1:8">
      <c r="A31" s="27" t="s">
        <v>106</v>
      </c>
      <c r="B31" s="28">
        <v>46198</v>
      </c>
      <c r="C31" s="29" t="s">
        <v>98</v>
      </c>
      <c r="D31" s="30" t="s">
        <v>103</v>
      </c>
      <c r="E31" s="30" t="s">
        <v>99</v>
      </c>
      <c r="F31" s="10"/>
      <c r="G31" s="10"/>
      <c r="H31" s="31" t="str">
        <f t="shared" si="0"/>
        <v>Aguardando</v>
      </c>
    </row>
    <row r="32" spans="1:8">
      <c r="A32" s="27" t="s">
        <v>107</v>
      </c>
      <c r="B32" s="28">
        <v>46198</v>
      </c>
      <c r="C32" s="29" t="s">
        <v>98</v>
      </c>
      <c r="D32" s="30" t="s">
        <v>100</v>
      </c>
      <c r="E32" s="30" t="s">
        <v>102</v>
      </c>
      <c r="F32" s="10"/>
      <c r="G32" s="10"/>
      <c r="H32" s="31" t="str">
        <f t="shared" si="0"/>
        <v>Aguardando</v>
      </c>
    </row>
    <row r="33" spans="1:8">
      <c r="A33" s="32" t="s">
        <v>108</v>
      </c>
      <c r="B33" s="33">
        <v>46187</v>
      </c>
      <c r="C33" s="34" t="s">
        <v>109</v>
      </c>
      <c r="D33" s="35" t="s">
        <v>110</v>
      </c>
      <c r="E33" s="35" t="s">
        <v>111</v>
      </c>
      <c r="F33" s="10"/>
      <c r="G33" s="10"/>
      <c r="H33" s="36" t="str">
        <f t="shared" si="0"/>
        <v>Aguardando</v>
      </c>
    </row>
    <row r="34" spans="1:8">
      <c r="A34" s="32" t="s">
        <v>112</v>
      </c>
      <c r="B34" s="33">
        <v>46187</v>
      </c>
      <c r="C34" s="34" t="s">
        <v>109</v>
      </c>
      <c r="D34" s="35" t="s">
        <v>113</v>
      </c>
      <c r="E34" s="35" t="s">
        <v>114</v>
      </c>
      <c r="F34" s="10"/>
      <c r="G34" s="10"/>
      <c r="H34" s="36" t="str">
        <f t="shared" si="0"/>
        <v>Aguardando</v>
      </c>
    </row>
    <row r="35" spans="1:8">
      <c r="A35" s="32" t="s">
        <v>115</v>
      </c>
      <c r="B35" s="33">
        <v>46193</v>
      </c>
      <c r="C35" s="34" t="s">
        <v>109</v>
      </c>
      <c r="D35" s="35" t="s">
        <v>110</v>
      </c>
      <c r="E35" s="35" t="s">
        <v>113</v>
      </c>
      <c r="F35" s="10"/>
      <c r="G35" s="10"/>
      <c r="H35" s="36" t="str">
        <f t="shared" ref="H35:H66" si="1">IF(AND(F35="",G35=""),"Aguardando",IF(AND(ISNUMBER(F35),ISNUMBER(G35)),"Finalizado","Verificar"))</f>
        <v>Aguardando</v>
      </c>
    </row>
    <row r="36" spans="1:8">
      <c r="A36" s="32" t="s">
        <v>116</v>
      </c>
      <c r="B36" s="33">
        <v>46193</v>
      </c>
      <c r="C36" s="34" t="s">
        <v>109</v>
      </c>
      <c r="D36" s="35" t="s">
        <v>114</v>
      </c>
      <c r="E36" s="35" t="s">
        <v>111</v>
      </c>
      <c r="F36" s="10"/>
      <c r="G36" s="10"/>
      <c r="H36" s="36" t="str">
        <f t="shared" si="1"/>
        <v>Aguardando</v>
      </c>
    </row>
    <row r="37" spans="1:8">
      <c r="A37" s="32" t="s">
        <v>117</v>
      </c>
      <c r="B37" s="33">
        <v>46198</v>
      </c>
      <c r="C37" s="34" t="s">
        <v>109</v>
      </c>
      <c r="D37" s="35" t="s">
        <v>111</v>
      </c>
      <c r="E37" s="35" t="s">
        <v>113</v>
      </c>
      <c r="F37" s="10"/>
      <c r="G37" s="10"/>
      <c r="H37" s="36" t="str">
        <f t="shared" si="1"/>
        <v>Aguardando</v>
      </c>
    </row>
    <row r="38" spans="1:8">
      <c r="A38" s="32" t="s">
        <v>118</v>
      </c>
      <c r="B38" s="33">
        <v>46198</v>
      </c>
      <c r="C38" s="34" t="s">
        <v>109</v>
      </c>
      <c r="D38" s="35" t="s">
        <v>114</v>
      </c>
      <c r="E38" s="35" t="s">
        <v>110</v>
      </c>
      <c r="F38" s="10"/>
      <c r="G38" s="10"/>
      <c r="H38" s="36" t="str">
        <f t="shared" si="1"/>
        <v>Aguardando</v>
      </c>
    </row>
    <row r="39" spans="1:8">
      <c r="A39" s="37" t="s">
        <v>119</v>
      </c>
      <c r="B39" s="38">
        <v>46188</v>
      </c>
      <c r="C39" s="39" t="s">
        <v>120</v>
      </c>
      <c r="D39" s="40" t="s">
        <v>121</v>
      </c>
      <c r="E39" s="40" t="s">
        <v>122</v>
      </c>
      <c r="F39" s="10"/>
      <c r="G39" s="10"/>
      <c r="H39" s="41" t="str">
        <f t="shared" si="1"/>
        <v>Aguardando</v>
      </c>
    </row>
    <row r="40" spans="1:8">
      <c r="A40" s="37" t="s">
        <v>123</v>
      </c>
      <c r="B40" s="38">
        <v>46188</v>
      </c>
      <c r="C40" s="39" t="s">
        <v>120</v>
      </c>
      <c r="D40" s="40" t="s">
        <v>124</v>
      </c>
      <c r="E40" s="40" t="s">
        <v>125</v>
      </c>
      <c r="F40" s="10"/>
      <c r="G40" s="10"/>
      <c r="H40" s="41" t="str">
        <f t="shared" si="1"/>
        <v>Aguardando</v>
      </c>
    </row>
    <row r="41" spans="1:8">
      <c r="A41" s="37" t="s">
        <v>126</v>
      </c>
      <c r="B41" s="38">
        <v>46194</v>
      </c>
      <c r="C41" s="39" t="s">
        <v>120</v>
      </c>
      <c r="D41" s="40" t="s">
        <v>121</v>
      </c>
      <c r="E41" s="40" t="s">
        <v>124</v>
      </c>
      <c r="F41" s="10"/>
      <c r="G41" s="10"/>
      <c r="H41" s="41" t="str">
        <f t="shared" si="1"/>
        <v>Aguardando</v>
      </c>
    </row>
    <row r="42" spans="1:8">
      <c r="A42" s="37" t="s">
        <v>127</v>
      </c>
      <c r="B42" s="38">
        <v>46194</v>
      </c>
      <c r="C42" s="39" t="s">
        <v>120</v>
      </c>
      <c r="D42" s="40" t="s">
        <v>125</v>
      </c>
      <c r="E42" s="40" t="s">
        <v>122</v>
      </c>
      <c r="F42" s="10"/>
      <c r="G42" s="10"/>
      <c r="H42" s="41" t="str">
        <f t="shared" si="1"/>
        <v>Aguardando</v>
      </c>
    </row>
    <row r="43" spans="1:8">
      <c r="A43" s="37" t="s">
        <v>128</v>
      </c>
      <c r="B43" s="38">
        <v>46199</v>
      </c>
      <c r="C43" s="39" t="s">
        <v>120</v>
      </c>
      <c r="D43" s="40" t="s">
        <v>122</v>
      </c>
      <c r="E43" s="40" t="s">
        <v>124</v>
      </c>
      <c r="F43" s="10"/>
      <c r="G43" s="10"/>
      <c r="H43" s="41" t="str">
        <f t="shared" si="1"/>
        <v>Aguardando</v>
      </c>
    </row>
    <row r="44" spans="1:8">
      <c r="A44" s="37" t="s">
        <v>129</v>
      </c>
      <c r="B44" s="38">
        <v>46199</v>
      </c>
      <c r="C44" s="39" t="s">
        <v>120</v>
      </c>
      <c r="D44" s="40" t="s">
        <v>125</v>
      </c>
      <c r="E44" s="40" t="s">
        <v>121</v>
      </c>
      <c r="F44" s="10"/>
      <c r="G44" s="10"/>
      <c r="H44" s="41" t="str">
        <f t="shared" si="1"/>
        <v>Aguardando</v>
      </c>
    </row>
    <row r="45" spans="1:8">
      <c r="A45" s="42" t="s">
        <v>130</v>
      </c>
      <c r="B45" s="43">
        <v>46188</v>
      </c>
      <c r="C45" s="44" t="s">
        <v>131</v>
      </c>
      <c r="D45" s="45" t="s">
        <v>132</v>
      </c>
      <c r="E45" s="45" t="s">
        <v>133</v>
      </c>
      <c r="F45" s="10"/>
      <c r="G45" s="10"/>
      <c r="H45" s="46" t="str">
        <f t="shared" si="1"/>
        <v>Aguardando</v>
      </c>
    </row>
    <row r="46" spans="1:8">
      <c r="A46" s="42" t="s">
        <v>134</v>
      </c>
      <c r="B46" s="43">
        <v>46188</v>
      </c>
      <c r="C46" s="44" t="s">
        <v>131</v>
      </c>
      <c r="D46" s="45" t="s">
        <v>135</v>
      </c>
      <c r="E46" s="45" t="s">
        <v>136</v>
      </c>
      <c r="F46" s="10"/>
      <c r="G46" s="10"/>
      <c r="H46" s="46" t="str">
        <f t="shared" si="1"/>
        <v>Aguardando</v>
      </c>
    </row>
    <row r="47" spans="1:8">
      <c r="A47" s="42" t="s">
        <v>137</v>
      </c>
      <c r="B47" s="43">
        <v>46194</v>
      </c>
      <c r="C47" s="44" t="s">
        <v>131</v>
      </c>
      <c r="D47" s="45" t="s">
        <v>132</v>
      </c>
      <c r="E47" s="45" t="s">
        <v>135</v>
      </c>
      <c r="F47" s="10"/>
      <c r="G47" s="10"/>
      <c r="H47" s="46" t="str">
        <f t="shared" si="1"/>
        <v>Aguardando</v>
      </c>
    </row>
    <row r="48" spans="1:8">
      <c r="A48" s="42" t="s">
        <v>138</v>
      </c>
      <c r="B48" s="43">
        <v>46194</v>
      </c>
      <c r="C48" s="44" t="s">
        <v>131</v>
      </c>
      <c r="D48" s="45" t="s">
        <v>136</v>
      </c>
      <c r="E48" s="45" t="s">
        <v>133</v>
      </c>
      <c r="F48" s="10"/>
      <c r="G48" s="10"/>
      <c r="H48" s="46" t="str">
        <f t="shared" si="1"/>
        <v>Aguardando</v>
      </c>
    </row>
    <row r="49" spans="1:8">
      <c r="A49" s="42" t="s">
        <v>139</v>
      </c>
      <c r="B49" s="43">
        <v>46199</v>
      </c>
      <c r="C49" s="44" t="s">
        <v>131</v>
      </c>
      <c r="D49" s="45" t="s">
        <v>133</v>
      </c>
      <c r="E49" s="45" t="s">
        <v>135</v>
      </c>
      <c r="F49" s="10"/>
      <c r="G49" s="10"/>
      <c r="H49" s="46" t="str">
        <f t="shared" si="1"/>
        <v>Aguardando</v>
      </c>
    </row>
    <row r="50" spans="1:8">
      <c r="A50" s="42" t="s">
        <v>140</v>
      </c>
      <c r="B50" s="43">
        <v>46199</v>
      </c>
      <c r="C50" s="44" t="s">
        <v>131</v>
      </c>
      <c r="D50" s="45" t="s">
        <v>136</v>
      </c>
      <c r="E50" s="45" t="s">
        <v>132</v>
      </c>
      <c r="F50" s="10"/>
      <c r="G50" s="10"/>
      <c r="H50" s="46" t="str">
        <f t="shared" si="1"/>
        <v>Aguardando</v>
      </c>
    </row>
    <row r="51" spans="1:8">
      <c r="A51" s="47" t="s">
        <v>141</v>
      </c>
      <c r="B51" s="48">
        <v>46189</v>
      </c>
      <c r="C51" s="49" t="s">
        <v>142</v>
      </c>
      <c r="D51" s="50" t="s">
        <v>143</v>
      </c>
      <c r="E51" s="50" t="s">
        <v>144</v>
      </c>
      <c r="F51" s="10"/>
      <c r="G51" s="10"/>
      <c r="H51" s="51" t="str">
        <f t="shared" si="1"/>
        <v>Aguardando</v>
      </c>
    </row>
    <row r="52" spans="1:8">
      <c r="A52" s="47" t="s">
        <v>145</v>
      </c>
      <c r="B52" s="48">
        <v>46189</v>
      </c>
      <c r="C52" s="49" t="s">
        <v>142</v>
      </c>
      <c r="D52" s="50" t="s">
        <v>146</v>
      </c>
      <c r="E52" s="50" t="s">
        <v>147</v>
      </c>
      <c r="F52" s="10"/>
      <c r="G52" s="10"/>
      <c r="H52" s="51" t="str">
        <f t="shared" si="1"/>
        <v>Aguardando</v>
      </c>
    </row>
    <row r="53" spans="1:8">
      <c r="A53" s="47" t="s">
        <v>148</v>
      </c>
      <c r="B53" s="48">
        <v>46195</v>
      </c>
      <c r="C53" s="49" t="s">
        <v>142</v>
      </c>
      <c r="D53" s="50" t="s">
        <v>143</v>
      </c>
      <c r="E53" s="50" t="s">
        <v>146</v>
      </c>
      <c r="F53" s="10"/>
      <c r="G53" s="10"/>
      <c r="H53" s="51" t="str">
        <f t="shared" si="1"/>
        <v>Aguardando</v>
      </c>
    </row>
    <row r="54" spans="1:8">
      <c r="A54" s="47" t="s">
        <v>149</v>
      </c>
      <c r="B54" s="48">
        <v>46195</v>
      </c>
      <c r="C54" s="49" t="s">
        <v>142</v>
      </c>
      <c r="D54" s="50" t="s">
        <v>147</v>
      </c>
      <c r="E54" s="50" t="s">
        <v>144</v>
      </c>
      <c r="F54" s="10"/>
      <c r="G54" s="10"/>
      <c r="H54" s="51" t="str">
        <f t="shared" si="1"/>
        <v>Aguardando</v>
      </c>
    </row>
    <row r="55" spans="1:8">
      <c r="A55" s="47" t="s">
        <v>150</v>
      </c>
      <c r="B55" s="48">
        <v>46199</v>
      </c>
      <c r="C55" s="49" t="s">
        <v>142</v>
      </c>
      <c r="D55" s="50" t="s">
        <v>147</v>
      </c>
      <c r="E55" s="50" t="s">
        <v>143</v>
      </c>
      <c r="F55" s="10"/>
      <c r="G55" s="10"/>
      <c r="H55" s="51" t="str">
        <f t="shared" si="1"/>
        <v>Aguardando</v>
      </c>
    </row>
    <row r="56" spans="1:8">
      <c r="A56" s="47" t="s">
        <v>151</v>
      </c>
      <c r="B56" s="48">
        <v>46199</v>
      </c>
      <c r="C56" s="49" t="s">
        <v>142</v>
      </c>
      <c r="D56" s="50" t="s">
        <v>144</v>
      </c>
      <c r="E56" s="50" t="s">
        <v>146</v>
      </c>
      <c r="F56" s="10"/>
      <c r="G56" s="10"/>
      <c r="H56" s="51" t="str">
        <f t="shared" si="1"/>
        <v>Aguardando</v>
      </c>
    </row>
    <row r="57" spans="1:8">
      <c r="A57" s="52" t="s">
        <v>152</v>
      </c>
      <c r="B57" s="53">
        <v>46189</v>
      </c>
      <c r="C57" s="54" t="s">
        <v>153</v>
      </c>
      <c r="D57" s="55" t="s">
        <v>154</v>
      </c>
      <c r="E57" s="55" t="s">
        <v>155</v>
      </c>
      <c r="F57" s="10"/>
      <c r="G57" s="10"/>
      <c r="H57" s="56" t="str">
        <f t="shared" si="1"/>
        <v>Aguardando</v>
      </c>
    </row>
    <row r="58" spans="1:8">
      <c r="A58" s="52" t="s">
        <v>156</v>
      </c>
      <c r="B58" s="53">
        <v>46189</v>
      </c>
      <c r="C58" s="54" t="s">
        <v>153</v>
      </c>
      <c r="D58" s="55" t="s">
        <v>157</v>
      </c>
      <c r="E58" s="55" t="s">
        <v>158</v>
      </c>
      <c r="F58" s="10"/>
      <c r="G58" s="10"/>
      <c r="H58" s="56" t="str">
        <f t="shared" si="1"/>
        <v>Aguardando</v>
      </c>
    </row>
    <row r="59" spans="1:8">
      <c r="A59" s="52" t="s">
        <v>159</v>
      </c>
      <c r="B59" s="53">
        <v>46195</v>
      </c>
      <c r="C59" s="54" t="s">
        <v>153</v>
      </c>
      <c r="D59" s="55" t="s">
        <v>154</v>
      </c>
      <c r="E59" s="55" t="s">
        <v>157</v>
      </c>
      <c r="F59" s="10"/>
      <c r="G59" s="10"/>
      <c r="H59" s="56" t="str">
        <f t="shared" si="1"/>
        <v>Aguardando</v>
      </c>
    </row>
    <row r="60" spans="1:8">
      <c r="A60" s="52" t="s">
        <v>160</v>
      </c>
      <c r="B60" s="53">
        <v>46195</v>
      </c>
      <c r="C60" s="54" t="s">
        <v>153</v>
      </c>
      <c r="D60" s="55" t="s">
        <v>158</v>
      </c>
      <c r="E60" s="55" t="s">
        <v>155</v>
      </c>
      <c r="F60" s="10"/>
      <c r="G60" s="10"/>
      <c r="H60" s="56" t="str">
        <f t="shared" si="1"/>
        <v>Aguardando</v>
      </c>
    </row>
    <row r="61" spans="1:8">
      <c r="A61" s="52" t="s">
        <v>161</v>
      </c>
      <c r="B61" s="53">
        <v>46200</v>
      </c>
      <c r="C61" s="54" t="s">
        <v>153</v>
      </c>
      <c r="D61" s="55" t="s">
        <v>155</v>
      </c>
      <c r="E61" s="55" t="s">
        <v>157</v>
      </c>
      <c r="F61" s="10"/>
      <c r="G61" s="10"/>
      <c r="H61" s="56" t="str">
        <f t="shared" si="1"/>
        <v>Aguardando</v>
      </c>
    </row>
    <row r="62" spans="1:8">
      <c r="A62" s="52" t="s">
        <v>162</v>
      </c>
      <c r="B62" s="53">
        <v>46200</v>
      </c>
      <c r="C62" s="54" t="s">
        <v>153</v>
      </c>
      <c r="D62" s="55" t="s">
        <v>158</v>
      </c>
      <c r="E62" s="55" t="s">
        <v>154</v>
      </c>
      <c r="F62" s="10"/>
      <c r="G62" s="10"/>
      <c r="H62" s="56" t="str">
        <f t="shared" si="1"/>
        <v>Aguardando</v>
      </c>
    </row>
    <row r="63" spans="1:8">
      <c r="A63" s="57" t="s">
        <v>163</v>
      </c>
      <c r="B63" s="58">
        <v>46190</v>
      </c>
      <c r="C63" s="59" t="s">
        <v>164</v>
      </c>
      <c r="D63" s="60" t="s">
        <v>165</v>
      </c>
      <c r="E63" s="60" t="s">
        <v>166</v>
      </c>
      <c r="F63" s="10"/>
      <c r="G63" s="10"/>
      <c r="H63" s="61" t="str">
        <f t="shared" si="1"/>
        <v>Aguardando</v>
      </c>
    </row>
    <row r="64" spans="1:8">
      <c r="A64" s="57" t="s">
        <v>167</v>
      </c>
      <c r="B64" s="58">
        <v>46190</v>
      </c>
      <c r="C64" s="59" t="s">
        <v>164</v>
      </c>
      <c r="D64" s="60" t="s">
        <v>168</v>
      </c>
      <c r="E64" s="60" t="s">
        <v>169</v>
      </c>
      <c r="F64" s="10"/>
      <c r="G64" s="10"/>
      <c r="H64" s="61" t="str">
        <f t="shared" si="1"/>
        <v>Aguardando</v>
      </c>
    </row>
    <row r="65" spans="1:8">
      <c r="A65" s="57" t="s">
        <v>170</v>
      </c>
      <c r="B65" s="58">
        <v>46196</v>
      </c>
      <c r="C65" s="59" t="s">
        <v>164</v>
      </c>
      <c r="D65" s="60" t="s">
        <v>165</v>
      </c>
      <c r="E65" s="60" t="s">
        <v>168</v>
      </c>
      <c r="F65" s="10"/>
      <c r="G65" s="10"/>
      <c r="H65" s="61" t="str">
        <f t="shared" si="1"/>
        <v>Aguardando</v>
      </c>
    </row>
    <row r="66" spans="1:8">
      <c r="A66" s="57" t="s">
        <v>171</v>
      </c>
      <c r="B66" s="58">
        <v>46196</v>
      </c>
      <c r="C66" s="59" t="s">
        <v>164</v>
      </c>
      <c r="D66" s="60" t="s">
        <v>169</v>
      </c>
      <c r="E66" s="60" t="s">
        <v>166</v>
      </c>
      <c r="F66" s="10"/>
      <c r="G66" s="10"/>
      <c r="H66" s="61" t="str">
        <f t="shared" si="1"/>
        <v>Aguardando</v>
      </c>
    </row>
    <row r="67" spans="1:8">
      <c r="A67" s="57" t="s">
        <v>172</v>
      </c>
      <c r="B67" s="58">
        <v>46200</v>
      </c>
      <c r="C67" s="59" t="s">
        <v>164</v>
      </c>
      <c r="D67" s="60" t="s">
        <v>169</v>
      </c>
      <c r="E67" s="60" t="s">
        <v>165</v>
      </c>
      <c r="F67" s="10"/>
      <c r="G67" s="10"/>
      <c r="H67" s="61" t="str">
        <f t="shared" ref="H67:H74" si="2">IF(AND(F67="",G67=""),"Aguardando",IF(AND(ISNUMBER(F67),ISNUMBER(G67)),"Finalizado","Verificar"))</f>
        <v>Aguardando</v>
      </c>
    </row>
    <row r="68" spans="1:8">
      <c r="A68" s="57" t="s">
        <v>173</v>
      </c>
      <c r="B68" s="58">
        <v>46200</v>
      </c>
      <c r="C68" s="59" t="s">
        <v>164</v>
      </c>
      <c r="D68" s="60" t="s">
        <v>166</v>
      </c>
      <c r="E68" s="60" t="s">
        <v>168</v>
      </c>
      <c r="F68" s="10"/>
      <c r="G68" s="10"/>
      <c r="H68" s="61" t="str">
        <f t="shared" si="2"/>
        <v>Aguardando</v>
      </c>
    </row>
    <row r="69" spans="1:8">
      <c r="A69" s="62" t="s">
        <v>174</v>
      </c>
      <c r="B69" s="63">
        <v>46190</v>
      </c>
      <c r="C69" s="64" t="s">
        <v>175</v>
      </c>
      <c r="D69" s="65" t="s">
        <v>176</v>
      </c>
      <c r="E69" s="65" t="s">
        <v>177</v>
      </c>
      <c r="F69" s="10"/>
      <c r="G69" s="10"/>
      <c r="H69" s="66" t="str">
        <f t="shared" si="2"/>
        <v>Aguardando</v>
      </c>
    </row>
    <row r="70" spans="1:8">
      <c r="A70" s="62" t="s">
        <v>178</v>
      </c>
      <c r="B70" s="63">
        <v>46190</v>
      </c>
      <c r="C70" s="64" t="s">
        <v>175</v>
      </c>
      <c r="D70" s="65" t="s">
        <v>179</v>
      </c>
      <c r="E70" s="65" t="s">
        <v>180</v>
      </c>
      <c r="F70" s="10"/>
      <c r="G70" s="10"/>
      <c r="H70" s="66" t="str">
        <f t="shared" si="2"/>
        <v>Aguardando</v>
      </c>
    </row>
    <row r="71" spans="1:8">
      <c r="A71" s="62" t="s">
        <v>181</v>
      </c>
      <c r="B71" s="63">
        <v>46196</v>
      </c>
      <c r="C71" s="64" t="s">
        <v>175</v>
      </c>
      <c r="D71" s="65" t="s">
        <v>176</v>
      </c>
      <c r="E71" s="65" t="s">
        <v>179</v>
      </c>
      <c r="F71" s="10"/>
      <c r="G71" s="10"/>
      <c r="H71" s="66" t="str">
        <f t="shared" si="2"/>
        <v>Aguardando</v>
      </c>
    </row>
    <row r="72" spans="1:8">
      <c r="A72" s="62" t="s">
        <v>182</v>
      </c>
      <c r="B72" s="63">
        <v>46196</v>
      </c>
      <c r="C72" s="64" t="s">
        <v>175</v>
      </c>
      <c r="D72" s="65" t="s">
        <v>180</v>
      </c>
      <c r="E72" s="65" t="s">
        <v>177</v>
      </c>
      <c r="F72" s="10"/>
      <c r="G72" s="10"/>
      <c r="H72" s="66" t="str">
        <f t="shared" si="2"/>
        <v>Aguardando</v>
      </c>
    </row>
    <row r="73" spans="1:8">
      <c r="A73" s="62" t="s">
        <v>183</v>
      </c>
      <c r="B73" s="63">
        <v>46200</v>
      </c>
      <c r="C73" s="64" t="s">
        <v>175</v>
      </c>
      <c r="D73" s="65" t="s">
        <v>180</v>
      </c>
      <c r="E73" s="65" t="s">
        <v>176</v>
      </c>
      <c r="F73" s="10"/>
      <c r="G73" s="10"/>
      <c r="H73" s="66" t="str">
        <f t="shared" si="2"/>
        <v>Aguardando</v>
      </c>
    </row>
    <row r="74" spans="1:8">
      <c r="A74" s="62" t="s">
        <v>184</v>
      </c>
      <c r="B74" s="63">
        <v>46200</v>
      </c>
      <c r="C74" s="64" t="s">
        <v>175</v>
      </c>
      <c r="D74" s="65" t="s">
        <v>177</v>
      </c>
      <c r="E74" s="65" t="s">
        <v>179</v>
      </c>
      <c r="F74" s="10"/>
      <c r="G74" s="10"/>
      <c r="H74" s="66" t="str">
        <f t="shared" si="2"/>
        <v>Aguardando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O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4" sqref="B4"/>
    </sheetView>
  </sheetViews>
  <sheetFormatPr defaultRowHeight="14.4"/>
  <cols>
    <col min="1" max="1" width="24" customWidth="1"/>
    <col min="2" max="145" width="4.33203125" customWidth="1"/>
  </cols>
  <sheetData>
    <row r="1" spans="1:145" ht="43.95" customHeight="1">
      <c r="A1" s="255" t="s">
        <v>185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3"/>
      <c r="DQ1" s="253"/>
      <c r="DR1" s="253"/>
      <c r="DS1" s="253"/>
      <c r="DT1" s="253"/>
      <c r="DU1" s="253"/>
      <c r="DV1" s="253"/>
      <c r="DW1" s="253"/>
      <c r="DX1" s="253"/>
      <c r="DY1" s="253"/>
      <c r="DZ1" s="253"/>
      <c r="EA1" s="253"/>
      <c r="EB1" s="253"/>
      <c r="EC1" s="253"/>
      <c r="ED1" s="253"/>
      <c r="EE1" s="253"/>
      <c r="EF1" s="253"/>
      <c r="EG1" s="253"/>
      <c r="EH1" s="253"/>
      <c r="EI1" s="253"/>
      <c r="EJ1" s="253"/>
      <c r="EK1" s="253"/>
      <c r="EL1" s="253"/>
      <c r="EM1" s="253"/>
      <c r="EN1" s="253"/>
      <c r="EO1" s="253"/>
    </row>
    <row r="2" spans="1:145" ht="19.95" customHeight="1">
      <c r="A2" s="261" t="s">
        <v>186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</row>
    <row r="3" spans="1:145" ht="28.2" customHeight="1">
      <c r="A3" s="67" t="s">
        <v>187</v>
      </c>
      <c r="B3" s="263" t="s">
        <v>188</v>
      </c>
      <c r="C3" s="253"/>
      <c r="D3" s="263" t="s">
        <v>189</v>
      </c>
      <c r="E3" s="253"/>
      <c r="F3" s="263" t="s">
        <v>190</v>
      </c>
      <c r="G3" s="253"/>
      <c r="H3" s="263" t="s">
        <v>191</v>
      </c>
      <c r="I3" s="253"/>
      <c r="J3" s="263" t="s">
        <v>192</v>
      </c>
      <c r="K3" s="253"/>
      <c r="L3" s="263" t="s">
        <v>193</v>
      </c>
      <c r="M3" s="253"/>
      <c r="N3" s="264" t="s">
        <v>194</v>
      </c>
      <c r="O3" s="253"/>
      <c r="P3" s="264" t="s">
        <v>195</v>
      </c>
      <c r="Q3" s="253"/>
      <c r="R3" s="264" t="s">
        <v>196</v>
      </c>
      <c r="S3" s="253"/>
      <c r="T3" s="264" t="s">
        <v>197</v>
      </c>
      <c r="U3" s="253"/>
      <c r="V3" s="264" t="s">
        <v>198</v>
      </c>
      <c r="W3" s="253"/>
      <c r="X3" s="264" t="s">
        <v>199</v>
      </c>
      <c r="Y3" s="253"/>
      <c r="Z3" s="259" t="s">
        <v>200</v>
      </c>
      <c r="AA3" s="253"/>
      <c r="AB3" s="259" t="s">
        <v>201</v>
      </c>
      <c r="AC3" s="253"/>
      <c r="AD3" s="259" t="s">
        <v>202</v>
      </c>
      <c r="AE3" s="253"/>
      <c r="AF3" s="259" t="s">
        <v>203</v>
      </c>
      <c r="AG3" s="253"/>
      <c r="AH3" s="259" t="s">
        <v>204</v>
      </c>
      <c r="AI3" s="253"/>
      <c r="AJ3" s="259" t="s">
        <v>205</v>
      </c>
      <c r="AK3" s="253"/>
      <c r="AL3" s="260" t="s">
        <v>206</v>
      </c>
      <c r="AM3" s="253"/>
      <c r="AN3" s="260" t="s">
        <v>207</v>
      </c>
      <c r="AO3" s="253"/>
      <c r="AP3" s="260" t="s">
        <v>208</v>
      </c>
      <c r="AQ3" s="253"/>
      <c r="AR3" s="260" t="s">
        <v>209</v>
      </c>
      <c r="AS3" s="253"/>
      <c r="AT3" s="260" t="s">
        <v>210</v>
      </c>
      <c r="AU3" s="253"/>
      <c r="AV3" s="260" t="s">
        <v>211</v>
      </c>
      <c r="AW3" s="253"/>
      <c r="AX3" s="265" t="s">
        <v>212</v>
      </c>
      <c r="AY3" s="253"/>
      <c r="AZ3" s="265" t="s">
        <v>213</v>
      </c>
      <c r="BA3" s="253"/>
      <c r="BB3" s="265" t="s">
        <v>214</v>
      </c>
      <c r="BC3" s="253"/>
      <c r="BD3" s="265" t="s">
        <v>215</v>
      </c>
      <c r="BE3" s="253"/>
      <c r="BF3" s="265" t="s">
        <v>216</v>
      </c>
      <c r="BG3" s="253"/>
      <c r="BH3" s="265" t="s">
        <v>217</v>
      </c>
      <c r="BI3" s="253"/>
      <c r="BJ3" s="266" t="s">
        <v>218</v>
      </c>
      <c r="BK3" s="253"/>
      <c r="BL3" s="266" t="s">
        <v>219</v>
      </c>
      <c r="BM3" s="253"/>
      <c r="BN3" s="266" t="s">
        <v>220</v>
      </c>
      <c r="BO3" s="253"/>
      <c r="BP3" s="266" t="s">
        <v>221</v>
      </c>
      <c r="BQ3" s="253"/>
      <c r="BR3" s="266" t="s">
        <v>222</v>
      </c>
      <c r="BS3" s="253"/>
      <c r="BT3" s="266" t="s">
        <v>223</v>
      </c>
      <c r="BU3" s="253"/>
      <c r="BV3" s="256" t="s">
        <v>224</v>
      </c>
      <c r="BW3" s="253"/>
      <c r="BX3" s="256" t="s">
        <v>225</v>
      </c>
      <c r="BY3" s="253"/>
      <c r="BZ3" s="256" t="s">
        <v>226</v>
      </c>
      <c r="CA3" s="253"/>
      <c r="CB3" s="256" t="s">
        <v>227</v>
      </c>
      <c r="CC3" s="253"/>
      <c r="CD3" s="256" t="s">
        <v>228</v>
      </c>
      <c r="CE3" s="253"/>
      <c r="CF3" s="256" t="s">
        <v>229</v>
      </c>
      <c r="CG3" s="253"/>
      <c r="CH3" s="257" t="s">
        <v>230</v>
      </c>
      <c r="CI3" s="253"/>
      <c r="CJ3" s="257" t="s">
        <v>231</v>
      </c>
      <c r="CK3" s="253"/>
      <c r="CL3" s="257" t="s">
        <v>232</v>
      </c>
      <c r="CM3" s="253"/>
      <c r="CN3" s="257" t="s">
        <v>233</v>
      </c>
      <c r="CO3" s="253"/>
      <c r="CP3" s="257" t="s">
        <v>234</v>
      </c>
      <c r="CQ3" s="253"/>
      <c r="CR3" s="257" t="s">
        <v>235</v>
      </c>
      <c r="CS3" s="253"/>
      <c r="CT3" s="258" t="s">
        <v>236</v>
      </c>
      <c r="CU3" s="253"/>
      <c r="CV3" s="258" t="s">
        <v>237</v>
      </c>
      <c r="CW3" s="253"/>
      <c r="CX3" s="258" t="s">
        <v>238</v>
      </c>
      <c r="CY3" s="253"/>
      <c r="CZ3" s="258" t="s">
        <v>239</v>
      </c>
      <c r="DA3" s="253"/>
      <c r="DB3" s="258" t="s">
        <v>240</v>
      </c>
      <c r="DC3" s="253"/>
      <c r="DD3" s="258" t="s">
        <v>241</v>
      </c>
      <c r="DE3" s="253"/>
      <c r="DF3" s="267" t="s">
        <v>242</v>
      </c>
      <c r="DG3" s="253"/>
      <c r="DH3" s="267" t="s">
        <v>243</v>
      </c>
      <c r="DI3" s="253"/>
      <c r="DJ3" s="267" t="s">
        <v>244</v>
      </c>
      <c r="DK3" s="253"/>
      <c r="DL3" s="267" t="s">
        <v>245</v>
      </c>
      <c r="DM3" s="253"/>
      <c r="DN3" s="267" t="s">
        <v>246</v>
      </c>
      <c r="DO3" s="253"/>
      <c r="DP3" s="267" t="s">
        <v>247</v>
      </c>
      <c r="DQ3" s="253"/>
      <c r="DR3" s="268" t="s">
        <v>248</v>
      </c>
      <c r="DS3" s="253"/>
      <c r="DT3" s="268" t="s">
        <v>249</v>
      </c>
      <c r="DU3" s="253"/>
      <c r="DV3" s="268" t="s">
        <v>250</v>
      </c>
      <c r="DW3" s="253"/>
      <c r="DX3" s="268" t="s">
        <v>251</v>
      </c>
      <c r="DY3" s="253"/>
      <c r="DZ3" s="268" t="s">
        <v>252</v>
      </c>
      <c r="EA3" s="253"/>
      <c r="EB3" s="268" t="s">
        <v>253</v>
      </c>
      <c r="EC3" s="253"/>
      <c r="ED3" s="262" t="s">
        <v>254</v>
      </c>
      <c r="EE3" s="253"/>
      <c r="EF3" s="262" t="s">
        <v>255</v>
      </c>
      <c r="EG3" s="253"/>
      <c r="EH3" s="262" t="s">
        <v>256</v>
      </c>
      <c r="EI3" s="253"/>
      <c r="EJ3" s="262" t="s">
        <v>257</v>
      </c>
      <c r="EK3" s="253"/>
      <c r="EL3" s="262" t="s">
        <v>258</v>
      </c>
      <c r="EM3" s="253"/>
      <c r="EN3" s="262" t="s">
        <v>259</v>
      </c>
      <c r="EO3" s="253"/>
    </row>
    <row r="4" spans="1:145" ht="25.95" customHeight="1">
      <c r="A4" s="80" t="s">
        <v>260</v>
      </c>
      <c r="B4" s="68" t="s">
        <v>55</v>
      </c>
      <c r="C4" s="68" t="s">
        <v>56</v>
      </c>
      <c r="D4" s="68" t="s">
        <v>58</v>
      </c>
      <c r="E4" s="68" t="s">
        <v>59</v>
      </c>
      <c r="F4" s="68" t="s">
        <v>59</v>
      </c>
      <c r="G4" s="68" t="s">
        <v>56</v>
      </c>
      <c r="H4" s="68" t="s">
        <v>55</v>
      </c>
      <c r="I4" s="68" t="s">
        <v>58</v>
      </c>
      <c r="J4" s="68" t="s">
        <v>59</v>
      </c>
      <c r="K4" s="68" t="s">
        <v>55</v>
      </c>
      <c r="L4" s="68" t="s">
        <v>56</v>
      </c>
      <c r="M4" s="68" t="s">
        <v>58</v>
      </c>
      <c r="N4" s="69" t="s">
        <v>66</v>
      </c>
      <c r="O4" s="69" t="s">
        <v>67</v>
      </c>
      <c r="P4" s="69" t="s">
        <v>69</v>
      </c>
      <c r="Q4" s="69" t="s">
        <v>70</v>
      </c>
      <c r="R4" s="69" t="s">
        <v>70</v>
      </c>
      <c r="S4" s="69" t="s">
        <v>67</v>
      </c>
      <c r="T4" s="69" t="s">
        <v>66</v>
      </c>
      <c r="U4" s="69" t="s">
        <v>69</v>
      </c>
      <c r="V4" s="69" t="s">
        <v>70</v>
      </c>
      <c r="W4" s="69" t="s">
        <v>66</v>
      </c>
      <c r="X4" s="69" t="s">
        <v>67</v>
      </c>
      <c r="Y4" s="69" t="s">
        <v>69</v>
      </c>
      <c r="Z4" s="70" t="s">
        <v>77</v>
      </c>
      <c r="AA4" s="70" t="s">
        <v>78</v>
      </c>
      <c r="AB4" s="70" t="s">
        <v>80</v>
      </c>
      <c r="AC4" s="70" t="s">
        <v>81</v>
      </c>
      <c r="AD4" s="70" t="s">
        <v>81</v>
      </c>
      <c r="AE4" s="70" t="s">
        <v>78</v>
      </c>
      <c r="AF4" s="70" t="s">
        <v>77</v>
      </c>
      <c r="AG4" s="70" t="s">
        <v>80</v>
      </c>
      <c r="AH4" s="70" t="s">
        <v>81</v>
      </c>
      <c r="AI4" s="70" t="s">
        <v>77</v>
      </c>
      <c r="AJ4" s="70" t="s">
        <v>78</v>
      </c>
      <c r="AK4" s="70" t="s">
        <v>80</v>
      </c>
      <c r="AL4" s="71" t="s">
        <v>88</v>
      </c>
      <c r="AM4" s="71" t="s">
        <v>89</v>
      </c>
      <c r="AN4" s="71" t="s">
        <v>91</v>
      </c>
      <c r="AO4" s="71" t="s">
        <v>92</v>
      </c>
      <c r="AP4" s="71" t="s">
        <v>88</v>
      </c>
      <c r="AQ4" s="71" t="s">
        <v>91</v>
      </c>
      <c r="AR4" s="71" t="s">
        <v>92</v>
      </c>
      <c r="AS4" s="71" t="s">
        <v>89</v>
      </c>
      <c r="AT4" s="71" t="s">
        <v>92</v>
      </c>
      <c r="AU4" s="71" t="s">
        <v>88</v>
      </c>
      <c r="AV4" s="71" t="s">
        <v>89</v>
      </c>
      <c r="AW4" s="71" t="s">
        <v>91</v>
      </c>
      <c r="AX4" s="72" t="s">
        <v>99</v>
      </c>
      <c r="AY4" s="72" t="s">
        <v>100</v>
      </c>
      <c r="AZ4" s="72" t="s">
        <v>102</v>
      </c>
      <c r="BA4" s="72" t="s">
        <v>103</v>
      </c>
      <c r="BB4" s="72" t="s">
        <v>99</v>
      </c>
      <c r="BC4" s="72" t="s">
        <v>102</v>
      </c>
      <c r="BD4" s="72" t="s">
        <v>103</v>
      </c>
      <c r="BE4" s="72" t="s">
        <v>100</v>
      </c>
      <c r="BF4" s="72" t="s">
        <v>103</v>
      </c>
      <c r="BG4" s="72" t="s">
        <v>99</v>
      </c>
      <c r="BH4" s="72" t="s">
        <v>100</v>
      </c>
      <c r="BI4" s="72" t="s">
        <v>102</v>
      </c>
      <c r="BJ4" s="73" t="s">
        <v>110</v>
      </c>
      <c r="BK4" s="73" t="s">
        <v>111</v>
      </c>
      <c r="BL4" s="73" t="s">
        <v>113</v>
      </c>
      <c r="BM4" s="73" t="s">
        <v>114</v>
      </c>
      <c r="BN4" s="73" t="s">
        <v>110</v>
      </c>
      <c r="BO4" s="73" t="s">
        <v>113</v>
      </c>
      <c r="BP4" s="73" t="s">
        <v>114</v>
      </c>
      <c r="BQ4" s="73" t="s">
        <v>111</v>
      </c>
      <c r="BR4" s="73" t="s">
        <v>111</v>
      </c>
      <c r="BS4" s="73" t="s">
        <v>113</v>
      </c>
      <c r="BT4" s="73" t="s">
        <v>114</v>
      </c>
      <c r="BU4" s="73" t="s">
        <v>110</v>
      </c>
      <c r="BV4" s="74" t="s">
        <v>121</v>
      </c>
      <c r="BW4" s="74" t="s">
        <v>122</v>
      </c>
      <c r="BX4" s="74" t="s">
        <v>124</v>
      </c>
      <c r="BY4" s="74" t="s">
        <v>125</v>
      </c>
      <c r="BZ4" s="74" t="s">
        <v>121</v>
      </c>
      <c r="CA4" s="74" t="s">
        <v>124</v>
      </c>
      <c r="CB4" s="74" t="s">
        <v>125</v>
      </c>
      <c r="CC4" s="74" t="s">
        <v>122</v>
      </c>
      <c r="CD4" s="74" t="s">
        <v>122</v>
      </c>
      <c r="CE4" s="74" t="s">
        <v>124</v>
      </c>
      <c r="CF4" s="74" t="s">
        <v>125</v>
      </c>
      <c r="CG4" s="74" t="s">
        <v>121</v>
      </c>
      <c r="CH4" s="75" t="s">
        <v>132</v>
      </c>
      <c r="CI4" s="75" t="s">
        <v>133</v>
      </c>
      <c r="CJ4" s="75" t="s">
        <v>135</v>
      </c>
      <c r="CK4" s="75" t="s">
        <v>136</v>
      </c>
      <c r="CL4" s="75" t="s">
        <v>132</v>
      </c>
      <c r="CM4" s="75" t="s">
        <v>135</v>
      </c>
      <c r="CN4" s="75" t="s">
        <v>136</v>
      </c>
      <c r="CO4" s="75" t="s">
        <v>133</v>
      </c>
      <c r="CP4" s="75" t="s">
        <v>133</v>
      </c>
      <c r="CQ4" s="75" t="s">
        <v>135</v>
      </c>
      <c r="CR4" s="75" t="s">
        <v>136</v>
      </c>
      <c r="CS4" s="75" t="s">
        <v>132</v>
      </c>
      <c r="CT4" s="76" t="s">
        <v>143</v>
      </c>
      <c r="CU4" s="76" t="s">
        <v>144</v>
      </c>
      <c r="CV4" s="76" t="s">
        <v>146</v>
      </c>
      <c r="CW4" s="76" t="s">
        <v>147</v>
      </c>
      <c r="CX4" s="76" t="s">
        <v>143</v>
      </c>
      <c r="CY4" s="76" t="s">
        <v>146</v>
      </c>
      <c r="CZ4" s="76" t="s">
        <v>147</v>
      </c>
      <c r="DA4" s="76" t="s">
        <v>144</v>
      </c>
      <c r="DB4" s="76" t="s">
        <v>147</v>
      </c>
      <c r="DC4" s="76" t="s">
        <v>143</v>
      </c>
      <c r="DD4" s="76" t="s">
        <v>144</v>
      </c>
      <c r="DE4" s="76" t="s">
        <v>146</v>
      </c>
      <c r="DF4" s="77" t="s">
        <v>154</v>
      </c>
      <c r="DG4" s="77" t="s">
        <v>155</v>
      </c>
      <c r="DH4" s="77" t="s">
        <v>157</v>
      </c>
      <c r="DI4" s="77" t="s">
        <v>158</v>
      </c>
      <c r="DJ4" s="77" t="s">
        <v>154</v>
      </c>
      <c r="DK4" s="77" t="s">
        <v>157</v>
      </c>
      <c r="DL4" s="77" t="s">
        <v>158</v>
      </c>
      <c r="DM4" s="77" t="s">
        <v>155</v>
      </c>
      <c r="DN4" s="77" t="s">
        <v>155</v>
      </c>
      <c r="DO4" s="77" t="s">
        <v>157</v>
      </c>
      <c r="DP4" s="77" t="s">
        <v>158</v>
      </c>
      <c r="DQ4" s="77" t="s">
        <v>154</v>
      </c>
      <c r="DR4" s="78" t="s">
        <v>165</v>
      </c>
      <c r="DS4" s="78" t="s">
        <v>166</v>
      </c>
      <c r="DT4" s="78" t="s">
        <v>168</v>
      </c>
      <c r="DU4" s="78" t="s">
        <v>169</v>
      </c>
      <c r="DV4" s="78" t="s">
        <v>165</v>
      </c>
      <c r="DW4" s="78" t="s">
        <v>168</v>
      </c>
      <c r="DX4" s="78" t="s">
        <v>169</v>
      </c>
      <c r="DY4" s="78" t="s">
        <v>166</v>
      </c>
      <c r="DZ4" s="78" t="s">
        <v>169</v>
      </c>
      <c r="EA4" s="78" t="s">
        <v>165</v>
      </c>
      <c r="EB4" s="78" t="s">
        <v>166</v>
      </c>
      <c r="EC4" s="78" t="s">
        <v>168</v>
      </c>
      <c r="ED4" s="79" t="s">
        <v>176</v>
      </c>
      <c r="EE4" s="79" t="s">
        <v>177</v>
      </c>
      <c r="EF4" s="79" t="s">
        <v>179</v>
      </c>
      <c r="EG4" s="79" t="s">
        <v>180</v>
      </c>
      <c r="EH4" s="79" t="s">
        <v>176</v>
      </c>
      <c r="EI4" s="79" t="s">
        <v>179</v>
      </c>
      <c r="EJ4" s="79" t="s">
        <v>180</v>
      </c>
      <c r="EK4" s="79" t="s">
        <v>177</v>
      </c>
      <c r="EL4" s="79" t="s">
        <v>180</v>
      </c>
      <c r="EM4" s="79" t="s">
        <v>176</v>
      </c>
      <c r="EN4" s="79" t="s">
        <v>177</v>
      </c>
      <c r="EO4" s="79" t="s">
        <v>179</v>
      </c>
    </row>
    <row r="5" spans="1:145">
      <c r="A5" s="81" t="s">
        <v>261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8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</row>
    <row r="6" spans="1:145">
      <c r="A6" s="82" t="s">
        <v>262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/>
      <c r="DQ6" s="248"/>
      <c r="DR6" s="248"/>
      <c r="DS6" s="248"/>
      <c r="DT6" s="248"/>
      <c r="DU6" s="248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G6" s="248"/>
      <c r="EH6" s="248"/>
      <c r="EI6" s="248"/>
      <c r="EJ6" s="248"/>
      <c r="EK6" s="248"/>
      <c r="EL6" s="248"/>
      <c r="EM6" s="248"/>
      <c r="EN6" s="248"/>
      <c r="EO6" s="248"/>
    </row>
    <row r="7" spans="1:145">
      <c r="A7" s="81" t="s">
        <v>263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>
      <c r="A8" s="82" t="s">
        <v>264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</sheetData>
  <mergeCells count="74">
    <mergeCell ref="B3:C3"/>
    <mergeCell ref="AP3:AQ3"/>
    <mergeCell ref="BB3:BC3"/>
    <mergeCell ref="CJ3:CK3"/>
    <mergeCell ref="CL3:CM3"/>
    <mergeCell ref="F3:G3"/>
    <mergeCell ref="L3:M3"/>
    <mergeCell ref="X3:Y3"/>
    <mergeCell ref="Z3:AA3"/>
    <mergeCell ref="BT3:BU3"/>
    <mergeCell ref="AJ3:AK3"/>
    <mergeCell ref="AL3:AM3"/>
    <mergeCell ref="CF3:CG3"/>
    <mergeCell ref="R3:S3"/>
    <mergeCell ref="AR3:AS3"/>
    <mergeCell ref="T3:U3"/>
    <mergeCell ref="EN3:EO3"/>
    <mergeCell ref="CX3:CY3"/>
    <mergeCell ref="DV3:DW3"/>
    <mergeCell ref="EB3:EC3"/>
    <mergeCell ref="ED3:EE3"/>
    <mergeCell ref="EH3:EI3"/>
    <mergeCell ref="DZ3:EA3"/>
    <mergeCell ref="EF3:EG3"/>
    <mergeCell ref="DH3:DI3"/>
    <mergeCell ref="DT3:DU3"/>
    <mergeCell ref="DR3:DS3"/>
    <mergeCell ref="DX3:DY3"/>
    <mergeCell ref="DD3:DE3"/>
    <mergeCell ref="DF3:DG3"/>
    <mergeCell ref="DB3:DC3"/>
    <mergeCell ref="DN3:DO3"/>
    <mergeCell ref="A1:EO1"/>
    <mergeCell ref="AT3:AU3"/>
    <mergeCell ref="N3:O3"/>
    <mergeCell ref="AV3:AW3"/>
    <mergeCell ref="BD3:BE3"/>
    <mergeCell ref="BF3:BG3"/>
    <mergeCell ref="BH3:BI3"/>
    <mergeCell ref="BN3:BO3"/>
    <mergeCell ref="BP3:BQ3"/>
    <mergeCell ref="BR3:BS3"/>
    <mergeCell ref="DP3:DQ3"/>
    <mergeCell ref="BZ3:CA3"/>
    <mergeCell ref="CP3:CQ3"/>
    <mergeCell ref="V3:W3"/>
    <mergeCell ref="AB3:AC3"/>
    <mergeCell ref="CR3:CS3"/>
    <mergeCell ref="A2:EO2"/>
    <mergeCell ref="EJ3:EK3"/>
    <mergeCell ref="D3:E3"/>
    <mergeCell ref="H3:I3"/>
    <mergeCell ref="J3:K3"/>
    <mergeCell ref="P3:Q3"/>
    <mergeCell ref="AX3:AY3"/>
    <mergeCell ref="BJ3:BK3"/>
    <mergeCell ref="AZ3:BA3"/>
    <mergeCell ref="BL3:BM3"/>
    <mergeCell ref="DL3:DM3"/>
    <mergeCell ref="BV3:BW3"/>
    <mergeCell ref="CB3:CC3"/>
    <mergeCell ref="DJ3:DK3"/>
    <mergeCell ref="EL3:EM3"/>
    <mergeCell ref="CV3:CW3"/>
    <mergeCell ref="BX3:BY3"/>
    <mergeCell ref="CN3:CO3"/>
    <mergeCell ref="CZ3:DA3"/>
    <mergeCell ref="AD3:AE3"/>
    <mergeCell ref="AF3:AG3"/>
    <mergeCell ref="AH3:AI3"/>
    <mergeCell ref="AN3:AO3"/>
    <mergeCell ref="CH3:CI3"/>
    <mergeCell ref="CD3:CE3"/>
    <mergeCell ref="CT3:C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C8"/>
  <sheetViews>
    <sheetView showGridLines="0" workbookViewId="0">
      <selection activeCell="B4" sqref="B4:C6"/>
    </sheetView>
  </sheetViews>
  <sheetFormatPr defaultRowHeight="14.4"/>
  <cols>
    <col min="1" max="1" width="24" customWidth="1"/>
    <col min="2" max="3" width="22" customWidth="1"/>
  </cols>
  <sheetData>
    <row r="1" spans="1:3" ht="43.95" customHeight="1">
      <c r="A1" s="255" t="s">
        <v>265</v>
      </c>
      <c r="B1" s="253"/>
      <c r="C1" s="253"/>
    </row>
    <row r="2" spans="1:3" ht="19.95" customHeight="1">
      <c r="A2" s="261" t="s">
        <v>266</v>
      </c>
      <c r="B2" s="253"/>
      <c r="C2" s="253"/>
    </row>
    <row r="3" spans="1:3" ht="28.2" customHeight="1">
      <c r="A3" s="83" t="s">
        <v>187</v>
      </c>
      <c r="B3" s="84" t="s">
        <v>267</v>
      </c>
      <c r="C3" s="84" t="s">
        <v>268</v>
      </c>
    </row>
    <row r="4" spans="1:3" ht="28.2" customHeight="1">
      <c r="A4" s="85" t="s">
        <v>269</v>
      </c>
      <c r="B4" s="86"/>
      <c r="C4" s="86"/>
    </row>
    <row r="5" spans="1:3" ht="28.2" customHeight="1">
      <c r="A5" s="87" t="s">
        <v>261</v>
      </c>
      <c r="B5" s="251"/>
      <c r="C5" s="251"/>
    </row>
    <row r="6" spans="1:3" ht="28.2" customHeight="1">
      <c r="A6" s="88" t="s">
        <v>262</v>
      </c>
      <c r="B6" s="251"/>
      <c r="C6" s="251"/>
    </row>
    <row r="7" spans="1:3" ht="28.2" customHeight="1">
      <c r="A7" s="89" t="s">
        <v>263</v>
      </c>
      <c r="B7" s="10"/>
      <c r="C7" s="10"/>
    </row>
    <row r="8" spans="1:3" ht="28.2" customHeight="1">
      <c r="A8" s="90" t="s">
        <v>264</v>
      </c>
      <c r="B8" s="10"/>
      <c r="C8" s="10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BV8"/>
  <sheetViews>
    <sheetView showGridLines="0" workbookViewId="0">
      <pane xSplit="1" ySplit="4" topLeftCell="AI5" activePane="bottomRight" state="frozen"/>
      <selection pane="topRight"/>
      <selection pane="bottomLeft"/>
      <selection pane="bottomRight" activeCell="A5" sqref="A5"/>
    </sheetView>
  </sheetViews>
  <sheetFormatPr defaultRowHeight="14.4"/>
  <cols>
    <col min="1" max="1" width="24" customWidth="1"/>
    <col min="2" max="73" width="4.33203125" customWidth="1"/>
    <col min="74" max="74" width="11" customWidth="1"/>
  </cols>
  <sheetData>
    <row r="1" spans="1:74" ht="43.95" customHeight="1">
      <c r="A1" s="255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</row>
    <row r="2" spans="1:74" ht="19.95" customHeight="1">
      <c r="A2" s="261" t="s">
        <v>271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</row>
    <row r="3" spans="1:74" ht="28.2" customHeight="1">
      <c r="A3" s="5" t="s">
        <v>187</v>
      </c>
      <c r="B3" s="91" t="s">
        <v>272</v>
      </c>
      <c r="C3" s="91" t="s">
        <v>273</v>
      </c>
      <c r="D3" s="91" t="s">
        <v>274</v>
      </c>
      <c r="E3" s="91" t="s">
        <v>275</v>
      </c>
      <c r="F3" s="91" t="s">
        <v>276</v>
      </c>
      <c r="G3" s="91" t="s">
        <v>277</v>
      </c>
      <c r="H3" s="91" t="s">
        <v>278</v>
      </c>
      <c r="I3" s="91" t="s">
        <v>279</v>
      </c>
      <c r="J3" s="91" t="s">
        <v>280</v>
      </c>
      <c r="K3" s="91" t="s">
        <v>281</v>
      </c>
      <c r="L3" s="91" t="s">
        <v>282</v>
      </c>
      <c r="M3" s="91" t="s">
        <v>283</v>
      </c>
      <c r="N3" s="91" t="s">
        <v>284</v>
      </c>
      <c r="O3" s="91" t="s">
        <v>285</v>
      </c>
      <c r="P3" s="91" t="s">
        <v>286</v>
      </c>
      <c r="Q3" s="91" t="s">
        <v>287</v>
      </c>
      <c r="R3" s="91" t="s">
        <v>288</v>
      </c>
      <c r="S3" s="91" t="s">
        <v>289</v>
      </c>
      <c r="T3" s="91" t="s">
        <v>290</v>
      </c>
      <c r="U3" s="91" t="s">
        <v>291</v>
      </c>
      <c r="V3" s="91" t="s">
        <v>292</v>
      </c>
      <c r="W3" s="91" t="s">
        <v>293</v>
      </c>
      <c r="X3" s="91" t="s">
        <v>294</v>
      </c>
      <c r="Y3" s="91" t="s">
        <v>295</v>
      </c>
      <c r="Z3" s="91" t="s">
        <v>296</v>
      </c>
      <c r="AA3" s="91" t="s">
        <v>297</v>
      </c>
      <c r="AB3" s="91" t="s">
        <v>298</v>
      </c>
      <c r="AC3" s="91" t="s">
        <v>299</v>
      </c>
      <c r="AD3" s="91" t="s">
        <v>300</v>
      </c>
      <c r="AE3" s="91" t="s">
        <v>301</v>
      </c>
      <c r="AF3" s="91" t="s">
        <v>302</v>
      </c>
      <c r="AG3" s="91" t="s">
        <v>303</v>
      </c>
      <c r="AH3" s="91" t="s">
        <v>304</v>
      </c>
      <c r="AI3" s="91" t="s">
        <v>305</v>
      </c>
      <c r="AJ3" s="91" t="s">
        <v>306</v>
      </c>
      <c r="AK3" s="91" t="s">
        <v>307</v>
      </c>
      <c r="AL3" s="91" t="s">
        <v>308</v>
      </c>
      <c r="AM3" s="91" t="s">
        <v>309</v>
      </c>
      <c r="AN3" s="91" t="s">
        <v>310</v>
      </c>
      <c r="AO3" s="91" t="s">
        <v>311</v>
      </c>
      <c r="AP3" s="91" t="s">
        <v>312</v>
      </c>
      <c r="AQ3" s="91" t="s">
        <v>313</v>
      </c>
      <c r="AR3" s="91" t="s">
        <v>314</v>
      </c>
      <c r="AS3" s="91" t="s">
        <v>315</v>
      </c>
      <c r="AT3" s="91" t="s">
        <v>316</v>
      </c>
      <c r="AU3" s="91" t="s">
        <v>317</v>
      </c>
      <c r="AV3" s="91" t="s">
        <v>318</v>
      </c>
      <c r="AW3" s="91" t="s">
        <v>319</v>
      </c>
      <c r="AX3" s="91" t="s">
        <v>320</v>
      </c>
      <c r="AY3" s="91" t="s">
        <v>321</v>
      </c>
      <c r="AZ3" s="91" t="s">
        <v>322</v>
      </c>
      <c r="BA3" s="91" t="s">
        <v>323</v>
      </c>
      <c r="BB3" s="91" t="s">
        <v>324</v>
      </c>
      <c r="BC3" s="91" t="s">
        <v>325</v>
      </c>
      <c r="BD3" s="91" t="s">
        <v>326</v>
      </c>
      <c r="BE3" s="91" t="s">
        <v>327</v>
      </c>
      <c r="BF3" s="91" t="s">
        <v>328</v>
      </c>
      <c r="BG3" s="91" t="s">
        <v>329</v>
      </c>
      <c r="BH3" s="91" t="s">
        <v>330</v>
      </c>
      <c r="BI3" s="91" t="s">
        <v>331</v>
      </c>
      <c r="BJ3" s="91" t="s">
        <v>332</v>
      </c>
      <c r="BK3" s="91" t="s">
        <v>333</v>
      </c>
      <c r="BL3" s="91" t="s">
        <v>334</v>
      </c>
      <c r="BM3" s="91" t="s">
        <v>335</v>
      </c>
      <c r="BN3" s="91" t="s">
        <v>336</v>
      </c>
      <c r="BO3" s="91" t="s">
        <v>337</v>
      </c>
      <c r="BP3" s="91" t="s">
        <v>338</v>
      </c>
      <c r="BQ3" s="91" t="s">
        <v>339</v>
      </c>
      <c r="BR3" s="91" t="s">
        <v>340</v>
      </c>
      <c r="BS3" s="91" t="s">
        <v>341</v>
      </c>
      <c r="BT3" s="91" t="s">
        <v>342</v>
      </c>
      <c r="BU3" s="91" t="s">
        <v>343</v>
      </c>
      <c r="BV3" s="83" t="s">
        <v>344</v>
      </c>
    </row>
    <row r="4" spans="1:74" ht="24" customHeight="1">
      <c r="A4" s="92" t="s">
        <v>345</v>
      </c>
      <c r="B4" s="93" t="s">
        <v>346</v>
      </c>
      <c r="C4" s="93" t="s">
        <v>347</v>
      </c>
      <c r="D4" s="93" t="s">
        <v>348</v>
      </c>
      <c r="E4" s="93" t="s">
        <v>349</v>
      </c>
      <c r="F4" s="93" t="s">
        <v>350</v>
      </c>
      <c r="G4" s="93" t="s">
        <v>351</v>
      </c>
      <c r="H4" s="94" t="s">
        <v>352</v>
      </c>
      <c r="I4" s="94" t="s">
        <v>353</v>
      </c>
      <c r="J4" s="94" t="s">
        <v>354</v>
      </c>
      <c r="K4" s="94" t="s">
        <v>355</v>
      </c>
      <c r="L4" s="94" t="s">
        <v>356</v>
      </c>
      <c r="M4" s="94" t="s">
        <v>357</v>
      </c>
      <c r="N4" s="95" t="s">
        <v>358</v>
      </c>
      <c r="O4" s="95" t="s">
        <v>359</v>
      </c>
      <c r="P4" s="95" t="s">
        <v>360</v>
      </c>
      <c r="Q4" s="95" t="s">
        <v>361</v>
      </c>
      <c r="R4" s="95" t="s">
        <v>362</v>
      </c>
      <c r="S4" s="95" t="s">
        <v>363</v>
      </c>
      <c r="T4" s="96" t="s">
        <v>364</v>
      </c>
      <c r="U4" s="96" t="s">
        <v>365</v>
      </c>
      <c r="V4" s="96" t="s">
        <v>366</v>
      </c>
      <c r="W4" s="96" t="s">
        <v>367</v>
      </c>
      <c r="X4" s="96" t="s">
        <v>368</v>
      </c>
      <c r="Y4" s="96" t="s">
        <v>369</v>
      </c>
      <c r="Z4" s="97" t="s">
        <v>370</v>
      </c>
      <c r="AA4" s="97" t="s">
        <v>371</v>
      </c>
      <c r="AB4" s="97" t="s">
        <v>372</v>
      </c>
      <c r="AC4" s="97" t="s">
        <v>373</v>
      </c>
      <c r="AD4" s="97" t="s">
        <v>374</v>
      </c>
      <c r="AE4" s="97" t="s">
        <v>375</v>
      </c>
      <c r="AF4" s="98" t="s">
        <v>376</v>
      </c>
      <c r="AG4" s="98" t="s">
        <v>377</v>
      </c>
      <c r="AH4" s="98" t="s">
        <v>378</v>
      </c>
      <c r="AI4" s="98" t="s">
        <v>379</v>
      </c>
      <c r="AJ4" s="98" t="s">
        <v>380</v>
      </c>
      <c r="AK4" s="98" t="s">
        <v>381</v>
      </c>
      <c r="AL4" s="99" t="s">
        <v>382</v>
      </c>
      <c r="AM4" s="99" t="s">
        <v>383</v>
      </c>
      <c r="AN4" s="99" t="s">
        <v>384</v>
      </c>
      <c r="AO4" s="99" t="s">
        <v>385</v>
      </c>
      <c r="AP4" s="99" t="s">
        <v>386</v>
      </c>
      <c r="AQ4" s="99" t="s">
        <v>387</v>
      </c>
      <c r="AR4" s="100" t="s">
        <v>388</v>
      </c>
      <c r="AS4" s="100" t="s">
        <v>389</v>
      </c>
      <c r="AT4" s="100" t="s">
        <v>390</v>
      </c>
      <c r="AU4" s="100" t="s">
        <v>391</v>
      </c>
      <c r="AV4" s="100" t="s">
        <v>392</v>
      </c>
      <c r="AW4" s="100" t="s">
        <v>393</v>
      </c>
      <c r="AX4" s="101" t="s">
        <v>394</v>
      </c>
      <c r="AY4" s="101" t="s">
        <v>395</v>
      </c>
      <c r="AZ4" s="101" t="s">
        <v>396</v>
      </c>
      <c r="BA4" s="101" t="s">
        <v>397</v>
      </c>
      <c r="BB4" s="101" t="s">
        <v>398</v>
      </c>
      <c r="BC4" s="101" t="s">
        <v>399</v>
      </c>
      <c r="BD4" s="102" t="s">
        <v>400</v>
      </c>
      <c r="BE4" s="102" t="s">
        <v>401</v>
      </c>
      <c r="BF4" s="102" t="s">
        <v>402</v>
      </c>
      <c r="BG4" s="102" t="s">
        <v>403</v>
      </c>
      <c r="BH4" s="102" t="s">
        <v>404</v>
      </c>
      <c r="BI4" s="102" t="s">
        <v>405</v>
      </c>
      <c r="BJ4" s="103" t="s">
        <v>406</v>
      </c>
      <c r="BK4" s="103" t="s">
        <v>407</v>
      </c>
      <c r="BL4" s="103" t="s">
        <v>408</v>
      </c>
      <c r="BM4" s="103" t="s">
        <v>409</v>
      </c>
      <c r="BN4" s="103" t="s">
        <v>410</v>
      </c>
      <c r="BO4" s="103" t="s">
        <v>411</v>
      </c>
      <c r="BP4" s="104" t="s">
        <v>412</v>
      </c>
      <c r="BQ4" s="104" t="s">
        <v>413</v>
      </c>
      <c r="BR4" s="104" t="s">
        <v>414</v>
      </c>
      <c r="BS4" s="104" t="s">
        <v>415</v>
      </c>
      <c r="BT4" s="104" t="s">
        <v>416</v>
      </c>
      <c r="BU4" s="104" t="s">
        <v>417</v>
      </c>
      <c r="BV4" s="105"/>
    </row>
    <row r="5" spans="1:74" ht="15.6">
      <c r="A5" s="81" t="s">
        <v>261</v>
      </c>
      <c r="B5" s="106">
        <f>IF(OR('Jogos - Grupos'!F3="",'Jogos - Grupos'!G3=""),"-",IF(OR('Apostas - Grupos'!B5="",'Apostas - Grupos'!C5=""),0,IF(AND('Apostas - Grupos'!B5='Jogos - Grupos'!F3,'Apostas - Grupos'!C5='Jogos - Grupos'!G3),5,IF(OR(AND('Jogos - Grupos'!F3='Jogos - Grupos'!G3,'Apostas - Grupos'!B5='Apostas - Grupos'!C5),AND('Jogos - Grupos'!F3&gt;'Jogos - Grupos'!G3,'Apostas - Grupos'!B5&gt;'Apostas - Grupos'!C5),AND('Jogos - Grupos'!F3&lt;'Jogos - Grupos'!G3,'Apostas - Grupos'!B5&lt;'Apostas - Grupos'!C5)),IF(('Apostas - Grupos'!B5-'Apostas - Grupos'!C5)=('Jogos - Grupos'!F3-'Jogos - Grupos'!G3),3,2),0))))</f>
        <v>0</v>
      </c>
      <c r="C5" s="106">
        <f>IF(OR('Jogos - Grupos'!F4="",'Jogos - Grupos'!G4=""),"-",IF(OR('Apostas - Grupos'!D5="",'Apostas - Grupos'!E5=""),0,IF(AND('Apostas - Grupos'!D5='Jogos - Grupos'!F4,'Apostas - Grupos'!E5='Jogos - Grupos'!G4),5,IF(OR(AND('Jogos - Grupos'!F4='Jogos - Grupos'!G4,'Apostas - Grupos'!D5='Apostas - Grupos'!E5),AND('Jogos - Grupos'!F4&gt;'Jogos - Grupos'!G4,'Apostas - Grupos'!D5&gt;'Apostas - Grupos'!E5),AND('Jogos - Grupos'!F4&lt;'Jogos - Grupos'!G4,'Apostas - Grupos'!D5&lt;'Apostas - Grupos'!E5)),IF(('Apostas - Grupos'!D5-'Apostas - Grupos'!E5)=('Jogos - Grupos'!F4-'Jogos - Grupos'!G4),3,2),0))))</f>
        <v>0</v>
      </c>
      <c r="D5" s="106" t="str">
        <f>IF(OR('Jogos - Grupos'!F5="",'Jogos - Grupos'!G5=""),"-",IF(OR('Apostas - Grupos'!F5="",'Apostas - Grupos'!G5=""),0,IF(AND('Apostas - Grupos'!F5='Jogos - Grupos'!F5,'Apostas - Grupos'!G5='Jogos - Grupos'!G5),5,IF(OR(AND('Jogos - Grupos'!F5='Jogos - Grupos'!G5,'Apostas - Grupos'!F5='Apostas - Grupos'!G5),AND('Jogos - Grupos'!F5&gt;'Jogos - Grupos'!G5,'Apostas - Grupos'!F5&gt;'Apostas - Grupos'!G5),AND('Jogos - Grupos'!F5&lt;'Jogos - Grupos'!G5,'Apostas - Grupos'!F5&lt;'Apostas - Grupos'!G5)),IF(('Apostas - Grupos'!F5-'Apostas - Grupos'!G5)=('Jogos - Grupos'!F5-'Jogos - Grupos'!G5),3,2),0))))</f>
        <v>-</v>
      </c>
      <c r="E5" s="106" t="str">
        <f>IF(OR('Jogos - Grupos'!F6="",'Jogos - Grupos'!G6=""),"-",IF(OR('Apostas - Grupos'!H5="",'Apostas - Grupos'!I5=""),0,IF(AND('Apostas - Grupos'!H5='Jogos - Grupos'!F6,'Apostas - Grupos'!I5='Jogos - Grupos'!G6),5,IF(OR(AND('Jogos - Grupos'!F6='Jogos - Grupos'!G6,'Apostas - Grupos'!H5='Apostas - Grupos'!I5),AND('Jogos - Grupos'!F6&gt;'Jogos - Grupos'!G6,'Apostas - Grupos'!H5&gt;'Apostas - Grupos'!I5),AND('Jogos - Grupos'!F6&lt;'Jogos - Grupos'!G6,'Apostas - Grupos'!H5&lt;'Apostas - Grupos'!I5)),IF(('Apostas - Grupos'!H5-'Apostas - Grupos'!I5)=('Jogos - Grupos'!F6-'Jogos - Grupos'!G6),3,2),0))))</f>
        <v>-</v>
      </c>
      <c r="F5" s="106" t="str">
        <f>IF(OR('Jogos - Grupos'!F7="",'Jogos - Grupos'!G7=""),"-",IF(OR('Apostas - Grupos'!J5="",'Apostas - Grupos'!K5=""),0,IF(AND('Apostas - Grupos'!J5='Jogos - Grupos'!F7,'Apostas - Grupos'!K5='Jogos - Grupos'!G7),5,IF(OR(AND('Jogos - Grupos'!F7='Jogos - Grupos'!G7,'Apostas - Grupos'!J5='Apostas - Grupos'!K5),AND('Jogos - Grupos'!F7&gt;'Jogos - Grupos'!G7,'Apostas - Grupos'!J5&gt;'Apostas - Grupos'!K5),AND('Jogos - Grupos'!F7&lt;'Jogos - Grupos'!G7,'Apostas - Grupos'!J5&lt;'Apostas - Grupos'!K5)),IF(('Apostas - Grupos'!J5-'Apostas - Grupos'!K5)=('Jogos - Grupos'!F7-'Jogos - Grupos'!G7),3,2),0))))</f>
        <v>-</v>
      </c>
      <c r="G5" s="106" t="str">
        <f>IF(OR('Jogos - Grupos'!F8="",'Jogos - Grupos'!G8=""),"-",IF(OR('Apostas - Grupos'!L5="",'Apostas - Grupos'!M5=""),0,IF(AND('Apostas - Grupos'!L5='Jogos - Grupos'!F8,'Apostas - Grupos'!M5='Jogos - Grupos'!G8),5,IF(OR(AND('Jogos - Grupos'!F8='Jogos - Grupos'!G8,'Apostas - Grupos'!L5='Apostas - Grupos'!M5),AND('Jogos - Grupos'!F8&gt;'Jogos - Grupos'!G8,'Apostas - Grupos'!L5&gt;'Apostas - Grupos'!M5),AND('Jogos - Grupos'!F8&lt;'Jogos - Grupos'!G8,'Apostas - Grupos'!L5&lt;'Apostas - Grupos'!M5)),IF(('Apostas - Grupos'!L5-'Apostas - Grupos'!M5)=('Jogos - Grupos'!F8-'Jogos - Grupos'!G8),3,2),0))))</f>
        <v>-</v>
      </c>
      <c r="H5" s="106" t="str">
        <f>IF(OR('Jogos - Grupos'!F9="",'Jogos - Grupos'!G9=""),"-",IF(OR('Apostas - Grupos'!N5="",'Apostas - Grupos'!O5=""),0,IF(AND('Apostas - Grupos'!N5='Jogos - Grupos'!F9,'Apostas - Grupos'!O5='Jogos - Grupos'!G9),5,IF(OR(AND('Jogos - Grupos'!F9='Jogos - Grupos'!G9,'Apostas - Grupos'!N5='Apostas - Grupos'!O5),AND('Jogos - Grupos'!F9&gt;'Jogos - Grupos'!G9,'Apostas - Grupos'!N5&gt;'Apostas - Grupos'!O5),AND('Jogos - Grupos'!F9&lt;'Jogos - Grupos'!G9,'Apostas - Grupos'!N5&lt;'Apostas - Grupos'!O5)),IF(('Apostas - Grupos'!N5-'Apostas - Grupos'!O5)=('Jogos - Grupos'!F9-'Jogos - Grupos'!G9),3,2),0))))</f>
        <v>-</v>
      </c>
      <c r="I5" s="106" t="str">
        <f>IF(OR('Jogos - Grupos'!F10="",'Jogos - Grupos'!G10=""),"-",IF(OR('Apostas - Grupos'!P5="",'Apostas - Grupos'!Q5=""),0,IF(AND('Apostas - Grupos'!P5='Jogos - Grupos'!F10,'Apostas - Grupos'!Q5='Jogos - Grupos'!G10),5,IF(OR(AND('Jogos - Grupos'!F10='Jogos - Grupos'!G10,'Apostas - Grupos'!P5='Apostas - Grupos'!Q5),AND('Jogos - Grupos'!F10&gt;'Jogos - Grupos'!G10,'Apostas - Grupos'!P5&gt;'Apostas - Grupos'!Q5),AND('Jogos - Grupos'!F10&lt;'Jogos - Grupos'!G10,'Apostas - Grupos'!P5&lt;'Apostas - Grupos'!Q5)),IF(('Apostas - Grupos'!P5-'Apostas - Grupos'!Q5)=('Jogos - Grupos'!F10-'Jogos - Grupos'!G10),3,2),0))))</f>
        <v>-</v>
      </c>
      <c r="J5" s="106" t="str">
        <f>IF(OR('Jogos - Grupos'!F11="",'Jogos - Grupos'!G11=""),"-",IF(OR('Apostas - Grupos'!R5="",'Apostas - Grupos'!S5=""),0,IF(AND('Apostas - Grupos'!R5='Jogos - Grupos'!F11,'Apostas - Grupos'!S5='Jogos - Grupos'!G11),5,IF(OR(AND('Jogos - Grupos'!F11='Jogos - Grupos'!G11,'Apostas - Grupos'!R5='Apostas - Grupos'!S5),AND('Jogos - Grupos'!F11&gt;'Jogos - Grupos'!G11,'Apostas - Grupos'!R5&gt;'Apostas - Grupos'!S5),AND('Jogos - Grupos'!F11&lt;'Jogos - Grupos'!G11,'Apostas - Grupos'!R5&lt;'Apostas - Grupos'!S5)),IF(('Apostas - Grupos'!R5-'Apostas - Grupos'!S5)=('Jogos - Grupos'!F11-'Jogos - Grupos'!G11),3,2),0))))</f>
        <v>-</v>
      </c>
      <c r="K5" s="106" t="str">
        <f>IF(OR('Jogos - Grupos'!F12="",'Jogos - Grupos'!G12=""),"-",IF(OR('Apostas - Grupos'!T5="",'Apostas - Grupos'!U5=""),0,IF(AND('Apostas - Grupos'!T5='Jogos - Grupos'!F12,'Apostas - Grupos'!U5='Jogos - Grupos'!G12),5,IF(OR(AND('Jogos - Grupos'!F12='Jogos - Grupos'!G12,'Apostas - Grupos'!T5='Apostas - Grupos'!U5),AND('Jogos - Grupos'!F12&gt;'Jogos - Grupos'!G12,'Apostas - Grupos'!T5&gt;'Apostas - Grupos'!U5),AND('Jogos - Grupos'!F12&lt;'Jogos - Grupos'!G12,'Apostas - Grupos'!T5&lt;'Apostas - Grupos'!U5)),IF(('Apostas - Grupos'!T5-'Apostas - Grupos'!U5)=('Jogos - Grupos'!F12-'Jogos - Grupos'!G12),3,2),0))))</f>
        <v>-</v>
      </c>
      <c r="L5" s="106" t="str">
        <f>IF(OR('Jogos - Grupos'!F13="",'Jogos - Grupos'!G13=""),"-",IF(OR('Apostas - Grupos'!V5="",'Apostas - Grupos'!W5=""),0,IF(AND('Apostas - Grupos'!V5='Jogos - Grupos'!F13,'Apostas - Grupos'!W5='Jogos - Grupos'!G13),5,IF(OR(AND('Jogos - Grupos'!F13='Jogos - Grupos'!G13,'Apostas - Grupos'!V5='Apostas - Grupos'!W5),AND('Jogos - Grupos'!F13&gt;'Jogos - Grupos'!G13,'Apostas - Grupos'!V5&gt;'Apostas - Grupos'!W5),AND('Jogos - Grupos'!F13&lt;'Jogos - Grupos'!G13,'Apostas - Grupos'!V5&lt;'Apostas - Grupos'!W5)),IF(('Apostas - Grupos'!V5-'Apostas - Grupos'!W5)=('Jogos - Grupos'!F13-'Jogos - Grupos'!G13),3,2),0))))</f>
        <v>-</v>
      </c>
      <c r="M5" s="106" t="str">
        <f>IF(OR('Jogos - Grupos'!F14="",'Jogos - Grupos'!G14=""),"-",IF(OR('Apostas - Grupos'!X5="",'Apostas - Grupos'!Y5=""),0,IF(AND('Apostas - Grupos'!X5='Jogos - Grupos'!F14,'Apostas - Grupos'!Y5='Jogos - Grupos'!G14),5,IF(OR(AND('Jogos - Grupos'!F14='Jogos - Grupos'!G14,'Apostas - Grupos'!X5='Apostas - Grupos'!Y5),AND('Jogos - Grupos'!F14&gt;'Jogos - Grupos'!G14,'Apostas - Grupos'!X5&gt;'Apostas - Grupos'!Y5),AND('Jogos - Grupos'!F14&lt;'Jogos - Grupos'!G14,'Apostas - Grupos'!X5&lt;'Apostas - Grupos'!Y5)),IF(('Apostas - Grupos'!X5-'Apostas - Grupos'!Y5)=('Jogos - Grupos'!F14-'Jogos - Grupos'!G14),3,2),0))))</f>
        <v>-</v>
      </c>
      <c r="N5" s="106" t="str">
        <f>IF(OR('Jogos - Grupos'!F15="",'Jogos - Grupos'!G15=""),"-",IF(OR('Apostas - Grupos'!Z5="",'Apostas - Grupos'!AA5=""),0,IF(AND('Apostas - Grupos'!Z5='Jogos - Grupos'!F15,'Apostas - Grupos'!AA5='Jogos - Grupos'!G15),5,IF(OR(AND('Jogos - Grupos'!F15='Jogos - Grupos'!G15,'Apostas - Grupos'!Z5='Apostas - Grupos'!AA5),AND('Jogos - Grupos'!F15&gt;'Jogos - Grupos'!G15,'Apostas - Grupos'!Z5&gt;'Apostas - Grupos'!AA5),AND('Jogos - Grupos'!F15&lt;'Jogos - Grupos'!G15,'Apostas - Grupos'!Z5&lt;'Apostas - Grupos'!AA5)),IF(('Apostas - Grupos'!Z5-'Apostas - Grupos'!AA5)=('Jogos - Grupos'!F15-'Jogos - Grupos'!G15),3,2),0))))</f>
        <v>-</v>
      </c>
      <c r="O5" s="106" t="str">
        <f>IF(OR('Jogos - Grupos'!F16="",'Jogos - Grupos'!G16=""),"-",IF(OR('Apostas - Grupos'!AB5="",'Apostas - Grupos'!AC5=""),0,IF(AND('Apostas - Grupos'!AB5='Jogos - Grupos'!F16,'Apostas - Grupos'!AC5='Jogos - Grupos'!G16),5,IF(OR(AND('Jogos - Grupos'!F16='Jogos - Grupos'!G16,'Apostas - Grupos'!AB5='Apostas - Grupos'!AC5),AND('Jogos - Grupos'!F16&gt;'Jogos - Grupos'!G16,'Apostas - Grupos'!AB5&gt;'Apostas - Grupos'!AC5),AND('Jogos - Grupos'!F16&lt;'Jogos - Grupos'!G16,'Apostas - Grupos'!AB5&lt;'Apostas - Grupos'!AC5)),IF(('Apostas - Grupos'!AB5-'Apostas - Grupos'!AC5)=('Jogos - Grupos'!F16-'Jogos - Grupos'!G16),3,2),0))))</f>
        <v>-</v>
      </c>
      <c r="P5" s="106" t="str">
        <f>IF(OR('Jogos - Grupos'!F17="",'Jogos - Grupos'!G17=""),"-",IF(OR('Apostas - Grupos'!AD5="",'Apostas - Grupos'!AE5=""),0,IF(AND('Apostas - Grupos'!AD5='Jogos - Grupos'!F17,'Apostas - Grupos'!AE5='Jogos - Grupos'!G17),5,IF(OR(AND('Jogos - Grupos'!F17='Jogos - Grupos'!G17,'Apostas - Grupos'!AD5='Apostas - Grupos'!AE5),AND('Jogos - Grupos'!F17&gt;'Jogos - Grupos'!G17,'Apostas - Grupos'!AD5&gt;'Apostas - Grupos'!AE5),AND('Jogos - Grupos'!F17&lt;'Jogos - Grupos'!G17,'Apostas - Grupos'!AD5&lt;'Apostas - Grupos'!AE5)),IF(('Apostas - Grupos'!AD5-'Apostas - Grupos'!AE5)=('Jogos - Grupos'!F17-'Jogos - Grupos'!G17),3,2),0))))</f>
        <v>-</v>
      </c>
      <c r="Q5" s="106" t="str">
        <f>IF(OR('Jogos - Grupos'!F18="",'Jogos - Grupos'!G18=""),"-",IF(OR('Apostas - Grupos'!AF5="",'Apostas - Grupos'!AG5=""),0,IF(AND('Apostas - Grupos'!AF5='Jogos - Grupos'!F18,'Apostas - Grupos'!AG5='Jogos - Grupos'!G18),5,IF(OR(AND('Jogos - Grupos'!F18='Jogos - Grupos'!G18,'Apostas - Grupos'!AF5='Apostas - Grupos'!AG5),AND('Jogos - Grupos'!F18&gt;'Jogos - Grupos'!G18,'Apostas - Grupos'!AF5&gt;'Apostas - Grupos'!AG5),AND('Jogos - Grupos'!F18&lt;'Jogos - Grupos'!G18,'Apostas - Grupos'!AF5&lt;'Apostas - Grupos'!AG5)),IF(('Apostas - Grupos'!AF5-'Apostas - Grupos'!AG5)=('Jogos - Grupos'!F18-'Jogos - Grupos'!G18),3,2),0))))</f>
        <v>-</v>
      </c>
      <c r="R5" s="106" t="str">
        <f>IF(OR('Jogos - Grupos'!F19="",'Jogos - Grupos'!G19=""),"-",IF(OR('Apostas - Grupos'!AH5="",'Apostas - Grupos'!AI5=""),0,IF(AND('Apostas - Grupos'!AH5='Jogos - Grupos'!F19,'Apostas - Grupos'!AI5='Jogos - Grupos'!G19),5,IF(OR(AND('Jogos - Grupos'!F19='Jogos - Grupos'!G19,'Apostas - Grupos'!AH5='Apostas - Grupos'!AI5),AND('Jogos - Grupos'!F19&gt;'Jogos - Grupos'!G19,'Apostas - Grupos'!AH5&gt;'Apostas - Grupos'!AI5),AND('Jogos - Grupos'!F19&lt;'Jogos - Grupos'!G19,'Apostas - Grupos'!AH5&lt;'Apostas - Grupos'!AI5)),IF(('Apostas - Grupos'!AH5-'Apostas - Grupos'!AI5)=('Jogos - Grupos'!F19-'Jogos - Grupos'!G19),3,2),0))))</f>
        <v>-</v>
      </c>
      <c r="S5" s="106" t="str">
        <f>IF(OR('Jogos - Grupos'!F20="",'Jogos - Grupos'!G20=""),"-",IF(OR('Apostas - Grupos'!AJ5="",'Apostas - Grupos'!AK5=""),0,IF(AND('Apostas - Grupos'!AJ5='Jogos - Grupos'!F20,'Apostas - Grupos'!AK5='Jogos - Grupos'!G20),5,IF(OR(AND('Jogos - Grupos'!F20='Jogos - Grupos'!G20,'Apostas - Grupos'!AJ5='Apostas - Grupos'!AK5),AND('Jogos - Grupos'!F20&gt;'Jogos - Grupos'!G20,'Apostas - Grupos'!AJ5&gt;'Apostas - Grupos'!AK5),AND('Jogos - Grupos'!F20&lt;'Jogos - Grupos'!G20,'Apostas - Grupos'!AJ5&lt;'Apostas - Grupos'!AK5)),IF(('Apostas - Grupos'!AJ5-'Apostas - Grupos'!AK5)=('Jogos - Grupos'!F20-'Jogos - Grupos'!G20),3,2),0))))</f>
        <v>-</v>
      </c>
      <c r="T5" s="106" t="str">
        <f>IF(OR('Jogos - Grupos'!F21="",'Jogos - Grupos'!G21=""),"-",IF(OR('Apostas - Grupos'!AL5="",'Apostas - Grupos'!AM5=""),0,IF(AND('Apostas - Grupos'!AL5='Jogos - Grupos'!F21,'Apostas - Grupos'!AM5='Jogos - Grupos'!G21),5,IF(OR(AND('Jogos - Grupos'!F21='Jogos - Grupos'!G21,'Apostas - Grupos'!AL5='Apostas - Grupos'!AM5),AND('Jogos - Grupos'!F21&gt;'Jogos - Grupos'!G21,'Apostas - Grupos'!AL5&gt;'Apostas - Grupos'!AM5),AND('Jogos - Grupos'!F21&lt;'Jogos - Grupos'!G21,'Apostas - Grupos'!AL5&lt;'Apostas - Grupos'!AM5)),IF(('Apostas - Grupos'!AL5-'Apostas - Grupos'!AM5)=('Jogos - Grupos'!F21-'Jogos - Grupos'!G21),3,2),0))))</f>
        <v>-</v>
      </c>
      <c r="U5" s="106" t="str">
        <f>IF(OR('Jogos - Grupos'!F22="",'Jogos - Grupos'!G22=""),"-",IF(OR('Apostas - Grupos'!AN5="",'Apostas - Grupos'!AO5=""),0,IF(AND('Apostas - Grupos'!AN5='Jogos - Grupos'!F22,'Apostas - Grupos'!AO5='Jogos - Grupos'!G22),5,IF(OR(AND('Jogos - Grupos'!F22='Jogos - Grupos'!G22,'Apostas - Grupos'!AN5='Apostas - Grupos'!AO5),AND('Jogos - Grupos'!F22&gt;'Jogos - Grupos'!G22,'Apostas - Grupos'!AN5&gt;'Apostas - Grupos'!AO5),AND('Jogos - Grupos'!F22&lt;'Jogos - Grupos'!G22,'Apostas - Grupos'!AN5&lt;'Apostas - Grupos'!AO5)),IF(('Apostas - Grupos'!AN5-'Apostas - Grupos'!AO5)=('Jogos - Grupos'!F22-'Jogos - Grupos'!G22),3,2),0))))</f>
        <v>-</v>
      </c>
      <c r="V5" s="106" t="str">
        <f>IF(OR('Jogos - Grupos'!F23="",'Jogos - Grupos'!G23=""),"-",IF(OR('Apostas - Grupos'!AP5="",'Apostas - Grupos'!AQ5=""),0,IF(AND('Apostas - Grupos'!AP5='Jogos - Grupos'!F23,'Apostas - Grupos'!AQ5='Jogos - Grupos'!G23),5,IF(OR(AND('Jogos - Grupos'!F23='Jogos - Grupos'!G23,'Apostas - Grupos'!AP5='Apostas - Grupos'!AQ5),AND('Jogos - Grupos'!F23&gt;'Jogos - Grupos'!G23,'Apostas - Grupos'!AP5&gt;'Apostas - Grupos'!AQ5),AND('Jogos - Grupos'!F23&lt;'Jogos - Grupos'!G23,'Apostas - Grupos'!AP5&lt;'Apostas - Grupos'!AQ5)),IF(('Apostas - Grupos'!AP5-'Apostas - Grupos'!AQ5)=('Jogos - Grupos'!F23-'Jogos - Grupos'!G23),3,2),0))))</f>
        <v>-</v>
      </c>
      <c r="W5" s="106" t="str">
        <f>IF(OR('Jogos - Grupos'!F24="",'Jogos - Grupos'!G24=""),"-",IF(OR('Apostas - Grupos'!AR5="",'Apostas - Grupos'!AS5=""),0,IF(AND('Apostas - Grupos'!AR5='Jogos - Grupos'!F24,'Apostas - Grupos'!AS5='Jogos - Grupos'!G24),5,IF(OR(AND('Jogos - Grupos'!F24='Jogos - Grupos'!G24,'Apostas - Grupos'!AR5='Apostas - Grupos'!AS5),AND('Jogos - Grupos'!F24&gt;'Jogos - Grupos'!G24,'Apostas - Grupos'!AR5&gt;'Apostas - Grupos'!AS5),AND('Jogos - Grupos'!F24&lt;'Jogos - Grupos'!G24,'Apostas - Grupos'!AR5&lt;'Apostas - Grupos'!AS5)),IF(('Apostas - Grupos'!AR5-'Apostas - Grupos'!AS5)=('Jogos - Grupos'!F24-'Jogos - Grupos'!G24),3,2),0))))</f>
        <v>-</v>
      </c>
      <c r="X5" s="106" t="str">
        <f>IF(OR('Jogos - Grupos'!F25="",'Jogos - Grupos'!G25=""),"-",IF(OR('Apostas - Grupos'!AT5="",'Apostas - Grupos'!AU5=""),0,IF(AND('Apostas - Grupos'!AT5='Jogos - Grupos'!F25,'Apostas - Grupos'!AU5='Jogos - Grupos'!G25),5,IF(OR(AND('Jogos - Grupos'!F25='Jogos - Grupos'!G25,'Apostas - Grupos'!AT5='Apostas - Grupos'!AU5),AND('Jogos - Grupos'!F25&gt;'Jogos - Grupos'!G25,'Apostas - Grupos'!AT5&gt;'Apostas - Grupos'!AU5),AND('Jogos - Grupos'!F25&lt;'Jogos - Grupos'!G25,'Apostas - Grupos'!AT5&lt;'Apostas - Grupos'!AU5)),IF(('Apostas - Grupos'!AT5-'Apostas - Grupos'!AU5)=('Jogos - Grupos'!F25-'Jogos - Grupos'!G25),3,2),0))))</f>
        <v>-</v>
      </c>
      <c r="Y5" s="106" t="str">
        <f>IF(OR('Jogos - Grupos'!F26="",'Jogos - Grupos'!G26=""),"-",IF(OR('Apostas - Grupos'!AV5="",'Apostas - Grupos'!AW5=""),0,IF(AND('Apostas - Grupos'!AV5='Jogos - Grupos'!F26,'Apostas - Grupos'!AW5='Jogos - Grupos'!G26),5,IF(OR(AND('Jogos - Grupos'!F26='Jogos - Grupos'!G26,'Apostas - Grupos'!AV5='Apostas - Grupos'!AW5),AND('Jogos - Grupos'!F26&gt;'Jogos - Grupos'!G26,'Apostas - Grupos'!AV5&gt;'Apostas - Grupos'!AW5),AND('Jogos - Grupos'!F26&lt;'Jogos - Grupos'!G26,'Apostas - Grupos'!AV5&lt;'Apostas - Grupos'!AW5)),IF(('Apostas - Grupos'!AV5-'Apostas - Grupos'!AW5)=('Jogos - Grupos'!F26-'Jogos - Grupos'!G26),3,2),0))))</f>
        <v>-</v>
      </c>
      <c r="Z5" s="106" t="str">
        <f>IF(OR('Jogos - Grupos'!F27="",'Jogos - Grupos'!G27=""),"-",IF(OR('Apostas - Grupos'!AX5="",'Apostas - Grupos'!AY5=""),0,IF(AND('Apostas - Grupos'!AX5='Jogos - Grupos'!F27,'Apostas - Grupos'!AY5='Jogos - Grupos'!G27),5,IF(OR(AND('Jogos - Grupos'!F27='Jogos - Grupos'!G27,'Apostas - Grupos'!AX5='Apostas - Grupos'!AY5),AND('Jogos - Grupos'!F27&gt;'Jogos - Grupos'!G27,'Apostas - Grupos'!AX5&gt;'Apostas - Grupos'!AY5),AND('Jogos - Grupos'!F27&lt;'Jogos - Grupos'!G27,'Apostas - Grupos'!AX5&lt;'Apostas - Grupos'!AY5)),IF(('Apostas - Grupos'!AX5-'Apostas - Grupos'!AY5)=('Jogos - Grupos'!F27-'Jogos - Grupos'!G27),3,2),0))))</f>
        <v>-</v>
      </c>
      <c r="AA5" s="106" t="str">
        <f>IF(OR('Jogos - Grupos'!F28="",'Jogos - Grupos'!G28=""),"-",IF(OR('Apostas - Grupos'!AZ5="",'Apostas - Grupos'!BA5=""),0,IF(AND('Apostas - Grupos'!AZ5='Jogos - Grupos'!F28,'Apostas - Grupos'!BA5='Jogos - Grupos'!G28),5,IF(OR(AND('Jogos - Grupos'!F28='Jogos - Grupos'!G28,'Apostas - Grupos'!AZ5='Apostas - Grupos'!BA5),AND('Jogos - Grupos'!F28&gt;'Jogos - Grupos'!G28,'Apostas - Grupos'!AZ5&gt;'Apostas - Grupos'!BA5),AND('Jogos - Grupos'!F28&lt;'Jogos - Grupos'!G28,'Apostas - Grupos'!AZ5&lt;'Apostas - Grupos'!BA5)),IF(('Apostas - Grupos'!AZ5-'Apostas - Grupos'!BA5)=('Jogos - Grupos'!F28-'Jogos - Grupos'!G28),3,2),0))))</f>
        <v>-</v>
      </c>
      <c r="AB5" s="106" t="str">
        <f>IF(OR('Jogos - Grupos'!F29="",'Jogos - Grupos'!G29=""),"-",IF(OR('Apostas - Grupos'!BB5="",'Apostas - Grupos'!BC5=""),0,IF(AND('Apostas - Grupos'!BB5='Jogos - Grupos'!F29,'Apostas - Grupos'!BC5='Jogos - Grupos'!G29),5,IF(OR(AND('Jogos - Grupos'!F29='Jogos - Grupos'!G29,'Apostas - Grupos'!BB5='Apostas - Grupos'!BC5),AND('Jogos - Grupos'!F29&gt;'Jogos - Grupos'!G29,'Apostas - Grupos'!BB5&gt;'Apostas - Grupos'!BC5),AND('Jogos - Grupos'!F29&lt;'Jogos - Grupos'!G29,'Apostas - Grupos'!BB5&lt;'Apostas - Grupos'!BC5)),IF(('Apostas - Grupos'!BB5-'Apostas - Grupos'!BC5)=('Jogos - Grupos'!F29-'Jogos - Grupos'!G29),3,2),0))))</f>
        <v>-</v>
      </c>
      <c r="AC5" s="106" t="str">
        <f>IF(OR('Jogos - Grupos'!F30="",'Jogos - Grupos'!G30=""),"-",IF(OR('Apostas - Grupos'!BD5="",'Apostas - Grupos'!BE5=""),0,IF(AND('Apostas - Grupos'!BD5='Jogos - Grupos'!F30,'Apostas - Grupos'!BE5='Jogos - Grupos'!G30),5,IF(OR(AND('Jogos - Grupos'!F30='Jogos - Grupos'!G30,'Apostas - Grupos'!BD5='Apostas - Grupos'!BE5),AND('Jogos - Grupos'!F30&gt;'Jogos - Grupos'!G30,'Apostas - Grupos'!BD5&gt;'Apostas - Grupos'!BE5),AND('Jogos - Grupos'!F30&lt;'Jogos - Grupos'!G30,'Apostas - Grupos'!BD5&lt;'Apostas - Grupos'!BE5)),IF(('Apostas - Grupos'!BD5-'Apostas - Grupos'!BE5)=('Jogos - Grupos'!F30-'Jogos - Grupos'!G30),3,2),0))))</f>
        <v>-</v>
      </c>
      <c r="AD5" s="106" t="str">
        <f>IF(OR('Jogos - Grupos'!F31="",'Jogos - Grupos'!G31=""),"-",IF(OR('Apostas - Grupos'!BF5="",'Apostas - Grupos'!BG5=""),0,IF(AND('Apostas - Grupos'!BF5='Jogos - Grupos'!F31,'Apostas - Grupos'!BG5='Jogos - Grupos'!G31),5,IF(OR(AND('Jogos - Grupos'!F31='Jogos - Grupos'!G31,'Apostas - Grupos'!BF5='Apostas - Grupos'!BG5),AND('Jogos - Grupos'!F31&gt;'Jogos - Grupos'!G31,'Apostas - Grupos'!BF5&gt;'Apostas - Grupos'!BG5),AND('Jogos - Grupos'!F31&lt;'Jogos - Grupos'!G31,'Apostas - Grupos'!BF5&lt;'Apostas - Grupos'!BG5)),IF(('Apostas - Grupos'!BF5-'Apostas - Grupos'!BG5)=('Jogos - Grupos'!F31-'Jogos - Grupos'!G31),3,2),0))))</f>
        <v>-</v>
      </c>
      <c r="AE5" s="106" t="str">
        <f>IF(OR('Jogos - Grupos'!F32="",'Jogos - Grupos'!G32=""),"-",IF(OR('Apostas - Grupos'!BH5="",'Apostas - Grupos'!BI5=""),0,IF(AND('Apostas - Grupos'!BH5='Jogos - Grupos'!F32,'Apostas - Grupos'!BI5='Jogos - Grupos'!G32),5,IF(OR(AND('Jogos - Grupos'!F32='Jogos - Grupos'!G32,'Apostas - Grupos'!BH5='Apostas - Grupos'!BI5),AND('Jogos - Grupos'!F32&gt;'Jogos - Grupos'!G32,'Apostas - Grupos'!BH5&gt;'Apostas - Grupos'!BI5),AND('Jogos - Grupos'!F32&lt;'Jogos - Grupos'!G32,'Apostas - Grupos'!BH5&lt;'Apostas - Grupos'!BI5)),IF(('Apostas - Grupos'!BH5-'Apostas - Grupos'!BI5)=('Jogos - Grupos'!F32-'Jogos - Grupos'!G32),3,2),0))))</f>
        <v>-</v>
      </c>
      <c r="AF5" s="106" t="str">
        <f>IF(OR('Jogos - Grupos'!F33="",'Jogos - Grupos'!G33=""),"-",IF(OR('Apostas - Grupos'!BJ5="",'Apostas - Grupos'!BK5=""),0,IF(AND('Apostas - Grupos'!BJ5='Jogos - Grupos'!F33,'Apostas - Grupos'!BK5='Jogos - Grupos'!G33),5,IF(OR(AND('Jogos - Grupos'!F33='Jogos - Grupos'!G33,'Apostas - Grupos'!BJ5='Apostas - Grupos'!BK5),AND('Jogos - Grupos'!F33&gt;'Jogos - Grupos'!G33,'Apostas - Grupos'!BJ5&gt;'Apostas - Grupos'!BK5),AND('Jogos - Grupos'!F33&lt;'Jogos - Grupos'!G33,'Apostas - Grupos'!BJ5&lt;'Apostas - Grupos'!BK5)),IF(('Apostas - Grupos'!BJ5-'Apostas - Grupos'!BK5)=('Jogos - Grupos'!F33-'Jogos - Grupos'!G33),3,2),0))))</f>
        <v>-</v>
      </c>
      <c r="AG5" s="106" t="str">
        <f>IF(OR('Jogos - Grupos'!F34="",'Jogos - Grupos'!G34=""),"-",IF(OR('Apostas - Grupos'!BL5="",'Apostas - Grupos'!BM5=""),0,IF(AND('Apostas - Grupos'!BL5='Jogos - Grupos'!F34,'Apostas - Grupos'!BM5='Jogos - Grupos'!G34),5,IF(OR(AND('Jogos - Grupos'!F34='Jogos - Grupos'!G34,'Apostas - Grupos'!BL5='Apostas - Grupos'!BM5),AND('Jogos - Grupos'!F34&gt;'Jogos - Grupos'!G34,'Apostas - Grupos'!BL5&gt;'Apostas - Grupos'!BM5),AND('Jogos - Grupos'!F34&lt;'Jogos - Grupos'!G34,'Apostas - Grupos'!BL5&lt;'Apostas - Grupos'!BM5)),IF(('Apostas - Grupos'!BL5-'Apostas - Grupos'!BM5)=('Jogos - Grupos'!F34-'Jogos - Grupos'!G34),3,2),0))))</f>
        <v>-</v>
      </c>
      <c r="AH5" s="106" t="str">
        <f>IF(OR('Jogos - Grupos'!F35="",'Jogos - Grupos'!G35=""),"-",IF(OR('Apostas - Grupos'!BN5="",'Apostas - Grupos'!BO5=""),0,IF(AND('Apostas - Grupos'!BN5='Jogos - Grupos'!F35,'Apostas - Grupos'!BO5='Jogos - Grupos'!G35),5,IF(OR(AND('Jogos - Grupos'!F35='Jogos - Grupos'!G35,'Apostas - Grupos'!BN5='Apostas - Grupos'!BO5),AND('Jogos - Grupos'!F35&gt;'Jogos - Grupos'!G35,'Apostas - Grupos'!BN5&gt;'Apostas - Grupos'!BO5),AND('Jogos - Grupos'!F35&lt;'Jogos - Grupos'!G35,'Apostas - Grupos'!BN5&lt;'Apostas - Grupos'!BO5)),IF(('Apostas - Grupos'!BN5-'Apostas - Grupos'!BO5)=('Jogos - Grupos'!F35-'Jogos - Grupos'!G35),3,2),0))))</f>
        <v>-</v>
      </c>
      <c r="AI5" s="106" t="str">
        <f>IF(OR('Jogos - Grupos'!F36="",'Jogos - Grupos'!G36=""),"-",IF(OR('Apostas - Grupos'!BP5="",'Apostas - Grupos'!BQ5=""),0,IF(AND('Apostas - Grupos'!BP5='Jogos - Grupos'!F36,'Apostas - Grupos'!BQ5='Jogos - Grupos'!G36),5,IF(OR(AND('Jogos - Grupos'!F36='Jogos - Grupos'!G36,'Apostas - Grupos'!BP5='Apostas - Grupos'!BQ5),AND('Jogos - Grupos'!F36&gt;'Jogos - Grupos'!G36,'Apostas - Grupos'!BP5&gt;'Apostas - Grupos'!BQ5),AND('Jogos - Grupos'!F36&lt;'Jogos - Grupos'!G36,'Apostas - Grupos'!BP5&lt;'Apostas - Grupos'!BQ5)),IF(('Apostas - Grupos'!BP5-'Apostas - Grupos'!BQ5)=('Jogos - Grupos'!F36-'Jogos - Grupos'!G36),3,2),0))))</f>
        <v>-</v>
      </c>
      <c r="AJ5" s="106" t="str">
        <f>IF(OR('Jogos - Grupos'!F37="",'Jogos - Grupos'!G37=""),"-",IF(OR('Apostas - Grupos'!BR5="",'Apostas - Grupos'!BS5=""),0,IF(AND('Apostas - Grupos'!BR5='Jogos - Grupos'!F37,'Apostas - Grupos'!BS5='Jogos - Grupos'!G37),5,IF(OR(AND('Jogos - Grupos'!F37='Jogos - Grupos'!G37,'Apostas - Grupos'!BR5='Apostas - Grupos'!BS5),AND('Jogos - Grupos'!F37&gt;'Jogos - Grupos'!G37,'Apostas - Grupos'!BR5&gt;'Apostas - Grupos'!BS5),AND('Jogos - Grupos'!F37&lt;'Jogos - Grupos'!G37,'Apostas - Grupos'!BR5&lt;'Apostas - Grupos'!BS5)),IF(('Apostas - Grupos'!BR5-'Apostas - Grupos'!BS5)=('Jogos - Grupos'!F37-'Jogos - Grupos'!G37),3,2),0))))</f>
        <v>-</v>
      </c>
      <c r="AK5" s="106" t="str">
        <f>IF(OR('Jogos - Grupos'!F38="",'Jogos - Grupos'!G38=""),"-",IF(OR('Apostas - Grupos'!BT5="",'Apostas - Grupos'!BU5=""),0,IF(AND('Apostas - Grupos'!BT5='Jogos - Grupos'!F38,'Apostas - Grupos'!BU5='Jogos - Grupos'!G38),5,IF(OR(AND('Jogos - Grupos'!F38='Jogos - Grupos'!G38,'Apostas - Grupos'!BT5='Apostas - Grupos'!BU5),AND('Jogos - Grupos'!F38&gt;'Jogos - Grupos'!G38,'Apostas - Grupos'!BT5&gt;'Apostas - Grupos'!BU5),AND('Jogos - Grupos'!F38&lt;'Jogos - Grupos'!G38,'Apostas - Grupos'!BT5&lt;'Apostas - Grupos'!BU5)),IF(('Apostas - Grupos'!BT5-'Apostas - Grupos'!BU5)=('Jogos - Grupos'!F38-'Jogos - Grupos'!G38),3,2),0))))</f>
        <v>-</v>
      </c>
      <c r="AL5" s="106" t="str">
        <f>IF(OR('Jogos - Grupos'!F39="",'Jogos - Grupos'!G39=""),"-",IF(OR('Apostas - Grupos'!BV5="",'Apostas - Grupos'!BW5=""),0,IF(AND('Apostas - Grupos'!BV5='Jogos - Grupos'!F39,'Apostas - Grupos'!BW5='Jogos - Grupos'!G39),5,IF(OR(AND('Jogos - Grupos'!F39='Jogos - Grupos'!G39,'Apostas - Grupos'!BV5='Apostas - Grupos'!BW5),AND('Jogos - Grupos'!F39&gt;'Jogos - Grupos'!G39,'Apostas - Grupos'!BV5&gt;'Apostas - Grupos'!BW5),AND('Jogos - Grupos'!F39&lt;'Jogos - Grupos'!G39,'Apostas - Grupos'!BV5&lt;'Apostas - Grupos'!BW5)),IF(('Apostas - Grupos'!BV5-'Apostas - Grupos'!BW5)=('Jogos - Grupos'!F39-'Jogos - Grupos'!G39),3,2),0))))</f>
        <v>-</v>
      </c>
      <c r="AM5" s="106" t="str">
        <f>IF(OR('Jogos - Grupos'!F40="",'Jogos - Grupos'!G40=""),"-",IF(OR('Apostas - Grupos'!BX5="",'Apostas - Grupos'!BY5=""),0,IF(AND('Apostas - Grupos'!BX5='Jogos - Grupos'!F40,'Apostas - Grupos'!BY5='Jogos - Grupos'!G40),5,IF(OR(AND('Jogos - Grupos'!F40='Jogos - Grupos'!G40,'Apostas - Grupos'!BX5='Apostas - Grupos'!BY5),AND('Jogos - Grupos'!F40&gt;'Jogos - Grupos'!G40,'Apostas - Grupos'!BX5&gt;'Apostas - Grupos'!BY5),AND('Jogos - Grupos'!F40&lt;'Jogos - Grupos'!G40,'Apostas - Grupos'!BX5&lt;'Apostas - Grupos'!BY5)),IF(('Apostas - Grupos'!BX5-'Apostas - Grupos'!BY5)=('Jogos - Grupos'!F40-'Jogos - Grupos'!G40),3,2),0))))</f>
        <v>-</v>
      </c>
      <c r="AN5" s="106" t="str">
        <f>IF(OR('Jogos - Grupos'!F41="",'Jogos - Grupos'!G41=""),"-",IF(OR('Apostas - Grupos'!BZ5="",'Apostas - Grupos'!CA5=""),0,IF(AND('Apostas - Grupos'!BZ5='Jogos - Grupos'!F41,'Apostas - Grupos'!CA5='Jogos - Grupos'!G41),5,IF(OR(AND('Jogos - Grupos'!F41='Jogos - Grupos'!G41,'Apostas - Grupos'!BZ5='Apostas - Grupos'!CA5),AND('Jogos - Grupos'!F41&gt;'Jogos - Grupos'!G41,'Apostas - Grupos'!BZ5&gt;'Apostas - Grupos'!CA5),AND('Jogos - Grupos'!F41&lt;'Jogos - Grupos'!G41,'Apostas - Grupos'!BZ5&lt;'Apostas - Grupos'!CA5)),IF(('Apostas - Grupos'!BZ5-'Apostas - Grupos'!CA5)=('Jogos - Grupos'!F41-'Jogos - Grupos'!G41),3,2),0))))</f>
        <v>-</v>
      </c>
      <c r="AO5" s="106" t="str">
        <f>IF(OR('Jogos - Grupos'!F42="",'Jogos - Grupos'!G42=""),"-",IF(OR('Apostas - Grupos'!CB5="",'Apostas - Grupos'!CC5=""),0,IF(AND('Apostas - Grupos'!CB5='Jogos - Grupos'!F42,'Apostas - Grupos'!CC5='Jogos - Grupos'!G42),5,IF(OR(AND('Jogos - Grupos'!F42='Jogos - Grupos'!G42,'Apostas - Grupos'!CB5='Apostas - Grupos'!CC5),AND('Jogos - Grupos'!F42&gt;'Jogos - Grupos'!G42,'Apostas - Grupos'!CB5&gt;'Apostas - Grupos'!CC5),AND('Jogos - Grupos'!F42&lt;'Jogos - Grupos'!G42,'Apostas - Grupos'!CB5&lt;'Apostas - Grupos'!CC5)),IF(('Apostas - Grupos'!CB5-'Apostas - Grupos'!CC5)=('Jogos - Grupos'!F42-'Jogos - Grupos'!G42),3,2),0))))</f>
        <v>-</v>
      </c>
      <c r="AP5" s="106" t="str">
        <f>IF(OR('Jogos - Grupos'!F43="",'Jogos - Grupos'!G43=""),"-",IF(OR('Apostas - Grupos'!CD5="",'Apostas - Grupos'!CE5=""),0,IF(AND('Apostas - Grupos'!CD5='Jogos - Grupos'!F43,'Apostas - Grupos'!CE5='Jogos - Grupos'!G43),5,IF(OR(AND('Jogos - Grupos'!F43='Jogos - Grupos'!G43,'Apostas - Grupos'!CD5='Apostas - Grupos'!CE5),AND('Jogos - Grupos'!F43&gt;'Jogos - Grupos'!G43,'Apostas - Grupos'!CD5&gt;'Apostas - Grupos'!CE5),AND('Jogos - Grupos'!F43&lt;'Jogos - Grupos'!G43,'Apostas - Grupos'!CD5&lt;'Apostas - Grupos'!CE5)),IF(('Apostas - Grupos'!CD5-'Apostas - Grupos'!CE5)=('Jogos - Grupos'!F43-'Jogos - Grupos'!G43),3,2),0))))</f>
        <v>-</v>
      </c>
      <c r="AQ5" s="106" t="str">
        <f>IF(OR('Jogos - Grupos'!F44="",'Jogos - Grupos'!G44=""),"-",IF(OR('Apostas - Grupos'!CF5="",'Apostas - Grupos'!CG5=""),0,IF(AND('Apostas - Grupos'!CF5='Jogos - Grupos'!F44,'Apostas - Grupos'!CG5='Jogos - Grupos'!G44),5,IF(OR(AND('Jogos - Grupos'!F44='Jogos - Grupos'!G44,'Apostas - Grupos'!CF5='Apostas - Grupos'!CG5),AND('Jogos - Grupos'!F44&gt;'Jogos - Grupos'!G44,'Apostas - Grupos'!CF5&gt;'Apostas - Grupos'!CG5),AND('Jogos - Grupos'!F44&lt;'Jogos - Grupos'!G44,'Apostas - Grupos'!CF5&lt;'Apostas - Grupos'!CG5)),IF(('Apostas - Grupos'!CF5-'Apostas - Grupos'!CG5)=('Jogos - Grupos'!F44-'Jogos - Grupos'!G44),3,2),0))))</f>
        <v>-</v>
      </c>
      <c r="AR5" s="106" t="str">
        <f>IF(OR('Jogos - Grupos'!F45="",'Jogos - Grupos'!G45=""),"-",IF(OR('Apostas - Grupos'!CH5="",'Apostas - Grupos'!CI5=""),0,IF(AND('Apostas - Grupos'!CH5='Jogos - Grupos'!F45,'Apostas - Grupos'!CI5='Jogos - Grupos'!G45),5,IF(OR(AND('Jogos - Grupos'!F45='Jogos - Grupos'!G45,'Apostas - Grupos'!CH5='Apostas - Grupos'!CI5),AND('Jogos - Grupos'!F45&gt;'Jogos - Grupos'!G45,'Apostas - Grupos'!CH5&gt;'Apostas - Grupos'!CI5),AND('Jogos - Grupos'!F45&lt;'Jogos - Grupos'!G45,'Apostas - Grupos'!CH5&lt;'Apostas - Grupos'!CI5)),IF(('Apostas - Grupos'!CH5-'Apostas - Grupos'!CI5)=('Jogos - Grupos'!F45-'Jogos - Grupos'!G45),3,2),0))))</f>
        <v>-</v>
      </c>
      <c r="AS5" s="106" t="str">
        <f>IF(OR('Jogos - Grupos'!F46="",'Jogos - Grupos'!G46=""),"-",IF(OR('Apostas - Grupos'!CJ5="",'Apostas - Grupos'!CK5=""),0,IF(AND('Apostas - Grupos'!CJ5='Jogos - Grupos'!F46,'Apostas - Grupos'!CK5='Jogos - Grupos'!G46),5,IF(OR(AND('Jogos - Grupos'!F46='Jogos - Grupos'!G46,'Apostas - Grupos'!CJ5='Apostas - Grupos'!CK5),AND('Jogos - Grupos'!F46&gt;'Jogos - Grupos'!G46,'Apostas - Grupos'!CJ5&gt;'Apostas - Grupos'!CK5),AND('Jogos - Grupos'!F46&lt;'Jogos - Grupos'!G46,'Apostas - Grupos'!CJ5&lt;'Apostas - Grupos'!CK5)),IF(('Apostas - Grupos'!CJ5-'Apostas - Grupos'!CK5)=('Jogos - Grupos'!F46-'Jogos - Grupos'!G46),3,2),0))))</f>
        <v>-</v>
      </c>
      <c r="AT5" s="106" t="str">
        <f>IF(OR('Jogos - Grupos'!F47="",'Jogos - Grupos'!G47=""),"-",IF(OR('Apostas - Grupos'!CL5="",'Apostas - Grupos'!CM5=""),0,IF(AND('Apostas - Grupos'!CL5='Jogos - Grupos'!F47,'Apostas - Grupos'!CM5='Jogos - Grupos'!G47),5,IF(OR(AND('Jogos - Grupos'!F47='Jogos - Grupos'!G47,'Apostas - Grupos'!CL5='Apostas - Grupos'!CM5),AND('Jogos - Grupos'!F47&gt;'Jogos - Grupos'!G47,'Apostas - Grupos'!CL5&gt;'Apostas - Grupos'!CM5),AND('Jogos - Grupos'!F47&lt;'Jogos - Grupos'!G47,'Apostas - Grupos'!CL5&lt;'Apostas - Grupos'!CM5)),IF(('Apostas - Grupos'!CL5-'Apostas - Grupos'!CM5)=('Jogos - Grupos'!F47-'Jogos - Grupos'!G47),3,2),0))))</f>
        <v>-</v>
      </c>
      <c r="AU5" s="106" t="str">
        <f>IF(OR('Jogos - Grupos'!F48="",'Jogos - Grupos'!G48=""),"-",IF(OR('Apostas - Grupos'!CN5="",'Apostas - Grupos'!CO5=""),0,IF(AND('Apostas - Grupos'!CN5='Jogos - Grupos'!F48,'Apostas - Grupos'!CO5='Jogos - Grupos'!G48),5,IF(OR(AND('Jogos - Grupos'!F48='Jogos - Grupos'!G48,'Apostas - Grupos'!CN5='Apostas - Grupos'!CO5),AND('Jogos - Grupos'!F48&gt;'Jogos - Grupos'!G48,'Apostas - Grupos'!CN5&gt;'Apostas - Grupos'!CO5),AND('Jogos - Grupos'!F48&lt;'Jogos - Grupos'!G48,'Apostas - Grupos'!CN5&lt;'Apostas - Grupos'!CO5)),IF(('Apostas - Grupos'!CN5-'Apostas - Grupos'!CO5)=('Jogos - Grupos'!F48-'Jogos - Grupos'!G48),3,2),0))))</f>
        <v>-</v>
      </c>
      <c r="AV5" s="106" t="str">
        <f>IF(OR('Jogos - Grupos'!F49="",'Jogos - Grupos'!G49=""),"-",IF(OR('Apostas - Grupos'!CP5="",'Apostas - Grupos'!CQ5=""),0,IF(AND('Apostas - Grupos'!CP5='Jogos - Grupos'!F49,'Apostas - Grupos'!CQ5='Jogos - Grupos'!G49),5,IF(OR(AND('Jogos - Grupos'!F49='Jogos - Grupos'!G49,'Apostas - Grupos'!CP5='Apostas - Grupos'!CQ5),AND('Jogos - Grupos'!F49&gt;'Jogos - Grupos'!G49,'Apostas - Grupos'!CP5&gt;'Apostas - Grupos'!CQ5),AND('Jogos - Grupos'!F49&lt;'Jogos - Grupos'!G49,'Apostas - Grupos'!CP5&lt;'Apostas - Grupos'!CQ5)),IF(('Apostas - Grupos'!CP5-'Apostas - Grupos'!CQ5)=('Jogos - Grupos'!F49-'Jogos - Grupos'!G49),3,2),0))))</f>
        <v>-</v>
      </c>
      <c r="AW5" s="106" t="str">
        <f>IF(OR('Jogos - Grupos'!F50="",'Jogos - Grupos'!G50=""),"-",IF(OR('Apostas - Grupos'!CR5="",'Apostas - Grupos'!CS5=""),0,IF(AND('Apostas - Grupos'!CR5='Jogos - Grupos'!F50,'Apostas - Grupos'!CS5='Jogos - Grupos'!G50),5,IF(OR(AND('Jogos - Grupos'!F50='Jogos - Grupos'!G50,'Apostas - Grupos'!CR5='Apostas - Grupos'!CS5),AND('Jogos - Grupos'!F50&gt;'Jogos - Grupos'!G50,'Apostas - Grupos'!CR5&gt;'Apostas - Grupos'!CS5),AND('Jogos - Grupos'!F50&lt;'Jogos - Grupos'!G50,'Apostas - Grupos'!CR5&lt;'Apostas - Grupos'!CS5)),IF(('Apostas - Grupos'!CR5-'Apostas - Grupos'!CS5)=('Jogos - Grupos'!F50-'Jogos - Grupos'!G50),3,2),0))))</f>
        <v>-</v>
      </c>
      <c r="AX5" s="106" t="str">
        <f>IF(OR('Jogos - Grupos'!F51="",'Jogos - Grupos'!G51=""),"-",IF(OR('Apostas - Grupos'!CT5="",'Apostas - Grupos'!CU5=""),0,IF(AND('Apostas - Grupos'!CT5='Jogos - Grupos'!F51,'Apostas - Grupos'!CU5='Jogos - Grupos'!G51),5,IF(OR(AND('Jogos - Grupos'!F51='Jogos - Grupos'!G51,'Apostas - Grupos'!CT5='Apostas - Grupos'!CU5),AND('Jogos - Grupos'!F51&gt;'Jogos - Grupos'!G51,'Apostas - Grupos'!CT5&gt;'Apostas - Grupos'!CU5),AND('Jogos - Grupos'!F51&lt;'Jogos - Grupos'!G51,'Apostas - Grupos'!CT5&lt;'Apostas - Grupos'!CU5)),IF(('Apostas - Grupos'!CT5-'Apostas - Grupos'!CU5)=('Jogos - Grupos'!F51-'Jogos - Grupos'!G51),3,2),0))))</f>
        <v>-</v>
      </c>
      <c r="AY5" s="106" t="str">
        <f>IF(OR('Jogos - Grupos'!F52="",'Jogos - Grupos'!G52=""),"-",IF(OR('Apostas - Grupos'!CV5="",'Apostas - Grupos'!CW5=""),0,IF(AND('Apostas - Grupos'!CV5='Jogos - Grupos'!F52,'Apostas - Grupos'!CW5='Jogos - Grupos'!G52),5,IF(OR(AND('Jogos - Grupos'!F52='Jogos - Grupos'!G52,'Apostas - Grupos'!CV5='Apostas - Grupos'!CW5),AND('Jogos - Grupos'!F52&gt;'Jogos - Grupos'!G52,'Apostas - Grupos'!CV5&gt;'Apostas - Grupos'!CW5),AND('Jogos - Grupos'!F52&lt;'Jogos - Grupos'!G52,'Apostas - Grupos'!CV5&lt;'Apostas - Grupos'!CW5)),IF(('Apostas - Grupos'!CV5-'Apostas - Grupos'!CW5)=('Jogos - Grupos'!F52-'Jogos - Grupos'!G52),3,2),0))))</f>
        <v>-</v>
      </c>
      <c r="AZ5" s="106" t="str">
        <f>IF(OR('Jogos - Grupos'!F53="",'Jogos - Grupos'!G53=""),"-",IF(OR('Apostas - Grupos'!CX5="",'Apostas - Grupos'!CY5=""),0,IF(AND('Apostas - Grupos'!CX5='Jogos - Grupos'!F53,'Apostas - Grupos'!CY5='Jogos - Grupos'!G53),5,IF(OR(AND('Jogos - Grupos'!F53='Jogos - Grupos'!G53,'Apostas - Grupos'!CX5='Apostas - Grupos'!CY5),AND('Jogos - Grupos'!F53&gt;'Jogos - Grupos'!G53,'Apostas - Grupos'!CX5&gt;'Apostas - Grupos'!CY5),AND('Jogos - Grupos'!F53&lt;'Jogos - Grupos'!G53,'Apostas - Grupos'!CX5&lt;'Apostas - Grupos'!CY5)),IF(('Apostas - Grupos'!CX5-'Apostas - Grupos'!CY5)=('Jogos - Grupos'!F53-'Jogos - Grupos'!G53),3,2),0))))</f>
        <v>-</v>
      </c>
      <c r="BA5" s="106" t="str">
        <f>IF(OR('Jogos - Grupos'!F54="",'Jogos - Grupos'!G54=""),"-",IF(OR('Apostas - Grupos'!CZ5="",'Apostas - Grupos'!DA5=""),0,IF(AND('Apostas - Grupos'!CZ5='Jogos - Grupos'!F54,'Apostas - Grupos'!DA5='Jogos - Grupos'!G54),5,IF(OR(AND('Jogos - Grupos'!F54='Jogos - Grupos'!G54,'Apostas - Grupos'!CZ5='Apostas - Grupos'!DA5),AND('Jogos - Grupos'!F54&gt;'Jogos - Grupos'!G54,'Apostas - Grupos'!CZ5&gt;'Apostas - Grupos'!DA5),AND('Jogos - Grupos'!F54&lt;'Jogos - Grupos'!G54,'Apostas - Grupos'!CZ5&lt;'Apostas - Grupos'!DA5)),IF(('Apostas - Grupos'!CZ5-'Apostas - Grupos'!DA5)=('Jogos - Grupos'!F54-'Jogos - Grupos'!G54),3,2),0))))</f>
        <v>-</v>
      </c>
      <c r="BB5" s="106" t="str">
        <f>IF(OR('Jogos - Grupos'!F55="",'Jogos - Grupos'!G55=""),"-",IF(OR('Apostas - Grupos'!DB5="",'Apostas - Grupos'!DC5=""),0,IF(AND('Apostas - Grupos'!DB5='Jogos - Grupos'!F55,'Apostas - Grupos'!DC5='Jogos - Grupos'!G55),5,IF(OR(AND('Jogos - Grupos'!F55='Jogos - Grupos'!G55,'Apostas - Grupos'!DB5='Apostas - Grupos'!DC5),AND('Jogos - Grupos'!F55&gt;'Jogos - Grupos'!G55,'Apostas - Grupos'!DB5&gt;'Apostas - Grupos'!DC5),AND('Jogos - Grupos'!F55&lt;'Jogos - Grupos'!G55,'Apostas - Grupos'!DB5&lt;'Apostas - Grupos'!DC5)),IF(('Apostas - Grupos'!DB5-'Apostas - Grupos'!DC5)=('Jogos - Grupos'!F55-'Jogos - Grupos'!G55),3,2),0))))</f>
        <v>-</v>
      </c>
      <c r="BC5" s="106" t="str">
        <f>IF(OR('Jogos - Grupos'!F56="",'Jogos - Grupos'!G56=""),"-",IF(OR('Apostas - Grupos'!DD5="",'Apostas - Grupos'!DE5=""),0,IF(AND('Apostas - Grupos'!DD5='Jogos - Grupos'!F56,'Apostas - Grupos'!DE5='Jogos - Grupos'!G56),5,IF(OR(AND('Jogos - Grupos'!F56='Jogos - Grupos'!G56,'Apostas - Grupos'!DD5='Apostas - Grupos'!DE5),AND('Jogos - Grupos'!F56&gt;'Jogos - Grupos'!G56,'Apostas - Grupos'!DD5&gt;'Apostas - Grupos'!DE5),AND('Jogos - Grupos'!F56&lt;'Jogos - Grupos'!G56,'Apostas - Grupos'!DD5&lt;'Apostas - Grupos'!DE5)),IF(('Apostas - Grupos'!DD5-'Apostas - Grupos'!DE5)=('Jogos - Grupos'!F56-'Jogos - Grupos'!G56),3,2),0))))</f>
        <v>-</v>
      </c>
      <c r="BD5" s="106" t="str">
        <f>IF(OR('Jogos - Grupos'!F57="",'Jogos - Grupos'!G57=""),"-",IF(OR('Apostas - Grupos'!DF5="",'Apostas - Grupos'!DG5=""),0,IF(AND('Apostas - Grupos'!DF5='Jogos - Grupos'!F57,'Apostas - Grupos'!DG5='Jogos - Grupos'!G57),5,IF(OR(AND('Jogos - Grupos'!F57='Jogos - Grupos'!G57,'Apostas - Grupos'!DF5='Apostas - Grupos'!DG5),AND('Jogos - Grupos'!F57&gt;'Jogos - Grupos'!G57,'Apostas - Grupos'!DF5&gt;'Apostas - Grupos'!DG5),AND('Jogos - Grupos'!F57&lt;'Jogos - Grupos'!G57,'Apostas - Grupos'!DF5&lt;'Apostas - Grupos'!DG5)),IF(('Apostas - Grupos'!DF5-'Apostas - Grupos'!DG5)=('Jogos - Grupos'!F57-'Jogos - Grupos'!G57),3,2),0))))</f>
        <v>-</v>
      </c>
      <c r="BE5" s="106" t="str">
        <f>IF(OR('Jogos - Grupos'!F58="",'Jogos - Grupos'!G58=""),"-",IF(OR('Apostas - Grupos'!DH5="",'Apostas - Grupos'!DI5=""),0,IF(AND('Apostas - Grupos'!DH5='Jogos - Grupos'!F58,'Apostas - Grupos'!DI5='Jogos - Grupos'!G58),5,IF(OR(AND('Jogos - Grupos'!F58='Jogos - Grupos'!G58,'Apostas - Grupos'!DH5='Apostas - Grupos'!DI5),AND('Jogos - Grupos'!F58&gt;'Jogos - Grupos'!G58,'Apostas - Grupos'!DH5&gt;'Apostas - Grupos'!DI5),AND('Jogos - Grupos'!F58&lt;'Jogos - Grupos'!G58,'Apostas - Grupos'!DH5&lt;'Apostas - Grupos'!DI5)),IF(('Apostas - Grupos'!DH5-'Apostas - Grupos'!DI5)=('Jogos - Grupos'!F58-'Jogos - Grupos'!G58),3,2),0))))</f>
        <v>-</v>
      </c>
      <c r="BF5" s="106" t="str">
        <f>IF(OR('Jogos - Grupos'!F59="",'Jogos - Grupos'!G59=""),"-",IF(OR('Apostas - Grupos'!DJ5="",'Apostas - Grupos'!DK5=""),0,IF(AND('Apostas - Grupos'!DJ5='Jogos - Grupos'!F59,'Apostas - Grupos'!DK5='Jogos - Grupos'!G59),5,IF(OR(AND('Jogos - Grupos'!F59='Jogos - Grupos'!G59,'Apostas - Grupos'!DJ5='Apostas - Grupos'!DK5),AND('Jogos - Grupos'!F59&gt;'Jogos - Grupos'!G59,'Apostas - Grupos'!DJ5&gt;'Apostas - Grupos'!DK5),AND('Jogos - Grupos'!F59&lt;'Jogos - Grupos'!G59,'Apostas - Grupos'!DJ5&lt;'Apostas - Grupos'!DK5)),IF(('Apostas - Grupos'!DJ5-'Apostas - Grupos'!DK5)=('Jogos - Grupos'!F59-'Jogos - Grupos'!G59),3,2),0))))</f>
        <v>-</v>
      </c>
      <c r="BG5" s="106" t="str">
        <f>IF(OR('Jogos - Grupos'!F60="",'Jogos - Grupos'!G60=""),"-",IF(OR('Apostas - Grupos'!DL5="",'Apostas - Grupos'!DM5=""),0,IF(AND('Apostas - Grupos'!DL5='Jogos - Grupos'!F60,'Apostas - Grupos'!DM5='Jogos - Grupos'!G60),5,IF(OR(AND('Jogos - Grupos'!F60='Jogos - Grupos'!G60,'Apostas - Grupos'!DL5='Apostas - Grupos'!DM5),AND('Jogos - Grupos'!F60&gt;'Jogos - Grupos'!G60,'Apostas - Grupos'!DL5&gt;'Apostas - Grupos'!DM5),AND('Jogos - Grupos'!F60&lt;'Jogos - Grupos'!G60,'Apostas - Grupos'!DL5&lt;'Apostas - Grupos'!DM5)),IF(('Apostas - Grupos'!DL5-'Apostas - Grupos'!DM5)=('Jogos - Grupos'!F60-'Jogos - Grupos'!G60),3,2),0))))</f>
        <v>-</v>
      </c>
      <c r="BH5" s="106" t="str">
        <f>IF(OR('Jogos - Grupos'!F61="",'Jogos - Grupos'!G61=""),"-",IF(OR('Apostas - Grupos'!DN5="",'Apostas - Grupos'!DO5=""),0,IF(AND('Apostas - Grupos'!DN5='Jogos - Grupos'!F61,'Apostas - Grupos'!DO5='Jogos - Grupos'!G61),5,IF(OR(AND('Jogos - Grupos'!F61='Jogos - Grupos'!G61,'Apostas - Grupos'!DN5='Apostas - Grupos'!DO5),AND('Jogos - Grupos'!F61&gt;'Jogos - Grupos'!G61,'Apostas - Grupos'!DN5&gt;'Apostas - Grupos'!DO5),AND('Jogos - Grupos'!F61&lt;'Jogos - Grupos'!G61,'Apostas - Grupos'!DN5&lt;'Apostas - Grupos'!DO5)),IF(('Apostas - Grupos'!DN5-'Apostas - Grupos'!DO5)=('Jogos - Grupos'!F61-'Jogos - Grupos'!G61),3,2),0))))</f>
        <v>-</v>
      </c>
      <c r="BI5" s="106" t="str">
        <f>IF(OR('Jogos - Grupos'!F62="",'Jogos - Grupos'!G62=""),"-",IF(OR('Apostas - Grupos'!DP5="",'Apostas - Grupos'!DQ5=""),0,IF(AND('Apostas - Grupos'!DP5='Jogos - Grupos'!F62,'Apostas - Grupos'!DQ5='Jogos - Grupos'!G62),5,IF(OR(AND('Jogos - Grupos'!F62='Jogos - Grupos'!G62,'Apostas - Grupos'!DP5='Apostas - Grupos'!DQ5),AND('Jogos - Grupos'!F62&gt;'Jogos - Grupos'!G62,'Apostas - Grupos'!DP5&gt;'Apostas - Grupos'!DQ5),AND('Jogos - Grupos'!F62&lt;'Jogos - Grupos'!G62,'Apostas - Grupos'!DP5&lt;'Apostas - Grupos'!DQ5)),IF(('Apostas - Grupos'!DP5-'Apostas - Grupos'!DQ5)=('Jogos - Grupos'!F62-'Jogos - Grupos'!G62),3,2),0))))</f>
        <v>-</v>
      </c>
      <c r="BJ5" s="106" t="str">
        <f>IF(OR('Jogos - Grupos'!F63="",'Jogos - Grupos'!G63=""),"-",IF(OR('Apostas - Grupos'!DR5="",'Apostas - Grupos'!DS5=""),0,IF(AND('Apostas - Grupos'!DR5='Jogos - Grupos'!F63,'Apostas - Grupos'!DS5='Jogos - Grupos'!G63),5,IF(OR(AND('Jogos - Grupos'!F63='Jogos - Grupos'!G63,'Apostas - Grupos'!DR5='Apostas - Grupos'!DS5),AND('Jogos - Grupos'!F63&gt;'Jogos - Grupos'!G63,'Apostas - Grupos'!DR5&gt;'Apostas - Grupos'!DS5),AND('Jogos - Grupos'!F63&lt;'Jogos - Grupos'!G63,'Apostas - Grupos'!DR5&lt;'Apostas - Grupos'!DS5)),IF(('Apostas - Grupos'!DR5-'Apostas - Grupos'!DS5)=('Jogos - Grupos'!F63-'Jogos - Grupos'!G63),3,2),0))))</f>
        <v>-</v>
      </c>
      <c r="BK5" s="106" t="str">
        <f>IF(OR('Jogos - Grupos'!F64="",'Jogos - Grupos'!G64=""),"-",IF(OR('Apostas - Grupos'!DT5="",'Apostas - Grupos'!DU5=""),0,IF(AND('Apostas - Grupos'!DT5='Jogos - Grupos'!F64,'Apostas - Grupos'!DU5='Jogos - Grupos'!G64),5,IF(OR(AND('Jogos - Grupos'!F64='Jogos - Grupos'!G64,'Apostas - Grupos'!DT5='Apostas - Grupos'!DU5),AND('Jogos - Grupos'!F64&gt;'Jogos - Grupos'!G64,'Apostas - Grupos'!DT5&gt;'Apostas - Grupos'!DU5),AND('Jogos - Grupos'!F64&lt;'Jogos - Grupos'!G64,'Apostas - Grupos'!DT5&lt;'Apostas - Grupos'!DU5)),IF(('Apostas - Grupos'!DT5-'Apostas - Grupos'!DU5)=('Jogos - Grupos'!F64-'Jogos - Grupos'!G64),3,2),0))))</f>
        <v>-</v>
      </c>
      <c r="BL5" s="106" t="str">
        <f>IF(OR('Jogos - Grupos'!F65="",'Jogos - Grupos'!G65=""),"-",IF(OR('Apostas - Grupos'!DV5="",'Apostas - Grupos'!DW5=""),0,IF(AND('Apostas - Grupos'!DV5='Jogos - Grupos'!F65,'Apostas - Grupos'!DW5='Jogos - Grupos'!G65),5,IF(OR(AND('Jogos - Grupos'!F65='Jogos - Grupos'!G65,'Apostas - Grupos'!DV5='Apostas - Grupos'!DW5),AND('Jogos - Grupos'!F65&gt;'Jogos - Grupos'!G65,'Apostas - Grupos'!DV5&gt;'Apostas - Grupos'!DW5),AND('Jogos - Grupos'!F65&lt;'Jogos - Grupos'!G65,'Apostas - Grupos'!DV5&lt;'Apostas - Grupos'!DW5)),IF(('Apostas - Grupos'!DV5-'Apostas - Grupos'!DW5)=('Jogos - Grupos'!F65-'Jogos - Grupos'!G65),3,2),0))))</f>
        <v>-</v>
      </c>
      <c r="BM5" s="106" t="str">
        <f>IF(OR('Jogos - Grupos'!F66="",'Jogos - Grupos'!G66=""),"-",IF(OR('Apostas - Grupos'!DX5="",'Apostas - Grupos'!DY5=""),0,IF(AND('Apostas - Grupos'!DX5='Jogos - Grupos'!F66,'Apostas - Grupos'!DY5='Jogos - Grupos'!G66),5,IF(OR(AND('Jogos - Grupos'!F66='Jogos - Grupos'!G66,'Apostas - Grupos'!DX5='Apostas - Grupos'!DY5),AND('Jogos - Grupos'!F66&gt;'Jogos - Grupos'!G66,'Apostas - Grupos'!DX5&gt;'Apostas - Grupos'!DY5),AND('Jogos - Grupos'!F66&lt;'Jogos - Grupos'!G66,'Apostas - Grupos'!DX5&lt;'Apostas - Grupos'!DY5)),IF(('Apostas - Grupos'!DX5-'Apostas - Grupos'!DY5)=('Jogos - Grupos'!F66-'Jogos - Grupos'!G66),3,2),0))))</f>
        <v>-</v>
      </c>
      <c r="BN5" s="106" t="str">
        <f>IF(OR('Jogos - Grupos'!F67="",'Jogos - Grupos'!G67=""),"-",IF(OR('Apostas - Grupos'!DZ5="",'Apostas - Grupos'!EA5=""),0,IF(AND('Apostas - Grupos'!DZ5='Jogos - Grupos'!F67,'Apostas - Grupos'!EA5='Jogos - Grupos'!G67),5,IF(OR(AND('Jogos - Grupos'!F67='Jogos - Grupos'!G67,'Apostas - Grupos'!DZ5='Apostas - Grupos'!EA5),AND('Jogos - Grupos'!F67&gt;'Jogos - Grupos'!G67,'Apostas - Grupos'!DZ5&gt;'Apostas - Grupos'!EA5),AND('Jogos - Grupos'!F67&lt;'Jogos - Grupos'!G67,'Apostas - Grupos'!DZ5&lt;'Apostas - Grupos'!EA5)),IF(('Apostas - Grupos'!DZ5-'Apostas - Grupos'!EA5)=('Jogos - Grupos'!F67-'Jogos - Grupos'!G67),3,2),0))))</f>
        <v>-</v>
      </c>
      <c r="BO5" s="106" t="str">
        <f>IF(OR('Jogos - Grupos'!F68="",'Jogos - Grupos'!G68=""),"-",IF(OR('Apostas - Grupos'!EB5="",'Apostas - Grupos'!EC5=""),0,IF(AND('Apostas - Grupos'!EB5='Jogos - Grupos'!F68,'Apostas - Grupos'!EC5='Jogos - Grupos'!G68),5,IF(OR(AND('Jogos - Grupos'!F68='Jogos - Grupos'!G68,'Apostas - Grupos'!EB5='Apostas - Grupos'!EC5),AND('Jogos - Grupos'!F68&gt;'Jogos - Grupos'!G68,'Apostas - Grupos'!EB5&gt;'Apostas - Grupos'!EC5),AND('Jogos - Grupos'!F68&lt;'Jogos - Grupos'!G68,'Apostas - Grupos'!EB5&lt;'Apostas - Grupos'!EC5)),IF(('Apostas - Grupos'!EB5-'Apostas - Grupos'!EC5)=('Jogos - Grupos'!F68-'Jogos - Grupos'!G68),3,2),0))))</f>
        <v>-</v>
      </c>
      <c r="BP5" s="106" t="str">
        <f>IF(OR('Jogos - Grupos'!F69="",'Jogos - Grupos'!G69=""),"-",IF(OR('Apostas - Grupos'!ED5="",'Apostas - Grupos'!EE5=""),0,IF(AND('Apostas - Grupos'!ED5='Jogos - Grupos'!F69,'Apostas - Grupos'!EE5='Jogos - Grupos'!G69),5,IF(OR(AND('Jogos - Grupos'!F69='Jogos - Grupos'!G69,'Apostas - Grupos'!ED5='Apostas - Grupos'!EE5),AND('Jogos - Grupos'!F69&gt;'Jogos - Grupos'!G69,'Apostas - Grupos'!ED5&gt;'Apostas - Grupos'!EE5),AND('Jogos - Grupos'!F69&lt;'Jogos - Grupos'!G69,'Apostas - Grupos'!ED5&lt;'Apostas - Grupos'!EE5)),IF(('Apostas - Grupos'!ED5-'Apostas - Grupos'!EE5)=('Jogos - Grupos'!F69-'Jogos - Grupos'!G69),3,2),0))))</f>
        <v>-</v>
      </c>
      <c r="BQ5" s="106" t="str">
        <f>IF(OR('Jogos - Grupos'!F70="",'Jogos - Grupos'!G70=""),"-",IF(OR('Apostas - Grupos'!EF5="",'Apostas - Grupos'!EG5=""),0,IF(AND('Apostas - Grupos'!EF5='Jogos - Grupos'!F70,'Apostas - Grupos'!EG5='Jogos - Grupos'!G70),5,IF(OR(AND('Jogos - Grupos'!F70='Jogos - Grupos'!G70,'Apostas - Grupos'!EF5='Apostas - Grupos'!EG5),AND('Jogos - Grupos'!F70&gt;'Jogos - Grupos'!G70,'Apostas - Grupos'!EF5&gt;'Apostas - Grupos'!EG5),AND('Jogos - Grupos'!F70&lt;'Jogos - Grupos'!G70,'Apostas - Grupos'!EF5&lt;'Apostas - Grupos'!EG5)),IF(('Apostas - Grupos'!EF5-'Apostas - Grupos'!EG5)=('Jogos - Grupos'!F70-'Jogos - Grupos'!G70),3,2),0))))</f>
        <v>-</v>
      </c>
      <c r="BR5" s="106" t="str">
        <f>IF(OR('Jogos - Grupos'!F71="",'Jogos - Grupos'!G71=""),"-",IF(OR('Apostas - Grupos'!EH5="",'Apostas - Grupos'!EI5=""),0,IF(AND('Apostas - Grupos'!EH5='Jogos - Grupos'!F71,'Apostas - Grupos'!EI5='Jogos - Grupos'!G71),5,IF(OR(AND('Jogos - Grupos'!F71='Jogos - Grupos'!G71,'Apostas - Grupos'!EH5='Apostas - Grupos'!EI5),AND('Jogos - Grupos'!F71&gt;'Jogos - Grupos'!G71,'Apostas - Grupos'!EH5&gt;'Apostas - Grupos'!EI5),AND('Jogos - Grupos'!F71&lt;'Jogos - Grupos'!G71,'Apostas - Grupos'!EH5&lt;'Apostas - Grupos'!EI5)),IF(('Apostas - Grupos'!EH5-'Apostas - Grupos'!EI5)=('Jogos - Grupos'!F71-'Jogos - Grupos'!G71),3,2),0))))</f>
        <v>-</v>
      </c>
      <c r="BS5" s="106" t="str">
        <f>IF(OR('Jogos - Grupos'!F72="",'Jogos - Grupos'!G72=""),"-",IF(OR('Apostas - Grupos'!EJ5="",'Apostas - Grupos'!EK5=""),0,IF(AND('Apostas - Grupos'!EJ5='Jogos - Grupos'!F72,'Apostas - Grupos'!EK5='Jogos - Grupos'!G72),5,IF(OR(AND('Jogos - Grupos'!F72='Jogos - Grupos'!G72,'Apostas - Grupos'!EJ5='Apostas - Grupos'!EK5),AND('Jogos - Grupos'!F72&gt;'Jogos - Grupos'!G72,'Apostas - Grupos'!EJ5&gt;'Apostas - Grupos'!EK5),AND('Jogos - Grupos'!F72&lt;'Jogos - Grupos'!G72,'Apostas - Grupos'!EJ5&lt;'Apostas - Grupos'!EK5)),IF(('Apostas - Grupos'!EJ5-'Apostas - Grupos'!EK5)=('Jogos - Grupos'!F72-'Jogos - Grupos'!G72),3,2),0))))</f>
        <v>-</v>
      </c>
      <c r="BT5" s="106" t="str">
        <f>IF(OR('Jogos - Grupos'!F73="",'Jogos - Grupos'!G73=""),"-",IF(OR('Apostas - Grupos'!EL5="",'Apostas - Grupos'!EM5=""),0,IF(AND('Apostas - Grupos'!EL5='Jogos - Grupos'!F73,'Apostas - Grupos'!EM5='Jogos - Grupos'!G73),5,IF(OR(AND('Jogos - Grupos'!F73='Jogos - Grupos'!G73,'Apostas - Grupos'!EL5='Apostas - Grupos'!EM5),AND('Jogos - Grupos'!F73&gt;'Jogos - Grupos'!G73,'Apostas - Grupos'!EL5&gt;'Apostas - Grupos'!EM5),AND('Jogos - Grupos'!F73&lt;'Jogos - Grupos'!G73,'Apostas - Grupos'!EL5&lt;'Apostas - Grupos'!EM5)),IF(('Apostas - Grupos'!EL5-'Apostas - Grupos'!EM5)=('Jogos - Grupos'!F73-'Jogos - Grupos'!G73),3,2),0))))</f>
        <v>-</v>
      </c>
      <c r="BU5" s="106" t="str">
        <f>IF(OR('Jogos - Grupos'!F74="",'Jogos - Grupos'!G74=""),"-",IF(OR('Apostas - Grupos'!EN5="",'Apostas - Grupos'!EO5=""),0,IF(AND('Apostas - Grupos'!EN5='Jogos - Grupos'!F74,'Apostas - Grupos'!EO5='Jogos - Grupos'!G74),5,IF(OR(AND('Jogos - Grupos'!F74='Jogos - Grupos'!G74,'Apostas - Grupos'!EN5='Apostas - Grupos'!EO5),AND('Jogos - Grupos'!F74&gt;'Jogos - Grupos'!G74,'Apostas - Grupos'!EN5&gt;'Apostas - Grupos'!EO5),AND('Jogos - Grupos'!F74&lt;'Jogos - Grupos'!G74,'Apostas - Grupos'!EN5&lt;'Apostas - Grupos'!EO5)),IF(('Apostas - Grupos'!EN5-'Apostas - Grupos'!EO5)=('Jogos - Grupos'!F74-'Jogos - Grupos'!G74),3,2),0))))</f>
        <v>-</v>
      </c>
      <c r="BV5" s="107">
        <f>SUM(B5:BU5)</f>
        <v>0</v>
      </c>
    </row>
    <row r="6" spans="1:74" ht="15.6">
      <c r="A6" s="82" t="s">
        <v>262</v>
      </c>
      <c r="B6" s="108">
        <f>IF(OR('Jogos - Grupos'!F3="",'Jogos - Grupos'!G3=""),"-",IF(OR('Apostas - Grupos'!B6="",'Apostas - Grupos'!C6=""),0,IF(AND('Apostas - Grupos'!B6='Jogos - Grupos'!F3,'Apostas - Grupos'!C6='Jogos - Grupos'!G3),5,IF(OR(AND('Jogos - Grupos'!F3='Jogos - Grupos'!G3,'Apostas - Grupos'!B6='Apostas - Grupos'!C6),AND('Jogos - Grupos'!F3&gt;'Jogos - Grupos'!G3,'Apostas - Grupos'!B6&gt;'Apostas - Grupos'!C6),AND('Jogos - Grupos'!F3&lt;'Jogos - Grupos'!G3,'Apostas - Grupos'!B6&lt;'Apostas - Grupos'!C6)),IF(('Apostas - Grupos'!B6-'Apostas - Grupos'!C6)=('Jogos - Grupos'!F3-'Jogos - Grupos'!G3),3,2),0))))</f>
        <v>0</v>
      </c>
      <c r="C6" s="108">
        <f>IF(OR('Jogos - Grupos'!F4="",'Jogos - Grupos'!G4=""),"-",IF(OR('Apostas - Grupos'!D6="",'Apostas - Grupos'!E6=""),0,IF(AND('Apostas - Grupos'!D6='Jogos - Grupos'!F4,'Apostas - Grupos'!E6='Jogos - Grupos'!G4),5,IF(OR(AND('Jogos - Grupos'!F4='Jogos - Grupos'!G4,'Apostas - Grupos'!D6='Apostas - Grupos'!E6),AND('Jogos - Grupos'!F4&gt;'Jogos - Grupos'!G4,'Apostas - Grupos'!D6&gt;'Apostas - Grupos'!E6),AND('Jogos - Grupos'!F4&lt;'Jogos - Grupos'!G4,'Apostas - Grupos'!D6&lt;'Apostas - Grupos'!E6)),IF(('Apostas - Grupos'!D6-'Apostas - Grupos'!E6)=('Jogos - Grupos'!F4-'Jogos - Grupos'!G4),3,2),0))))</f>
        <v>0</v>
      </c>
      <c r="D6" s="108" t="str">
        <f>IF(OR('Jogos - Grupos'!F5="",'Jogos - Grupos'!G5=""),"-",IF(OR('Apostas - Grupos'!F6="",'Apostas - Grupos'!G6=""),0,IF(AND('Apostas - Grupos'!F6='Jogos - Grupos'!F5,'Apostas - Grupos'!G6='Jogos - Grupos'!G5),5,IF(OR(AND('Jogos - Grupos'!F5='Jogos - Grupos'!G5,'Apostas - Grupos'!F6='Apostas - Grupos'!G6),AND('Jogos - Grupos'!F5&gt;'Jogos - Grupos'!G5,'Apostas - Grupos'!F6&gt;'Apostas - Grupos'!G6),AND('Jogos - Grupos'!F5&lt;'Jogos - Grupos'!G5,'Apostas - Grupos'!F6&lt;'Apostas - Grupos'!G6)),IF(('Apostas - Grupos'!F6-'Apostas - Grupos'!G6)=('Jogos - Grupos'!F5-'Jogos - Grupos'!G5),3,2),0))))</f>
        <v>-</v>
      </c>
      <c r="E6" s="108" t="str">
        <f>IF(OR('Jogos - Grupos'!F6="",'Jogos - Grupos'!G6=""),"-",IF(OR('Apostas - Grupos'!H6="",'Apostas - Grupos'!I6=""),0,IF(AND('Apostas - Grupos'!H6='Jogos - Grupos'!F6,'Apostas - Grupos'!I6='Jogos - Grupos'!G6),5,IF(OR(AND('Jogos - Grupos'!F6='Jogos - Grupos'!G6,'Apostas - Grupos'!H6='Apostas - Grupos'!I6),AND('Jogos - Grupos'!F6&gt;'Jogos - Grupos'!G6,'Apostas - Grupos'!H6&gt;'Apostas - Grupos'!I6),AND('Jogos - Grupos'!F6&lt;'Jogos - Grupos'!G6,'Apostas - Grupos'!H6&lt;'Apostas - Grupos'!I6)),IF(('Apostas - Grupos'!H6-'Apostas - Grupos'!I6)=('Jogos - Grupos'!F6-'Jogos - Grupos'!G6),3,2),0))))</f>
        <v>-</v>
      </c>
      <c r="F6" s="108" t="str">
        <f>IF(OR('Jogos - Grupos'!F7="",'Jogos - Grupos'!G7=""),"-",IF(OR('Apostas - Grupos'!J6="",'Apostas - Grupos'!K6=""),0,IF(AND('Apostas - Grupos'!J6='Jogos - Grupos'!F7,'Apostas - Grupos'!K6='Jogos - Grupos'!G7),5,IF(OR(AND('Jogos - Grupos'!F7='Jogos - Grupos'!G7,'Apostas - Grupos'!J6='Apostas - Grupos'!K6),AND('Jogos - Grupos'!F7&gt;'Jogos - Grupos'!G7,'Apostas - Grupos'!J6&gt;'Apostas - Grupos'!K6),AND('Jogos - Grupos'!F7&lt;'Jogos - Grupos'!G7,'Apostas - Grupos'!J6&lt;'Apostas - Grupos'!K6)),IF(('Apostas - Grupos'!J6-'Apostas - Grupos'!K6)=('Jogos - Grupos'!F7-'Jogos - Grupos'!G7),3,2),0))))</f>
        <v>-</v>
      </c>
      <c r="G6" s="108" t="str">
        <f>IF(OR('Jogos - Grupos'!F8="",'Jogos - Grupos'!G8=""),"-",IF(OR('Apostas - Grupos'!L6="",'Apostas - Grupos'!M6=""),0,IF(AND('Apostas - Grupos'!L6='Jogos - Grupos'!F8,'Apostas - Grupos'!M6='Jogos - Grupos'!G8),5,IF(OR(AND('Jogos - Grupos'!F8='Jogos - Grupos'!G8,'Apostas - Grupos'!L6='Apostas - Grupos'!M6),AND('Jogos - Grupos'!F8&gt;'Jogos - Grupos'!G8,'Apostas - Grupos'!L6&gt;'Apostas - Grupos'!M6),AND('Jogos - Grupos'!F8&lt;'Jogos - Grupos'!G8,'Apostas - Grupos'!L6&lt;'Apostas - Grupos'!M6)),IF(('Apostas - Grupos'!L6-'Apostas - Grupos'!M6)=('Jogos - Grupos'!F8-'Jogos - Grupos'!G8),3,2),0))))</f>
        <v>-</v>
      </c>
      <c r="H6" s="108" t="str">
        <f>IF(OR('Jogos - Grupos'!F9="",'Jogos - Grupos'!G9=""),"-",IF(OR('Apostas - Grupos'!N6="",'Apostas - Grupos'!O6=""),0,IF(AND('Apostas - Grupos'!N6='Jogos - Grupos'!F9,'Apostas - Grupos'!O6='Jogos - Grupos'!G9),5,IF(OR(AND('Jogos - Grupos'!F9='Jogos - Grupos'!G9,'Apostas - Grupos'!N6='Apostas - Grupos'!O6),AND('Jogos - Grupos'!F9&gt;'Jogos - Grupos'!G9,'Apostas - Grupos'!N6&gt;'Apostas - Grupos'!O6),AND('Jogos - Grupos'!F9&lt;'Jogos - Grupos'!G9,'Apostas - Grupos'!N6&lt;'Apostas - Grupos'!O6)),IF(('Apostas - Grupos'!N6-'Apostas - Grupos'!O6)=('Jogos - Grupos'!F9-'Jogos - Grupos'!G9),3,2),0))))</f>
        <v>-</v>
      </c>
      <c r="I6" s="108" t="str">
        <f>IF(OR('Jogos - Grupos'!F10="",'Jogos - Grupos'!G10=""),"-",IF(OR('Apostas - Grupos'!P6="",'Apostas - Grupos'!Q6=""),0,IF(AND('Apostas - Grupos'!P6='Jogos - Grupos'!F10,'Apostas - Grupos'!Q6='Jogos - Grupos'!G10),5,IF(OR(AND('Jogos - Grupos'!F10='Jogos - Grupos'!G10,'Apostas - Grupos'!P6='Apostas - Grupos'!Q6),AND('Jogos - Grupos'!F10&gt;'Jogos - Grupos'!G10,'Apostas - Grupos'!P6&gt;'Apostas - Grupos'!Q6),AND('Jogos - Grupos'!F10&lt;'Jogos - Grupos'!G10,'Apostas - Grupos'!P6&lt;'Apostas - Grupos'!Q6)),IF(('Apostas - Grupos'!P6-'Apostas - Grupos'!Q6)=('Jogos - Grupos'!F10-'Jogos - Grupos'!G10),3,2),0))))</f>
        <v>-</v>
      </c>
      <c r="J6" s="108" t="str">
        <f>IF(OR('Jogos - Grupos'!F11="",'Jogos - Grupos'!G11=""),"-",IF(OR('Apostas - Grupos'!R6="",'Apostas - Grupos'!S6=""),0,IF(AND('Apostas - Grupos'!R6='Jogos - Grupos'!F11,'Apostas - Grupos'!S6='Jogos - Grupos'!G11),5,IF(OR(AND('Jogos - Grupos'!F11='Jogos - Grupos'!G11,'Apostas - Grupos'!R6='Apostas - Grupos'!S6),AND('Jogos - Grupos'!F11&gt;'Jogos - Grupos'!G11,'Apostas - Grupos'!R6&gt;'Apostas - Grupos'!S6),AND('Jogos - Grupos'!F11&lt;'Jogos - Grupos'!G11,'Apostas - Grupos'!R6&lt;'Apostas - Grupos'!S6)),IF(('Apostas - Grupos'!R6-'Apostas - Grupos'!S6)=('Jogos - Grupos'!F11-'Jogos - Grupos'!G11),3,2),0))))</f>
        <v>-</v>
      </c>
      <c r="K6" s="108" t="str">
        <f>IF(OR('Jogos - Grupos'!F12="",'Jogos - Grupos'!G12=""),"-",IF(OR('Apostas - Grupos'!T6="",'Apostas - Grupos'!U6=""),0,IF(AND('Apostas - Grupos'!T6='Jogos - Grupos'!F12,'Apostas - Grupos'!U6='Jogos - Grupos'!G12),5,IF(OR(AND('Jogos - Grupos'!F12='Jogos - Grupos'!G12,'Apostas - Grupos'!T6='Apostas - Grupos'!U6),AND('Jogos - Grupos'!F12&gt;'Jogos - Grupos'!G12,'Apostas - Grupos'!T6&gt;'Apostas - Grupos'!U6),AND('Jogos - Grupos'!F12&lt;'Jogos - Grupos'!G12,'Apostas - Grupos'!T6&lt;'Apostas - Grupos'!U6)),IF(('Apostas - Grupos'!T6-'Apostas - Grupos'!U6)=('Jogos - Grupos'!F12-'Jogos - Grupos'!G12),3,2),0))))</f>
        <v>-</v>
      </c>
      <c r="L6" s="108" t="str">
        <f>IF(OR('Jogos - Grupos'!F13="",'Jogos - Grupos'!G13=""),"-",IF(OR('Apostas - Grupos'!V6="",'Apostas - Grupos'!W6=""),0,IF(AND('Apostas - Grupos'!V6='Jogos - Grupos'!F13,'Apostas - Grupos'!W6='Jogos - Grupos'!G13),5,IF(OR(AND('Jogos - Grupos'!F13='Jogos - Grupos'!G13,'Apostas - Grupos'!V6='Apostas - Grupos'!W6),AND('Jogos - Grupos'!F13&gt;'Jogos - Grupos'!G13,'Apostas - Grupos'!V6&gt;'Apostas - Grupos'!W6),AND('Jogos - Grupos'!F13&lt;'Jogos - Grupos'!G13,'Apostas - Grupos'!V6&lt;'Apostas - Grupos'!W6)),IF(('Apostas - Grupos'!V6-'Apostas - Grupos'!W6)=('Jogos - Grupos'!F13-'Jogos - Grupos'!G13),3,2),0))))</f>
        <v>-</v>
      </c>
      <c r="M6" s="108" t="str">
        <f>IF(OR('Jogos - Grupos'!F14="",'Jogos - Grupos'!G14=""),"-",IF(OR('Apostas - Grupos'!X6="",'Apostas - Grupos'!Y6=""),0,IF(AND('Apostas - Grupos'!X6='Jogos - Grupos'!F14,'Apostas - Grupos'!Y6='Jogos - Grupos'!G14),5,IF(OR(AND('Jogos - Grupos'!F14='Jogos - Grupos'!G14,'Apostas - Grupos'!X6='Apostas - Grupos'!Y6),AND('Jogos - Grupos'!F14&gt;'Jogos - Grupos'!G14,'Apostas - Grupos'!X6&gt;'Apostas - Grupos'!Y6),AND('Jogos - Grupos'!F14&lt;'Jogos - Grupos'!G14,'Apostas - Grupos'!X6&lt;'Apostas - Grupos'!Y6)),IF(('Apostas - Grupos'!X6-'Apostas - Grupos'!Y6)=('Jogos - Grupos'!F14-'Jogos - Grupos'!G14),3,2),0))))</f>
        <v>-</v>
      </c>
      <c r="N6" s="108" t="str">
        <f>IF(OR('Jogos - Grupos'!F15="",'Jogos - Grupos'!G15=""),"-",IF(OR('Apostas - Grupos'!Z6="",'Apostas - Grupos'!AA6=""),0,IF(AND('Apostas - Grupos'!Z6='Jogos - Grupos'!F15,'Apostas - Grupos'!AA6='Jogos - Grupos'!G15),5,IF(OR(AND('Jogos - Grupos'!F15='Jogos - Grupos'!G15,'Apostas - Grupos'!Z6='Apostas - Grupos'!AA6),AND('Jogos - Grupos'!F15&gt;'Jogos - Grupos'!G15,'Apostas - Grupos'!Z6&gt;'Apostas - Grupos'!AA6),AND('Jogos - Grupos'!F15&lt;'Jogos - Grupos'!G15,'Apostas - Grupos'!Z6&lt;'Apostas - Grupos'!AA6)),IF(('Apostas - Grupos'!Z6-'Apostas - Grupos'!AA6)=('Jogos - Grupos'!F15-'Jogos - Grupos'!G15),3,2),0))))</f>
        <v>-</v>
      </c>
      <c r="O6" s="108" t="str">
        <f>IF(OR('Jogos - Grupos'!F16="",'Jogos - Grupos'!G16=""),"-",IF(OR('Apostas - Grupos'!AB6="",'Apostas - Grupos'!AC6=""),0,IF(AND('Apostas - Grupos'!AB6='Jogos - Grupos'!F16,'Apostas - Grupos'!AC6='Jogos - Grupos'!G16),5,IF(OR(AND('Jogos - Grupos'!F16='Jogos - Grupos'!G16,'Apostas - Grupos'!AB6='Apostas - Grupos'!AC6),AND('Jogos - Grupos'!F16&gt;'Jogos - Grupos'!G16,'Apostas - Grupos'!AB6&gt;'Apostas - Grupos'!AC6),AND('Jogos - Grupos'!F16&lt;'Jogos - Grupos'!G16,'Apostas - Grupos'!AB6&lt;'Apostas - Grupos'!AC6)),IF(('Apostas - Grupos'!AB6-'Apostas - Grupos'!AC6)=('Jogos - Grupos'!F16-'Jogos - Grupos'!G16),3,2),0))))</f>
        <v>-</v>
      </c>
      <c r="P6" s="108" t="str">
        <f>IF(OR('Jogos - Grupos'!F17="",'Jogos - Grupos'!G17=""),"-",IF(OR('Apostas - Grupos'!AD6="",'Apostas - Grupos'!AE6=""),0,IF(AND('Apostas - Grupos'!AD6='Jogos - Grupos'!F17,'Apostas - Grupos'!AE6='Jogos - Grupos'!G17),5,IF(OR(AND('Jogos - Grupos'!F17='Jogos - Grupos'!G17,'Apostas - Grupos'!AD6='Apostas - Grupos'!AE6),AND('Jogos - Grupos'!F17&gt;'Jogos - Grupos'!G17,'Apostas - Grupos'!AD6&gt;'Apostas - Grupos'!AE6),AND('Jogos - Grupos'!F17&lt;'Jogos - Grupos'!G17,'Apostas - Grupos'!AD6&lt;'Apostas - Grupos'!AE6)),IF(('Apostas - Grupos'!AD6-'Apostas - Grupos'!AE6)=('Jogos - Grupos'!F17-'Jogos - Grupos'!G17),3,2),0))))</f>
        <v>-</v>
      </c>
      <c r="Q6" s="108" t="str">
        <f>IF(OR('Jogos - Grupos'!F18="",'Jogos - Grupos'!G18=""),"-",IF(OR('Apostas - Grupos'!AF6="",'Apostas - Grupos'!AG6=""),0,IF(AND('Apostas - Grupos'!AF6='Jogos - Grupos'!F18,'Apostas - Grupos'!AG6='Jogos - Grupos'!G18),5,IF(OR(AND('Jogos - Grupos'!F18='Jogos - Grupos'!G18,'Apostas - Grupos'!AF6='Apostas - Grupos'!AG6),AND('Jogos - Grupos'!F18&gt;'Jogos - Grupos'!G18,'Apostas - Grupos'!AF6&gt;'Apostas - Grupos'!AG6),AND('Jogos - Grupos'!F18&lt;'Jogos - Grupos'!G18,'Apostas - Grupos'!AF6&lt;'Apostas - Grupos'!AG6)),IF(('Apostas - Grupos'!AF6-'Apostas - Grupos'!AG6)=('Jogos - Grupos'!F18-'Jogos - Grupos'!G18),3,2),0))))</f>
        <v>-</v>
      </c>
      <c r="R6" s="108" t="str">
        <f>IF(OR('Jogos - Grupos'!F19="",'Jogos - Grupos'!G19=""),"-",IF(OR('Apostas - Grupos'!AH6="",'Apostas - Grupos'!AI6=""),0,IF(AND('Apostas - Grupos'!AH6='Jogos - Grupos'!F19,'Apostas - Grupos'!AI6='Jogos - Grupos'!G19),5,IF(OR(AND('Jogos - Grupos'!F19='Jogos - Grupos'!G19,'Apostas - Grupos'!AH6='Apostas - Grupos'!AI6),AND('Jogos - Grupos'!F19&gt;'Jogos - Grupos'!G19,'Apostas - Grupos'!AH6&gt;'Apostas - Grupos'!AI6),AND('Jogos - Grupos'!F19&lt;'Jogos - Grupos'!G19,'Apostas - Grupos'!AH6&lt;'Apostas - Grupos'!AI6)),IF(('Apostas - Grupos'!AH6-'Apostas - Grupos'!AI6)=('Jogos - Grupos'!F19-'Jogos - Grupos'!G19),3,2),0))))</f>
        <v>-</v>
      </c>
      <c r="S6" s="108" t="str">
        <f>IF(OR('Jogos - Grupos'!F20="",'Jogos - Grupos'!G20=""),"-",IF(OR('Apostas - Grupos'!AJ6="",'Apostas - Grupos'!AK6=""),0,IF(AND('Apostas - Grupos'!AJ6='Jogos - Grupos'!F20,'Apostas - Grupos'!AK6='Jogos - Grupos'!G20),5,IF(OR(AND('Jogos - Grupos'!F20='Jogos - Grupos'!G20,'Apostas - Grupos'!AJ6='Apostas - Grupos'!AK6),AND('Jogos - Grupos'!F20&gt;'Jogos - Grupos'!G20,'Apostas - Grupos'!AJ6&gt;'Apostas - Grupos'!AK6),AND('Jogos - Grupos'!F20&lt;'Jogos - Grupos'!G20,'Apostas - Grupos'!AJ6&lt;'Apostas - Grupos'!AK6)),IF(('Apostas - Grupos'!AJ6-'Apostas - Grupos'!AK6)=('Jogos - Grupos'!F20-'Jogos - Grupos'!G20),3,2),0))))</f>
        <v>-</v>
      </c>
      <c r="T6" s="108" t="str">
        <f>IF(OR('Jogos - Grupos'!F21="",'Jogos - Grupos'!G21=""),"-",IF(OR('Apostas - Grupos'!AL6="",'Apostas - Grupos'!AM6=""),0,IF(AND('Apostas - Grupos'!AL6='Jogos - Grupos'!F21,'Apostas - Grupos'!AM6='Jogos - Grupos'!G21),5,IF(OR(AND('Jogos - Grupos'!F21='Jogos - Grupos'!G21,'Apostas - Grupos'!AL6='Apostas - Grupos'!AM6),AND('Jogos - Grupos'!F21&gt;'Jogos - Grupos'!G21,'Apostas - Grupos'!AL6&gt;'Apostas - Grupos'!AM6),AND('Jogos - Grupos'!F21&lt;'Jogos - Grupos'!G21,'Apostas - Grupos'!AL6&lt;'Apostas - Grupos'!AM6)),IF(('Apostas - Grupos'!AL6-'Apostas - Grupos'!AM6)=('Jogos - Grupos'!F21-'Jogos - Grupos'!G21),3,2),0))))</f>
        <v>-</v>
      </c>
      <c r="U6" s="108" t="str">
        <f>IF(OR('Jogos - Grupos'!F22="",'Jogos - Grupos'!G22=""),"-",IF(OR('Apostas - Grupos'!AN6="",'Apostas - Grupos'!AO6=""),0,IF(AND('Apostas - Grupos'!AN6='Jogos - Grupos'!F22,'Apostas - Grupos'!AO6='Jogos - Grupos'!G22),5,IF(OR(AND('Jogos - Grupos'!F22='Jogos - Grupos'!G22,'Apostas - Grupos'!AN6='Apostas - Grupos'!AO6),AND('Jogos - Grupos'!F22&gt;'Jogos - Grupos'!G22,'Apostas - Grupos'!AN6&gt;'Apostas - Grupos'!AO6),AND('Jogos - Grupos'!F22&lt;'Jogos - Grupos'!G22,'Apostas - Grupos'!AN6&lt;'Apostas - Grupos'!AO6)),IF(('Apostas - Grupos'!AN6-'Apostas - Grupos'!AO6)=('Jogos - Grupos'!F22-'Jogos - Grupos'!G22),3,2),0))))</f>
        <v>-</v>
      </c>
      <c r="V6" s="108" t="str">
        <f>IF(OR('Jogos - Grupos'!F23="",'Jogos - Grupos'!G23=""),"-",IF(OR('Apostas - Grupos'!AP6="",'Apostas - Grupos'!AQ6=""),0,IF(AND('Apostas - Grupos'!AP6='Jogos - Grupos'!F23,'Apostas - Grupos'!AQ6='Jogos - Grupos'!G23),5,IF(OR(AND('Jogos - Grupos'!F23='Jogos - Grupos'!G23,'Apostas - Grupos'!AP6='Apostas - Grupos'!AQ6),AND('Jogos - Grupos'!F23&gt;'Jogos - Grupos'!G23,'Apostas - Grupos'!AP6&gt;'Apostas - Grupos'!AQ6),AND('Jogos - Grupos'!F23&lt;'Jogos - Grupos'!G23,'Apostas - Grupos'!AP6&lt;'Apostas - Grupos'!AQ6)),IF(('Apostas - Grupos'!AP6-'Apostas - Grupos'!AQ6)=('Jogos - Grupos'!F23-'Jogos - Grupos'!G23),3,2),0))))</f>
        <v>-</v>
      </c>
      <c r="W6" s="108" t="str">
        <f>IF(OR('Jogos - Grupos'!F24="",'Jogos - Grupos'!G24=""),"-",IF(OR('Apostas - Grupos'!AR6="",'Apostas - Grupos'!AS6=""),0,IF(AND('Apostas - Grupos'!AR6='Jogos - Grupos'!F24,'Apostas - Grupos'!AS6='Jogos - Grupos'!G24),5,IF(OR(AND('Jogos - Grupos'!F24='Jogos - Grupos'!G24,'Apostas - Grupos'!AR6='Apostas - Grupos'!AS6),AND('Jogos - Grupos'!F24&gt;'Jogos - Grupos'!G24,'Apostas - Grupos'!AR6&gt;'Apostas - Grupos'!AS6),AND('Jogos - Grupos'!F24&lt;'Jogos - Grupos'!G24,'Apostas - Grupos'!AR6&lt;'Apostas - Grupos'!AS6)),IF(('Apostas - Grupos'!AR6-'Apostas - Grupos'!AS6)=('Jogos - Grupos'!F24-'Jogos - Grupos'!G24),3,2),0))))</f>
        <v>-</v>
      </c>
      <c r="X6" s="108" t="str">
        <f>IF(OR('Jogos - Grupos'!F25="",'Jogos - Grupos'!G25=""),"-",IF(OR('Apostas - Grupos'!AT6="",'Apostas - Grupos'!AU6=""),0,IF(AND('Apostas - Grupos'!AT6='Jogos - Grupos'!F25,'Apostas - Grupos'!AU6='Jogos - Grupos'!G25),5,IF(OR(AND('Jogos - Grupos'!F25='Jogos - Grupos'!G25,'Apostas - Grupos'!AT6='Apostas - Grupos'!AU6),AND('Jogos - Grupos'!F25&gt;'Jogos - Grupos'!G25,'Apostas - Grupos'!AT6&gt;'Apostas - Grupos'!AU6),AND('Jogos - Grupos'!F25&lt;'Jogos - Grupos'!G25,'Apostas - Grupos'!AT6&lt;'Apostas - Grupos'!AU6)),IF(('Apostas - Grupos'!AT6-'Apostas - Grupos'!AU6)=('Jogos - Grupos'!F25-'Jogos - Grupos'!G25),3,2),0))))</f>
        <v>-</v>
      </c>
      <c r="Y6" s="108" t="str">
        <f>IF(OR('Jogos - Grupos'!F26="",'Jogos - Grupos'!G26=""),"-",IF(OR('Apostas - Grupos'!AV6="",'Apostas - Grupos'!AW6=""),0,IF(AND('Apostas - Grupos'!AV6='Jogos - Grupos'!F26,'Apostas - Grupos'!AW6='Jogos - Grupos'!G26),5,IF(OR(AND('Jogos - Grupos'!F26='Jogos - Grupos'!G26,'Apostas - Grupos'!AV6='Apostas - Grupos'!AW6),AND('Jogos - Grupos'!F26&gt;'Jogos - Grupos'!G26,'Apostas - Grupos'!AV6&gt;'Apostas - Grupos'!AW6),AND('Jogos - Grupos'!F26&lt;'Jogos - Grupos'!G26,'Apostas - Grupos'!AV6&lt;'Apostas - Grupos'!AW6)),IF(('Apostas - Grupos'!AV6-'Apostas - Grupos'!AW6)=('Jogos - Grupos'!F26-'Jogos - Grupos'!G26),3,2),0))))</f>
        <v>-</v>
      </c>
      <c r="Z6" s="108" t="str">
        <f>IF(OR('Jogos - Grupos'!F27="",'Jogos - Grupos'!G27=""),"-",IF(OR('Apostas - Grupos'!AX6="",'Apostas - Grupos'!AY6=""),0,IF(AND('Apostas - Grupos'!AX6='Jogos - Grupos'!F27,'Apostas - Grupos'!AY6='Jogos - Grupos'!G27),5,IF(OR(AND('Jogos - Grupos'!F27='Jogos - Grupos'!G27,'Apostas - Grupos'!AX6='Apostas - Grupos'!AY6),AND('Jogos - Grupos'!F27&gt;'Jogos - Grupos'!G27,'Apostas - Grupos'!AX6&gt;'Apostas - Grupos'!AY6),AND('Jogos - Grupos'!F27&lt;'Jogos - Grupos'!G27,'Apostas - Grupos'!AX6&lt;'Apostas - Grupos'!AY6)),IF(('Apostas - Grupos'!AX6-'Apostas - Grupos'!AY6)=('Jogos - Grupos'!F27-'Jogos - Grupos'!G27),3,2),0))))</f>
        <v>-</v>
      </c>
      <c r="AA6" s="108" t="str">
        <f>IF(OR('Jogos - Grupos'!F28="",'Jogos - Grupos'!G28=""),"-",IF(OR('Apostas - Grupos'!AZ6="",'Apostas - Grupos'!BA6=""),0,IF(AND('Apostas - Grupos'!AZ6='Jogos - Grupos'!F28,'Apostas - Grupos'!BA6='Jogos - Grupos'!G28),5,IF(OR(AND('Jogos - Grupos'!F28='Jogos - Grupos'!G28,'Apostas - Grupos'!AZ6='Apostas - Grupos'!BA6),AND('Jogos - Grupos'!F28&gt;'Jogos - Grupos'!G28,'Apostas - Grupos'!AZ6&gt;'Apostas - Grupos'!BA6),AND('Jogos - Grupos'!F28&lt;'Jogos - Grupos'!G28,'Apostas - Grupos'!AZ6&lt;'Apostas - Grupos'!BA6)),IF(('Apostas - Grupos'!AZ6-'Apostas - Grupos'!BA6)=('Jogos - Grupos'!F28-'Jogos - Grupos'!G28),3,2),0))))</f>
        <v>-</v>
      </c>
      <c r="AB6" s="108" t="str">
        <f>IF(OR('Jogos - Grupos'!F29="",'Jogos - Grupos'!G29=""),"-",IF(OR('Apostas - Grupos'!BB6="",'Apostas - Grupos'!BC6=""),0,IF(AND('Apostas - Grupos'!BB6='Jogos - Grupos'!F29,'Apostas - Grupos'!BC6='Jogos - Grupos'!G29),5,IF(OR(AND('Jogos - Grupos'!F29='Jogos - Grupos'!G29,'Apostas - Grupos'!BB6='Apostas - Grupos'!BC6),AND('Jogos - Grupos'!F29&gt;'Jogos - Grupos'!G29,'Apostas - Grupos'!BB6&gt;'Apostas - Grupos'!BC6),AND('Jogos - Grupos'!F29&lt;'Jogos - Grupos'!G29,'Apostas - Grupos'!BB6&lt;'Apostas - Grupos'!BC6)),IF(('Apostas - Grupos'!BB6-'Apostas - Grupos'!BC6)=('Jogos - Grupos'!F29-'Jogos - Grupos'!G29),3,2),0))))</f>
        <v>-</v>
      </c>
      <c r="AC6" s="108" t="str">
        <f>IF(OR('Jogos - Grupos'!F30="",'Jogos - Grupos'!G30=""),"-",IF(OR('Apostas - Grupos'!BD6="",'Apostas - Grupos'!BE6=""),0,IF(AND('Apostas - Grupos'!BD6='Jogos - Grupos'!F30,'Apostas - Grupos'!BE6='Jogos - Grupos'!G30),5,IF(OR(AND('Jogos - Grupos'!F30='Jogos - Grupos'!G30,'Apostas - Grupos'!BD6='Apostas - Grupos'!BE6),AND('Jogos - Grupos'!F30&gt;'Jogos - Grupos'!G30,'Apostas - Grupos'!BD6&gt;'Apostas - Grupos'!BE6),AND('Jogos - Grupos'!F30&lt;'Jogos - Grupos'!G30,'Apostas - Grupos'!BD6&lt;'Apostas - Grupos'!BE6)),IF(('Apostas - Grupos'!BD6-'Apostas - Grupos'!BE6)=('Jogos - Grupos'!F30-'Jogos - Grupos'!G30),3,2),0))))</f>
        <v>-</v>
      </c>
      <c r="AD6" s="108" t="str">
        <f>IF(OR('Jogos - Grupos'!F31="",'Jogos - Grupos'!G31=""),"-",IF(OR('Apostas - Grupos'!BF6="",'Apostas - Grupos'!BG6=""),0,IF(AND('Apostas - Grupos'!BF6='Jogos - Grupos'!F31,'Apostas - Grupos'!BG6='Jogos - Grupos'!G31),5,IF(OR(AND('Jogos - Grupos'!F31='Jogos - Grupos'!G31,'Apostas - Grupos'!BF6='Apostas - Grupos'!BG6),AND('Jogos - Grupos'!F31&gt;'Jogos - Grupos'!G31,'Apostas - Grupos'!BF6&gt;'Apostas - Grupos'!BG6),AND('Jogos - Grupos'!F31&lt;'Jogos - Grupos'!G31,'Apostas - Grupos'!BF6&lt;'Apostas - Grupos'!BG6)),IF(('Apostas - Grupos'!BF6-'Apostas - Grupos'!BG6)=('Jogos - Grupos'!F31-'Jogos - Grupos'!G31),3,2),0))))</f>
        <v>-</v>
      </c>
      <c r="AE6" s="108" t="str">
        <f>IF(OR('Jogos - Grupos'!F32="",'Jogos - Grupos'!G32=""),"-",IF(OR('Apostas - Grupos'!BH6="",'Apostas - Grupos'!BI6=""),0,IF(AND('Apostas - Grupos'!BH6='Jogos - Grupos'!F32,'Apostas - Grupos'!BI6='Jogos - Grupos'!G32),5,IF(OR(AND('Jogos - Grupos'!F32='Jogos - Grupos'!G32,'Apostas - Grupos'!BH6='Apostas - Grupos'!BI6),AND('Jogos - Grupos'!F32&gt;'Jogos - Grupos'!G32,'Apostas - Grupos'!BH6&gt;'Apostas - Grupos'!BI6),AND('Jogos - Grupos'!F32&lt;'Jogos - Grupos'!G32,'Apostas - Grupos'!BH6&lt;'Apostas - Grupos'!BI6)),IF(('Apostas - Grupos'!BH6-'Apostas - Grupos'!BI6)=('Jogos - Grupos'!F32-'Jogos - Grupos'!G32),3,2),0))))</f>
        <v>-</v>
      </c>
      <c r="AF6" s="108" t="str">
        <f>IF(OR('Jogos - Grupos'!F33="",'Jogos - Grupos'!G33=""),"-",IF(OR('Apostas - Grupos'!BJ6="",'Apostas - Grupos'!BK6=""),0,IF(AND('Apostas - Grupos'!BJ6='Jogos - Grupos'!F33,'Apostas - Grupos'!BK6='Jogos - Grupos'!G33),5,IF(OR(AND('Jogos - Grupos'!F33='Jogos - Grupos'!G33,'Apostas - Grupos'!BJ6='Apostas - Grupos'!BK6),AND('Jogos - Grupos'!F33&gt;'Jogos - Grupos'!G33,'Apostas - Grupos'!BJ6&gt;'Apostas - Grupos'!BK6),AND('Jogos - Grupos'!F33&lt;'Jogos - Grupos'!G33,'Apostas - Grupos'!BJ6&lt;'Apostas - Grupos'!BK6)),IF(('Apostas - Grupos'!BJ6-'Apostas - Grupos'!BK6)=('Jogos - Grupos'!F33-'Jogos - Grupos'!G33),3,2),0))))</f>
        <v>-</v>
      </c>
      <c r="AG6" s="108" t="str">
        <f>IF(OR('Jogos - Grupos'!F34="",'Jogos - Grupos'!G34=""),"-",IF(OR('Apostas - Grupos'!BL6="",'Apostas - Grupos'!BM6=""),0,IF(AND('Apostas - Grupos'!BL6='Jogos - Grupos'!F34,'Apostas - Grupos'!BM6='Jogos - Grupos'!G34),5,IF(OR(AND('Jogos - Grupos'!F34='Jogos - Grupos'!G34,'Apostas - Grupos'!BL6='Apostas - Grupos'!BM6),AND('Jogos - Grupos'!F34&gt;'Jogos - Grupos'!G34,'Apostas - Grupos'!BL6&gt;'Apostas - Grupos'!BM6),AND('Jogos - Grupos'!F34&lt;'Jogos - Grupos'!G34,'Apostas - Grupos'!BL6&lt;'Apostas - Grupos'!BM6)),IF(('Apostas - Grupos'!BL6-'Apostas - Grupos'!BM6)=('Jogos - Grupos'!F34-'Jogos - Grupos'!G34),3,2),0))))</f>
        <v>-</v>
      </c>
      <c r="AH6" s="108" t="str">
        <f>IF(OR('Jogos - Grupos'!F35="",'Jogos - Grupos'!G35=""),"-",IF(OR('Apostas - Grupos'!BN6="",'Apostas - Grupos'!BO6=""),0,IF(AND('Apostas - Grupos'!BN6='Jogos - Grupos'!F35,'Apostas - Grupos'!BO6='Jogos - Grupos'!G35),5,IF(OR(AND('Jogos - Grupos'!F35='Jogos - Grupos'!G35,'Apostas - Grupos'!BN6='Apostas - Grupos'!BO6),AND('Jogos - Grupos'!F35&gt;'Jogos - Grupos'!G35,'Apostas - Grupos'!BN6&gt;'Apostas - Grupos'!BO6),AND('Jogos - Grupos'!F35&lt;'Jogos - Grupos'!G35,'Apostas - Grupos'!BN6&lt;'Apostas - Grupos'!BO6)),IF(('Apostas - Grupos'!BN6-'Apostas - Grupos'!BO6)=('Jogos - Grupos'!F35-'Jogos - Grupos'!G35),3,2),0))))</f>
        <v>-</v>
      </c>
      <c r="AI6" s="108" t="str">
        <f>IF(OR('Jogos - Grupos'!F36="",'Jogos - Grupos'!G36=""),"-",IF(OR('Apostas - Grupos'!BP6="",'Apostas - Grupos'!BQ6=""),0,IF(AND('Apostas - Grupos'!BP6='Jogos - Grupos'!F36,'Apostas - Grupos'!BQ6='Jogos - Grupos'!G36),5,IF(OR(AND('Jogos - Grupos'!F36='Jogos - Grupos'!G36,'Apostas - Grupos'!BP6='Apostas - Grupos'!BQ6),AND('Jogos - Grupos'!F36&gt;'Jogos - Grupos'!G36,'Apostas - Grupos'!BP6&gt;'Apostas - Grupos'!BQ6),AND('Jogos - Grupos'!F36&lt;'Jogos - Grupos'!G36,'Apostas - Grupos'!BP6&lt;'Apostas - Grupos'!BQ6)),IF(('Apostas - Grupos'!BP6-'Apostas - Grupos'!BQ6)=('Jogos - Grupos'!F36-'Jogos - Grupos'!G36),3,2),0))))</f>
        <v>-</v>
      </c>
      <c r="AJ6" s="108" t="str">
        <f>IF(OR('Jogos - Grupos'!F37="",'Jogos - Grupos'!G37=""),"-",IF(OR('Apostas - Grupos'!BR6="",'Apostas - Grupos'!BS6=""),0,IF(AND('Apostas - Grupos'!BR6='Jogos - Grupos'!F37,'Apostas - Grupos'!BS6='Jogos - Grupos'!G37),5,IF(OR(AND('Jogos - Grupos'!F37='Jogos - Grupos'!G37,'Apostas - Grupos'!BR6='Apostas - Grupos'!BS6),AND('Jogos - Grupos'!F37&gt;'Jogos - Grupos'!G37,'Apostas - Grupos'!BR6&gt;'Apostas - Grupos'!BS6),AND('Jogos - Grupos'!F37&lt;'Jogos - Grupos'!G37,'Apostas - Grupos'!BR6&lt;'Apostas - Grupos'!BS6)),IF(('Apostas - Grupos'!BR6-'Apostas - Grupos'!BS6)=('Jogos - Grupos'!F37-'Jogos - Grupos'!G37),3,2),0))))</f>
        <v>-</v>
      </c>
      <c r="AK6" s="108" t="str">
        <f>IF(OR('Jogos - Grupos'!F38="",'Jogos - Grupos'!G38=""),"-",IF(OR('Apostas - Grupos'!BT6="",'Apostas - Grupos'!BU6=""),0,IF(AND('Apostas - Grupos'!BT6='Jogos - Grupos'!F38,'Apostas - Grupos'!BU6='Jogos - Grupos'!G38),5,IF(OR(AND('Jogos - Grupos'!F38='Jogos - Grupos'!G38,'Apostas - Grupos'!BT6='Apostas - Grupos'!BU6),AND('Jogos - Grupos'!F38&gt;'Jogos - Grupos'!G38,'Apostas - Grupos'!BT6&gt;'Apostas - Grupos'!BU6),AND('Jogos - Grupos'!F38&lt;'Jogos - Grupos'!G38,'Apostas - Grupos'!BT6&lt;'Apostas - Grupos'!BU6)),IF(('Apostas - Grupos'!BT6-'Apostas - Grupos'!BU6)=('Jogos - Grupos'!F38-'Jogos - Grupos'!G38),3,2),0))))</f>
        <v>-</v>
      </c>
      <c r="AL6" s="108" t="str">
        <f>IF(OR('Jogos - Grupos'!F39="",'Jogos - Grupos'!G39=""),"-",IF(OR('Apostas - Grupos'!BV6="",'Apostas - Grupos'!BW6=""),0,IF(AND('Apostas - Grupos'!BV6='Jogos - Grupos'!F39,'Apostas - Grupos'!BW6='Jogos - Grupos'!G39),5,IF(OR(AND('Jogos - Grupos'!F39='Jogos - Grupos'!G39,'Apostas - Grupos'!BV6='Apostas - Grupos'!BW6),AND('Jogos - Grupos'!F39&gt;'Jogos - Grupos'!G39,'Apostas - Grupos'!BV6&gt;'Apostas - Grupos'!BW6),AND('Jogos - Grupos'!F39&lt;'Jogos - Grupos'!G39,'Apostas - Grupos'!BV6&lt;'Apostas - Grupos'!BW6)),IF(('Apostas - Grupos'!BV6-'Apostas - Grupos'!BW6)=('Jogos - Grupos'!F39-'Jogos - Grupos'!G39),3,2),0))))</f>
        <v>-</v>
      </c>
      <c r="AM6" s="108" t="str">
        <f>IF(OR('Jogos - Grupos'!F40="",'Jogos - Grupos'!G40=""),"-",IF(OR('Apostas - Grupos'!BX6="",'Apostas - Grupos'!BY6=""),0,IF(AND('Apostas - Grupos'!BX6='Jogos - Grupos'!F40,'Apostas - Grupos'!BY6='Jogos - Grupos'!G40),5,IF(OR(AND('Jogos - Grupos'!F40='Jogos - Grupos'!G40,'Apostas - Grupos'!BX6='Apostas - Grupos'!BY6),AND('Jogos - Grupos'!F40&gt;'Jogos - Grupos'!G40,'Apostas - Grupos'!BX6&gt;'Apostas - Grupos'!BY6),AND('Jogos - Grupos'!F40&lt;'Jogos - Grupos'!G40,'Apostas - Grupos'!BX6&lt;'Apostas - Grupos'!BY6)),IF(('Apostas - Grupos'!BX6-'Apostas - Grupos'!BY6)=('Jogos - Grupos'!F40-'Jogos - Grupos'!G40),3,2),0))))</f>
        <v>-</v>
      </c>
      <c r="AN6" s="108" t="str">
        <f>IF(OR('Jogos - Grupos'!F41="",'Jogos - Grupos'!G41=""),"-",IF(OR('Apostas - Grupos'!BZ6="",'Apostas - Grupos'!CA6=""),0,IF(AND('Apostas - Grupos'!BZ6='Jogos - Grupos'!F41,'Apostas - Grupos'!CA6='Jogos - Grupos'!G41),5,IF(OR(AND('Jogos - Grupos'!F41='Jogos - Grupos'!G41,'Apostas - Grupos'!BZ6='Apostas - Grupos'!CA6),AND('Jogos - Grupos'!F41&gt;'Jogos - Grupos'!G41,'Apostas - Grupos'!BZ6&gt;'Apostas - Grupos'!CA6),AND('Jogos - Grupos'!F41&lt;'Jogos - Grupos'!G41,'Apostas - Grupos'!BZ6&lt;'Apostas - Grupos'!CA6)),IF(('Apostas - Grupos'!BZ6-'Apostas - Grupos'!CA6)=('Jogos - Grupos'!F41-'Jogos - Grupos'!G41),3,2),0))))</f>
        <v>-</v>
      </c>
      <c r="AO6" s="108" t="str">
        <f>IF(OR('Jogos - Grupos'!F42="",'Jogos - Grupos'!G42=""),"-",IF(OR('Apostas - Grupos'!CB6="",'Apostas - Grupos'!CC6=""),0,IF(AND('Apostas - Grupos'!CB6='Jogos - Grupos'!F42,'Apostas - Grupos'!CC6='Jogos - Grupos'!G42),5,IF(OR(AND('Jogos - Grupos'!F42='Jogos - Grupos'!G42,'Apostas - Grupos'!CB6='Apostas - Grupos'!CC6),AND('Jogos - Grupos'!F42&gt;'Jogos - Grupos'!G42,'Apostas - Grupos'!CB6&gt;'Apostas - Grupos'!CC6),AND('Jogos - Grupos'!F42&lt;'Jogos - Grupos'!G42,'Apostas - Grupos'!CB6&lt;'Apostas - Grupos'!CC6)),IF(('Apostas - Grupos'!CB6-'Apostas - Grupos'!CC6)=('Jogos - Grupos'!F42-'Jogos - Grupos'!G42),3,2),0))))</f>
        <v>-</v>
      </c>
      <c r="AP6" s="108" t="str">
        <f>IF(OR('Jogos - Grupos'!F43="",'Jogos - Grupos'!G43=""),"-",IF(OR('Apostas - Grupos'!CD6="",'Apostas - Grupos'!CE6=""),0,IF(AND('Apostas - Grupos'!CD6='Jogos - Grupos'!F43,'Apostas - Grupos'!CE6='Jogos - Grupos'!G43),5,IF(OR(AND('Jogos - Grupos'!F43='Jogos - Grupos'!G43,'Apostas - Grupos'!CD6='Apostas - Grupos'!CE6),AND('Jogos - Grupos'!F43&gt;'Jogos - Grupos'!G43,'Apostas - Grupos'!CD6&gt;'Apostas - Grupos'!CE6),AND('Jogos - Grupos'!F43&lt;'Jogos - Grupos'!G43,'Apostas - Grupos'!CD6&lt;'Apostas - Grupos'!CE6)),IF(('Apostas - Grupos'!CD6-'Apostas - Grupos'!CE6)=('Jogos - Grupos'!F43-'Jogos - Grupos'!G43),3,2),0))))</f>
        <v>-</v>
      </c>
      <c r="AQ6" s="108" t="str">
        <f>IF(OR('Jogos - Grupos'!F44="",'Jogos - Grupos'!G44=""),"-",IF(OR('Apostas - Grupos'!CF6="",'Apostas - Grupos'!CG6=""),0,IF(AND('Apostas - Grupos'!CF6='Jogos - Grupos'!F44,'Apostas - Grupos'!CG6='Jogos - Grupos'!G44),5,IF(OR(AND('Jogos - Grupos'!F44='Jogos - Grupos'!G44,'Apostas - Grupos'!CF6='Apostas - Grupos'!CG6),AND('Jogos - Grupos'!F44&gt;'Jogos - Grupos'!G44,'Apostas - Grupos'!CF6&gt;'Apostas - Grupos'!CG6),AND('Jogos - Grupos'!F44&lt;'Jogos - Grupos'!G44,'Apostas - Grupos'!CF6&lt;'Apostas - Grupos'!CG6)),IF(('Apostas - Grupos'!CF6-'Apostas - Grupos'!CG6)=('Jogos - Grupos'!F44-'Jogos - Grupos'!G44),3,2),0))))</f>
        <v>-</v>
      </c>
      <c r="AR6" s="108" t="str">
        <f>IF(OR('Jogos - Grupos'!F45="",'Jogos - Grupos'!G45=""),"-",IF(OR('Apostas - Grupos'!CH6="",'Apostas - Grupos'!CI6=""),0,IF(AND('Apostas - Grupos'!CH6='Jogos - Grupos'!F45,'Apostas - Grupos'!CI6='Jogos - Grupos'!G45),5,IF(OR(AND('Jogos - Grupos'!F45='Jogos - Grupos'!G45,'Apostas - Grupos'!CH6='Apostas - Grupos'!CI6),AND('Jogos - Grupos'!F45&gt;'Jogos - Grupos'!G45,'Apostas - Grupos'!CH6&gt;'Apostas - Grupos'!CI6),AND('Jogos - Grupos'!F45&lt;'Jogos - Grupos'!G45,'Apostas - Grupos'!CH6&lt;'Apostas - Grupos'!CI6)),IF(('Apostas - Grupos'!CH6-'Apostas - Grupos'!CI6)=('Jogos - Grupos'!F45-'Jogos - Grupos'!G45),3,2),0))))</f>
        <v>-</v>
      </c>
      <c r="AS6" s="108" t="str">
        <f>IF(OR('Jogos - Grupos'!F46="",'Jogos - Grupos'!G46=""),"-",IF(OR('Apostas - Grupos'!CJ6="",'Apostas - Grupos'!CK6=""),0,IF(AND('Apostas - Grupos'!CJ6='Jogos - Grupos'!F46,'Apostas - Grupos'!CK6='Jogos - Grupos'!G46),5,IF(OR(AND('Jogos - Grupos'!F46='Jogos - Grupos'!G46,'Apostas - Grupos'!CJ6='Apostas - Grupos'!CK6),AND('Jogos - Grupos'!F46&gt;'Jogos - Grupos'!G46,'Apostas - Grupos'!CJ6&gt;'Apostas - Grupos'!CK6),AND('Jogos - Grupos'!F46&lt;'Jogos - Grupos'!G46,'Apostas - Grupos'!CJ6&lt;'Apostas - Grupos'!CK6)),IF(('Apostas - Grupos'!CJ6-'Apostas - Grupos'!CK6)=('Jogos - Grupos'!F46-'Jogos - Grupos'!G46),3,2),0))))</f>
        <v>-</v>
      </c>
      <c r="AT6" s="108" t="str">
        <f>IF(OR('Jogos - Grupos'!F47="",'Jogos - Grupos'!G47=""),"-",IF(OR('Apostas - Grupos'!CL6="",'Apostas - Grupos'!CM6=""),0,IF(AND('Apostas - Grupos'!CL6='Jogos - Grupos'!F47,'Apostas - Grupos'!CM6='Jogos - Grupos'!G47),5,IF(OR(AND('Jogos - Grupos'!F47='Jogos - Grupos'!G47,'Apostas - Grupos'!CL6='Apostas - Grupos'!CM6),AND('Jogos - Grupos'!F47&gt;'Jogos - Grupos'!G47,'Apostas - Grupos'!CL6&gt;'Apostas - Grupos'!CM6),AND('Jogos - Grupos'!F47&lt;'Jogos - Grupos'!G47,'Apostas - Grupos'!CL6&lt;'Apostas - Grupos'!CM6)),IF(('Apostas - Grupos'!CL6-'Apostas - Grupos'!CM6)=('Jogos - Grupos'!F47-'Jogos - Grupos'!G47),3,2),0))))</f>
        <v>-</v>
      </c>
      <c r="AU6" s="108" t="str">
        <f>IF(OR('Jogos - Grupos'!F48="",'Jogos - Grupos'!G48=""),"-",IF(OR('Apostas - Grupos'!CN6="",'Apostas - Grupos'!CO6=""),0,IF(AND('Apostas - Grupos'!CN6='Jogos - Grupos'!F48,'Apostas - Grupos'!CO6='Jogos - Grupos'!G48),5,IF(OR(AND('Jogos - Grupos'!F48='Jogos - Grupos'!G48,'Apostas - Grupos'!CN6='Apostas - Grupos'!CO6),AND('Jogos - Grupos'!F48&gt;'Jogos - Grupos'!G48,'Apostas - Grupos'!CN6&gt;'Apostas - Grupos'!CO6),AND('Jogos - Grupos'!F48&lt;'Jogos - Grupos'!G48,'Apostas - Grupos'!CN6&lt;'Apostas - Grupos'!CO6)),IF(('Apostas - Grupos'!CN6-'Apostas - Grupos'!CO6)=('Jogos - Grupos'!F48-'Jogos - Grupos'!G48),3,2),0))))</f>
        <v>-</v>
      </c>
      <c r="AV6" s="108" t="str">
        <f>IF(OR('Jogos - Grupos'!F49="",'Jogos - Grupos'!G49=""),"-",IF(OR('Apostas - Grupos'!CP6="",'Apostas - Grupos'!CQ6=""),0,IF(AND('Apostas - Grupos'!CP6='Jogos - Grupos'!F49,'Apostas - Grupos'!CQ6='Jogos - Grupos'!G49),5,IF(OR(AND('Jogos - Grupos'!F49='Jogos - Grupos'!G49,'Apostas - Grupos'!CP6='Apostas - Grupos'!CQ6),AND('Jogos - Grupos'!F49&gt;'Jogos - Grupos'!G49,'Apostas - Grupos'!CP6&gt;'Apostas - Grupos'!CQ6),AND('Jogos - Grupos'!F49&lt;'Jogos - Grupos'!G49,'Apostas - Grupos'!CP6&lt;'Apostas - Grupos'!CQ6)),IF(('Apostas - Grupos'!CP6-'Apostas - Grupos'!CQ6)=('Jogos - Grupos'!F49-'Jogos - Grupos'!G49),3,2),0))))</f>
        <v>-</v>
      </c>
      <c r="AW6" s="108" t="str">
        <f>IF(OR('Jogos - Grupos'!F50="",'Jogos - Grupos'!G50=""),"-",IF(OR('Apostas - Grupos'!CR6="",'Apostas - Grupos'!CS6=""),0,IF(AND('Apostas - Grupos'!CR6='Jogos - Grupos'!F50,'Apostas - Grupos'!CS6='Jogos - Grupos'!G50),5,IF(OR(AND('Jogos - Grupos'!F50='Jogos - Grupos'!G50,'Apostas - Grupos'!CR6='Apostas - Grupos'!CS6),AND('Jogos - Grupos'!F50&gt;'Jogos - Grupos'!G50,'Apostas - Grupos'!CR6&gt;'Apostas - Grupos'!CS6),AND('Jogos - Grupos'!F50&lt;'Jogos - Grupos'!G50,'Apostas - Grupos'!CR6&lt;'Apostas - Grupos'!CS6)),IF(('Apostas - Grupos'!CR6-'Apostas - Grupos'!CS6)=('Jogos - Grupos'!F50-'Jogos - Grupos'!G50),3,2),0))))</f>
        <v>-</v>
      </c>
      <c r="AX6" s="108" t="str">
        <f>IF(OR('Jogos - Grupos'!F51="",'Jogos - Grupos'!G51=""),"-",IF(OR('Apostas - Grupos'!CT6="",'Apostas - Grupos'!CU6=""),0,IF(AND('Apostas - Grupos'!CT6='Jogos - Grupos'!F51,'Apostas - Grupos'!CU6='Jogos - Grupos'!G51),5,IF(OR(AND('Jogos - Grupos'!F51='Jogos - Grupos'!G51,'Apostas - Grupos'!CT6='Apostas - Grupos'!CU6),AND('Jogos - Grupos'!F51&gt;'Jogos - Grupos'!G51,'Apostas - Grupos'!CT6&gt;'Apostas - Grupos'!CU6),AND('Jogos - Grupos'!F51&lt;'Jogos - Grupos'!G51,'Apostas - Grupos'!CT6&lt;'Apostas - Grupos'!CU6)),IF(('Apostas - Grupos'!CT6-'Apostas - Grupos'!CU6)=('Jogos - Grupos'!F51-'Jogos - Grupos'!G51),3,2),0))))</f>
        <v>-</v>
      </c>
      <c r="AY6" s="108" t="str">
        <f>IF(OR('Jogos - Grupos'!F52="",'Jogos - Grupos'!G52=""),"-",IF(OR('Apostas - Grupos'!CV6="",'Apostas - Grupos'!CW6=""),0,IF(AND('Apostas - Grupos'!CV6='Jogos - Grupos'!F52,'Apostas - Grupos'!CW6='Jogos - Grupos'!G52),5,IF(OR(AND('Jogos - Grupos'!F52='Jogos - Grupos'!G52,'Apostas - Grupos'!CV6='Apostas - Grupos'!CW6),AND('Jogos - Grupos'!F52&gt;'Jogos - Grupos'!G52,'Apostas - Grupos'!CV6&gt;'Apostas - Grupos'!CW6),AND('Jogos - Grupos'!F52&lt;'Jogos - Grupos'!G52,'Apostas - Grupos'!CV6&lt;'Apostas - Grupos'!CW6)),IF(('Apostas - Grupos'!CV6-'Apostas - Grupos'!CW6)=('Jogos - Grupos'!F52-'Jogos - Grupos'!G52),3,2),0))))</f>
        <v>-</v>
      </c>
      <c r="AZ6" s="108" t="str">
        <f>IF(OR('Jogos - Grupos'!F53="",'Jogos - Grupos'!G53=""),"-",IF(OR('Apostas - Grupos'!CX6="",'Apostas - Grupos'!CY6=""),0,IF(AND('Apostas - Grupos'!CX6='Jogos - Grupos'!F53,'Apostas - Grupos'!CY6='Jogos - Grupos'!G53),5,IF(OR(AND('Jogos - Grupos'!F53='Jogos - Grupos'!G53,'Apostas - Grupos'!CX6='Apostas - Grupos'!CY6),AND('Jogos - Grupos'!F53&gt;'Jogos - Grupos'!G53,'Apostas - Grupos'!CX6&gt;'Apostas - Grupos'!CY6),AND('Jogos - Grupos'!F53&lt;'Jogos - Grupos'!G53,'Apostas - Grupos'!CX6&lt;'Apostas - Grupos'!CY6)),IF(('Apostas - Grupos'!CX6-'Apostas - Grupos'!CY6)=('Jogos - Grupos'!F53-'Jogos - Grupos'!G53),3,2),0))))</f>
        <v>-</v>
      </c>
      <c r="BA6" s="108" t="str">
        <f>IF(OR('Jogos - Grupos'!F54="",'Jogos - Grupos'!G54=""),"-",IF(OR('Apostas - Grupos'!CZ6="",'Apostas - Grupos'!DA6=""),0,IF(AND('Apostas - Grupos'!CZ6='Jogos - Grupos'!F54,'Apostas - Grupos'!DA6='Jogos - Grupos'!G54),5,IF(OR(AND('Jogos - Grupos'!F54='Jogos - Grupos'!G54,'Apostas - Grupos'!CZ6='Apostas - Grupos'!DA6),AND('Jogos - Grupos'!F54&gt;'Jogos - Grupos'!G54,'Apostas - Grupos'!CZ6&gt;'Apostas - Grupos'!DA6),AND('Jogos - Grupos'!F54&lt;'Jogos - Grupos'!G54,'Apostas - Grupos'!CZ6&lt;'Apostas - Grupos'!DA6)),IF(('Apostas - Grupos'!CZ6-'Apostas - Grupos'!DA6)=('Jogos - Grupos'!F54-'Jogos - Grupos'!G54),3,2),0))))</f>
        <v>-</v>
      </c>
      <c r="BB6" s="108" t="str">
        <f>IF(OR('Jogos - Grupos'!F55="",'Jogos - Grupos'!G55=""),"-",IF(OR('Apostas - Grupos'!DB6="",'Apostas - Grupos'!DC6=""),0,IF(AND('Apostas - Grupos'!DB6='Jogos - Grupos'!F55,'Apostas - Grupos'!DC6='Jogos - Grupos'!G55),5,IF(OR(AND('Jogos - Grupos'!F55='Jogos - Grupos'!G55,'Apostas - Grupos'!DB6='Apostas - Grupos'!DC6),AND('Jogos - Grupos'!F55&gt;'Jogos - Grupos'!G55,'Apostas - Grupos'!DB6&gt;'Apostas - Grupos'!DC6),AND('Jogos - Grupos'!F55&lt;'Jogos - Grupos'!G55,'Apostas - Grupos'!DB6&lt;'Apostas - Grupos'!DC6)),IF(('Apostas - Grupos'!DB6-'Apostas - Grupos'!DC6)=('Jogos - Grupos'!F55-'Jogos - Grupos'!G55),3,2),0))))</f>
        <v>-</v>
      </c>
      <c r="BC6" s="108" t="str">
        <f>IF(OR('Jogos - Grupos'!F56="",'Jogos - Grupos'!G56=""),"-",IF(OR('Apostas - Grupos'!DD6="",'Apostas - Grupos'!DE6=""),0,IF(AND('Apostas - Grupos'!DD6='Jogos - Grupos'!F56,'Apostas - Grupos'!DE6='Jogos - Grupos'!G56),5,IF(OR(AND('Jogos - Grupos'!F56='Jogos - Grupos'!G56,'Apostas - Grupos'!DD6='Apostas - Grupos'!DE6),AND('Jogos - Grupos'!F56&gt;'Jogos - Grupos'!G56,'Apostas - Grupos'!DD6&gt;'Apostas - Grupos'!DE6),AND('Jogos - Grupos'!F56&lt;'Jogos - Grupos'!G56,'Apostas - Grupos'!DD6&lt;'Apostas - Grupos'!DE6)),IF(('Apostas - Grupos'!DD6-'Apostas - Grupos'!DE6)=('Jogos - Grupos'!F56-'Jogos - Grupos'!G56),3,2),0))))</f>
        <v>-</v>
      </c>
      <c r="BD6" s="108" t="str">
        <f>IF(OR('Jogos - Grupos'!F57="",'Jogos - Grupos'!G57=""),"-",IF(OR('Apostas - Grupos'!DF6="",'Apostas - Grupos'!DG6=""),0,IF(AND('Apostas - Grupos'!DF6='Jogos - Grupos'!F57,'Apostas - Grupos'!DG6='Jogos - Grupos'!G57),5,IF(OR(AND('Jogos - Grupos'!F57='Jogos - Grupos'!G57,'Apostas - Grupos'!DF6='Apostas - Grupos'!DG6),AND('Jogos - Grupos'!F57&gt;'Jogos - Grupos'!G57,'Apostas - Grupos'!DF6&gt;'Apostas - Grupos'!DG6),AND('Jogos - Grupos'!F57&lt;'Jogos - Grupos'!G57,'Apostas - Grupos'!DF6&lt;'Apostas - Grupos'!DG6)),IF(('Apostas - Grupos'!DF6-'Apostas - Grupos'!DG6)=('Jogos - Grupos'!F57-'Jogos - Grupos'!G57),3,2),0))))</f>
        <v>-</v>
      </c>
      <c r="BE6" s="108" t="str">
        <f>IF(OR('Jogos - Grupos'!F58="",'Jogos - Grupos'!G58=""),"-",IF(OR('Apostas - Grupos'!DH6="",'Apostas - Grupos'!DI6=""),0,IF(AND('Apostas - Grupos'!DH6='Jogos - Grupos'!F58,'Apostas - Grupos'!DI6='Jogos - Grupos'!G58),5,IF(OR(AND('Jogos - Grupos'!F58='Jogos - Grupos'!G58,'Apostas - Grupos'!DH6='Apostas - Grupos'!DI6),AND('Jogos - Grupos'!F58&gt;'Jogos - Grupos'!G58,'Apostas - Grupos'!DH6&gt;'Apostas - Grupos'!DI6),AND('Jogos - Grupos'!F58&lt;'Jogos - Grupos'!G58,'Apostas - Grupos'!DH6&lt;'Apostas - Grupos'!DI6)),IF(('Apostas - Grupos'!DH6-'Apostas - Grupos'!DI6)=('Jogos - Grupos'!F58-'Jogos - Grupos'!G58),3,2),0))))</f>
        <v>-</v>
      </c>
      <c r="BF6" s="108" t="str">
        <f>IF(OR('Jogos - Grupos'!F59="",'Jogos - Grupos'!G59=""),"-",IF(OR('Apostas - Grupos'!DJ6="",'Apostas - Grupos'!DK6=""),0,IF(AND('Apostas - Grupos'!DJ6='Jogos - Grupos'!F59,'Apostas - Grupos'!DK6='Jogos - Grupos'!G59),5,IF(OR(AND('Jogos - Grupos'!F59='Jogos - Grupos'!G59,'Apostas - Grupos'!DJ6='Apostas - Grupos'!DK6),AND('Jogos - Grupos'!F59&gt;'Jogos - Grupos'!G59,'Apostas - Grupos'!DJ6&gt;'Apostas - Grupos'!DK6),AND('Jogos - Grupos'!F59&lt;'Jogos - Grupos'!G59,'Apostas - Grupos'!DJ6&lt;'Apostas - Grupos'!DK6)),IF(('Apostas - Grupos'!DJ6-'Apostas - Grupos'!DK6)=('Jogos - Grupos'!F59-'Jogos - Grupos'!G59),3,2),0))))</f>
        <v>-</v>
      </c>
      <c r="BG6" s="108" t="str">
        <f>IF(OR('Jogos - Grupos'!F60="",'Jogos - Grupos'!G60=""),"-",IF(OR('Apostas - Grupos'!DL6="",'Apostas - Grupos'!DM6=""),0,IF(AND('Apostas - Grupos'!DL6='Jogos - Grupos'!F60,'Apostas - Grupos'!DM6='Jogos - Grupos'!G60),5,IF(OR(AND('Jogos - Grupos'!F60='Jogos - Grupos'!G60,'Apostas - Grupos'!DL6='Apostas - Grupos'!DM6),AND('Jogos - Grupos'!F60&gt;'Jogos - Grupos'!G60,'Apostas - Grupos'!DL6&gt;'Apostas - Grupos'!DM6),AND('Jogos - Grupos'!F60&lt;'Jogos - Grupos'!G60,'Apostas - Grupos'!DL6&lt;'Apostas - Grupos'!DM6)),IF(('Apostas - Grupos'!DL6-'Apostas - Grupos'!DM6)=('Jogos - Grupos'!F60-'Jogos - Grupos'!G60),3,2),0))))</f>
        <v>-</v>
      </c>
      <c r="BH6" s="108" t="str">
        <f>IF(OR('Jogos - Grupos'!F61="",'Jogos - Grupos'!G61=""),"-",IF(OR('Apostas - Grupos'!DN6="",'Apostas - Grupos'!DO6=""),0,IF(AND('Apostas - Grupos'!DN6='Jogos - Grupos'!F61,'Apostas - Grupos'!DO6='Jogos - Grupos'!G61),5,IF(OR(AND('Jogos - Grupos'!F61='Jogos - Grupos'!G61,'Apostas - Grupos'!DN6='Apostas - Grupos'!DO6),AND('Jogos - Grupos'!F61&gt;'Jogos - Grupos'!G61,'Apostas - Grupos'!DN6&gt;'Apostas - Grupos'!DO6),AND('Jogos - Grupos'!F61&lt;'Jogos - Grupos'!G61,'Apostas - Grupos'!DN6&lt;'Apostas - Grupos'!DO6)),IF(('Apostas - Grupos'!DN6-'Apostas - Grupos'!DO6)=('Jogos - Grupos'!F61-'Jogos - Grupos'!G61),3,2),0))))</f>
        <v>-</v>
      </c>
      <c r="BI6" s="108" t="str">
        <f>IF(OR('Jogos - Grupos'!F62="",'Jogos - Grupos'!G62=""),"-",IF(OR('Apostas - Grupos'!DP6="",'Apostas - Grupos'!DQ6=""),0,IF(AND('Apostas - Grupos'!DP6='Jogos - Grupos'!F62,'Apostas - Grupos'!DQ6='Jogos - Grupos'!G62),5,IF(OR(AND('Jogos - Grupos'!F62='Jogos - Grupos'!G62,'Apostas - Grupos'!DP6='Apostas - Grupos'!DQ6),AND('Jogos - Grupos'!F62&gt;'Jogos - Grupos'!G62,'Apostas - Grupos'!DP6&gt;'Apostas - Grupos'!DQ6),AND('Jogos - Grupos'!F62&lt;'Jogos - Grupos'!G62,'Apostas - Grupos'!DP6&lt;'Apostas - Grupos'!DQ6)),IF(('Apostas - Grupos'!DP6-'Apostas - Grupos'!DQ6)=('Jogos - Grupos'!F62-'Jogos - Grupos'!G62),3,2),0))))</f>
        <v>-</v>
      </c>
      <c r="BJ6" s="108" t="str">
        <f>IF(OR('Jogos - Grupos'!F63="",'Jogos - Grupos'!G63=""),"-",IF(OR('Apostas - Grupos'!DR6="",'Apostas - Grupos'!DS6=""),0,IF(AND('Apostas - Grupos'!DR6='Jogos - Grupos'!F63,'Apostas - Grupos'!DS6='Jogos - Grupos'!G63),5,IF(OR(AND('Jogos - Grupos'!F63='Jogos - Grupos'!G63,'Apostas - Grupos'!DR6='Apostas - Grupos'!DS6),AND('Jogos - Grupos'!F63&gt;'Jogos - Grupos'!G63,'Apostas - Grupos'!DR6&gt;'Apostas - Grupos'!DS6),AND('Jogos - Grupos'!F63&lt;'Jogos - Grupos'!G63,'Apostas - Grupos'!DR6&lt;'Apostas - Grupos'!DS6)),IF(('Apostas - Grupos'!DR6-'Apostas - Grupos'!DS6)=('Jogos - Grupos'!F63-'Jogos - Grupos'!G63),3,2),0))))</f>
        <v>-</v>
      </c>
      <c r="BK6" s="108" t="str">
        <f>IF(OR('Jogos - Grupos'!F64="",'Jogos - Grupos'!G64=""),"-",IF(OR('Apostas - Grupos'!DT6="",'Apostas - Grupos'!DU6=""),0,IF(AND('Apostas - Grupos'!DT6='Jogos - Grupos'!F64,'Apostas - Grupos'!DU6='Jogos - Grupos'!G64),5,IF(OR(AND('Jogos - Grupos'!F64='Jogos - Grupos'!G64,'Apostas - Grupos'!DT6='Apostas - Grupos'!DU6),AND('Jogos - Grupos'!F64&gt;'Jogos - Grupos'!G64,'Apostas - Grupos'!DT6&gt;'Apostas - Grupos'!DU6),AND('Jogos - Grupos'!F64&lt;'Jogos - Grupos'!G64,'Apostas - Grupos'!DT6&lt;'Apostas - Grupos'!DU6)),IF(('Apostas - Grupos'!DT6-'Apostas - Grupos'!DU6)=('Jogos - Grupos'!F64-'Jogos - Grupos'!G64),3,2),0))))</f>
        <v>-</v>
      </c>
      <c r="BL6" s="108" t="str">
        <f>IF(OR('Jogos - Grupos'!F65="",'Jogos - Grupos'!G65=""),"-",IF(OR('Apostas - Grupos'!DV6="",'Apostas - Grupos'!DW6=""),0,IF(AND('Apostas - Grupos'!DV6='Jogos - Grupos'!F65,'Apostas - Grupos'!DW6='Jogos - Grupos'!G65),5,IF(OR(AND('Jogos - Grupos'!F65='Jogos - Grupos'!G65,'Apostas - Grupos'!DV6='Apostas - Grupos'!DW6),AND('Jogos - Grupos'!F65&gt;'Jogos - Grupos'!G65,'Apostas - Grupos'!DV6&gt;'Apostas - Grupos'!DW6),AND('Jogos - Grupos'!F65&lt;'Jogos - Grupos'!G65,'Apostas - Grupos'!DV6&lt;'Apostas - Grupos'!DW6)),IF(('Apostas - Grupos'!DV6-'Apostas - Grupos'!DW6)=('Jogos - Grupos'!F65-'Jogos - Grupos'!G65),3,2),0))))</f>
        <v>-</v>
      </c>
      <c r="BM6" s="108" t="str">
        <f>IF(OR('Jogos - Grupos'!F66="",'Jogos - Grupos'!G66=""),"-",IF(OR('Apostas - Grupos'!DX6="",'Apostas - Grupos'!DY6=""),0,IF(AND('Apostas - Grupos'!DX6='Jogos - Grupos'!F66,'Apostas - Grupos'!DY6='Jogos - Grupos'!G66),5,IF(OR(AND('Jogos - Grupos'!F66='Jogos - Grupos'!G66,'Apostas - Grupos'!DX6='Apostas - Grupos'!DY6),AND('Jogos - Grupos'!F66&gt;'Jogos - Grupos'!G66,'Apostas - Grupos'!DX6&gt;'Apostas - Grupos'!DY6),AND('Jogos - Grupos'!F66&lt;'Jogos - Grupos'!G66,'Apostas - Grupos'!DX6&lt;'Apostas - Grupos'!DY6)),IF(('Apostas - Grupos'!DX6-'Apostas - Grupos'!DY6)=('Jogos - Grupos'!F66-'Jogos - Grupos'!G66),3,2),0))))</f>
        <v>-</v>
      </c>
      <c r="BN6" s="108" t="str">
        <f>IF(OR('Jogos - Grupos'!F67="",'Jogos - Grupos'!G67=""),"-",IF(OR('Apostas - Grupos'!DZ6="",'Apostas - Grupos'!EA6=""),0,IF(AND('Apostas - Grupos'!DZ6='Jogos - Grupos'!F67,'Apostas - Grupos'!EA6='Jogos - Grupos'!G67),5,IF(OR(AND('Jogos - Grupos'!F67='Jogos - Grupos'!G67,'Apostas - Grupos'!DZ6='Apostas - Grupos'!EA6),AND('Jogos - Grupos'!F67&gt;'Jogos - Grupos'!G67,'Apostas - Grupos'!DZ6&gt;'Apostas - Grupos'!EA6),AND('Jogos - Grupos'!F67&lt;'Jogos - Grupos'!G67,'Apostas - Grupos'!DZ6&lt;'Apostas - Grupos'!EA6)),IF(('Apostas - Grupos'!DZ6-'Apostas - Grupos'!EA6)=('Jogos - Grupos'!F67-'Jogos - Grupos'!G67),3,2),0))))</f>
        <v>-</v>
      </c>
      <c r="BO6" s="108" t="str">
        <f>IF(OR('Jogos - Grupos'!F68="",'Jogos - Grupos'!G68=""),"-",IF(OR('Apostas - Grupos'!EB6="",'Apostas - Grupos'!EC6=""),0,IF(AND('Apostas - Grupos'!EB6='Jogos - Grupos'!F68,'Apostas - Grupos'!EC6='Jogos - Grupos'!G68),5,IF(OR(AND('Jogos - Grupos'!F68='Jogos - Grupos'!G68,'Apostas - Grupos'!EB6='Apostas - Grupos'!EC6),AND('Jogos - Grupos'!F68&gt;'Jogos - Grupos'!G68,'Apostas - Grupos'!EB6&gt;'Apostas - Grupos'!EC6),AND('Jogos - Grupos'!F68&lt;'Jogos - Grupos'!G68,'Apostas - Grupos'!EB6&lt;'Apostas - Grupos'!EC6)),IF(('Apostas - Grupos'!EB6-'Apostas - Grupos'!EC6)=('Jogos - Grupos'!F68-'Jogos - Grupos'!G68),3,2),0))))</f>
        <v>-</v>
      </c>
      <c r="BP6" s="108" t="str">
        <f>IF(OR('Jogos - Grupos'!F69="",'Jogos - Grupos'!G69=""),"-",IF(OR('Apostas - Grupos'!ED6="",'Apostas - Grupos'!EE6=""),0,IF(AND('Apostas - Grupos'!ED6='Jogos - Grupos'!F69,'Apostas - Grupos'!EE6='Jogos - Grupos'!G69),5,IF(OR(AND('Jogos - Grupos'!F69='Jogos - Grupos'!G69,'Apostas - Grupos'!ED6='Apostas - Grupos'!EE6),AND('Jogos - Grupos'!F69&gt;'Jogos - Grupos'!G69,'Apostas - Grupos'!ED6&gt;'Apostas - Grupos'!EE6),AND('Jogos - Grupos'!F69&lt;'Jogos - Grupos'!G69,'Apostas - Grupos'!ED6&lt;'Apostas - Grupos'!EE6)),IF(('Apostas - Grupos'!ED6-'Apostas - Grupos'!EE6)=('Jogos - Grupos'!F69-'Jogos - Grupos'!G69),3,2),0))))</f>
        <v>-</v>
      </c>
      <c r="BQ6" s="108" t="str">
        <f>IF(OR('Jogos - Grupos'!F70="",'Jogos - Grupos'!G70=""),"-",IF(OR('Apostas - Grupos'!EF6="",'Apostas - Grupos'!EG6=""),0,IF(AND('Apostas - Grupos'!EF6='Jogos - Grupos'!F70,'Apostas - Grupos'!EG6='Jogos - Grupos'!G70),5,IF(OR(AND('Jogos - Grupos'!F70='Jogos - Grupos'!G70,'Apostas - Grupos'!EF6='Apostas - Grupos'!EG6),AND('Jogos - Grupos'!F70&gt;'Jogos - Grupos'!G70,'Apostas - Grupos'!EF6&gt;'Apostas - Grupos'!EG6),AND('Jogos - Grupos'!F70&lt;'Jogos - Grupos'!G70,'Apostas - Grupos'!EF6&lt;'Apostas - Grupos'!EG6)),IF(('Apostas - Grupos'!EF6-'Apostas - Grupos'!EG6)=('Jogos - Grupos'!F70-'Jogos - Grupos'!G70),3,2),0))))</f>
        <v>-</v>
      </c>
      <c r="BR6" s="108" t="str">
        <f>IF(OR('Jogos - Grupos'!F71="",'Jogos - Grupos'!G71=""),"-",IF(OR('Apostas - Grupos'!EH6="",'Apostas - Grupos'!EI6=""),0,IF(AND('Apostas - Grupos'!EH6='Jogos - Grupos'!F71,'Apostas - Grupos'!EI6='Jogos - Grupos'!G71),5,IF(OR(AND('Jogos - Grupos'!F71='Jogos - Grupos'!G71,'Apostas - Grupos'!EH6='Apostas - Grupos'!EI6),AND('Jogos - Grupos'!F71&gt;'Jogos - Grupos'!G71,'Apostas - Grupos'!EH6&gt;'Apostas - Grupos'!EI6),AND('Jogos - Grupos'!F71&lt;'Jogos - Grupos'!G71,'Apostas - Grupos'!EH6&lt;'Apostas - Grupos'!EI6)),IF(('Apostas - Grupos'!EH6-'Apostas - Grupos'!EI6)=('Jogos - Grupos'!F71-'Jogos - Grupos'!G71),3,2),0))))</f>
        <v>-</v>
      </c>
      <c r="BS6" s="108" t="str">
        <f>IF(OR('Jogos - Grupos'!F72="",'Jogos - Grupos'!G72=""),"-",IF(OR('Apostas - Grupos'!EJ6="",'Apostas - Grupos'!EK6=""),0,IF(AND('Apostas - Grupos'!EJ6='Jogos - Grupos'!F72,'Apostas - Grupos'!EK6='Jogos - Grupos'!G72),5,IF(OR(AND('Jogos - Grupos'!F72='Jogos - Grupos'!G72,'Apostas - Grupos'!EJ6='Apostas - Grupos'!EK6),AND('Jogos - Grupos'!F72&gt;'Jogos - Grupos'!G72,'Apostas - Grupos'!EJ6&gt;'Apostas - Grupos'!EK6),AND('Jogos - Grupos'!F72&lt;'Jogos - Grupos'!G72,'Apostas - Grupos'!EJ6&lt;'Apostas - Grupos'!EK6)),IF(('Apostas - Grupos'!EJ6-'Apostas - Grupos'!EK6)=('Jogos - Grupos'!F72-'Jogos - Grupos'!G72),3,2),0))))</f>
        <v>-</v>
      </c>
      <c r="BT6" s="108" t="str">
        <f>IF(OR('Jogos - Grupos'!F73="",'Jogos - Grupos'!G73=""),"-",IF(OR('Apostas - Grupos'!EL6="",'Apostas - Grupos'!EM6=""),0,IF(AND('Apostas - Grupos'!EL6='Jogos - Grupos'!F73,'Apostas - Grupos'!EM6='Jogos - Grupos'!G73),5,IF(OR(AND('Jogos - Grupos'!F73='Jogos - Grupos'!G73,'Apostas - Grupos'!EL6='Apostas - Grupos'!EM6),AND('Jogos - Grupos'!F73&gt;'Jogos - Grupos'!G73,'Apostas - Grupos'!EL6&gt;'Apostas - Grupos'!EM6),AND('Jogos - Grupos'!F73&lt;'Jogos - Grupos'!G73,'Apostas - Grupos'!EL6&lt;'Apostas - Grupos'!EM6)),IF(('Apostas - Grupos'!EL6-'Apostas - Grupos'!EM6)=('Jogos - Grupos'!F73-'Jogos - Grupos'!G73),3,2),0))))</f>
        <v>-</v>
      </c>
      <c r="BU6" s="108" t="str">
        <f>IF(OR('Jogos - Grupos'!F74="",'Jogos - Grupos'!G74=""),"-",IF(OR('Apostas - Grupos'!EN6="",'Apostas - Grupos'!EO6=""),0,IF(AND('Apostas - Grupos'!EN6='Jogos - Grupos'!F74,'Apostas - Grupos'!EO6='Jogos - Grupos'!G74),5,IF(OR(AND('Jogos - Grupos'!F74='Jogos - Grupos'!G74,'Apostas - Grupos'!EN6='Apostas - Grupos'!EO6),AND('Jogos - Grupos'!F74&gt;'Jogos - Grupos'!G74,'Apostas - Grupos'!EN6&gt;'Apostas - Grupos'!EO6),AND('Jogos - Grupos'!F74&lt;'Jogos - Grupos'!G74,'Apostas - Grupos'!EN6&lt;'Apostas - Grupos'!EO6)),IF(('Apostas - Grupos'!EN6-'Apostas - Grupos'!EO6)=('Jogos - Grupos'!F74-'Jogos - Grupos'!G74),3,2),0))))</f>
        <v>-</v>
      </c>
      <c r="BV6" s="107">
        <f t="shared" ref="BV6:BV8" si="0">SUM(B6:BU6)</f>
        <v>0</v>
      </c>
    </row>
    <row r="7" spans="1:74" ht="15.6">
      <c r="A7" s="81" t="s">
        <v>263</v>
      </c>
      <c r="B7" s="106">
        <f>IF(OR('Jogos - Grupos'!F3="",'Jogos - Grupos'!G3=""),"-",IF(OR('Apostas - Grupos'!B7="",'Apostas - Grupos'!C7=""),0,IF(AND('Apostas - Grupos'!B7='Jogos - Grupos'!F3,'Apostas - Grupos'!C7='Jogos - Grupos'!G3),5,IF(OR(AND('Jogos - Grupos'!F3='Jogos - Grupos'!G3,'Apostas - Grupos'!B7='Apostas - Grupos'!C7),AND('Jogos - Grupos'!F3&gt;'Jogos - Grupos'!G3,'Apostas - Grupos'!B7&gt;'Apostas - Grupos'!C7),AND('Jogos - Grupos'!F3&lt;'Jogos - Grupos'!G3,'Apostas - Grupos'!B7&lt;'Apostas - Grupos'!C7)),IF(('Apostas - Grupos'!B7-'Apostas - Grupos'!C7)=('Jogos - Grupos'!F3-'Jogos - Grupos'!G3),3,2),0))))</f>
        <v>0</v>
      </c>
      <c r="C7" s="106">
        <f>IF(OR('Jogos - Grupos'!F4="",'Jogos - Grupos'!G4=""),"-",IF(OR('Apostas - Grupos'!D7="",'Apostas - Grupos'!E7=""),0,IF(AND('Apostas - Grupos'!D7='Jogos - Grupos'!F4,'Apostas - Grupos'!E7='Jogos - Grupos'!G4),5,IF(OR(AND('Jogos - Grupos'!F4='Jogos - Grupos'!G4,'Apostas - Grupos'!D7='Apostas - Grupos'!E7),AND('Jogos - Grupos'!F4&gt;'Jogos - Grupos'!G4,'Apostas - Grupos'!D7&gt;'Apostas - Grupos'!E7),AND('Jogos - Grupos'!F4&lt;'Jogos - Grupos'!G4,'Apostas - Grupos'!D7&lt;'Apostas - Grupos'!E7)),IF(('Apostas - Grupos'!D7-'Apostas - Grupos'!E7)=('Jogos - Grupos'!F4-'Jogos - Grupos'!G4),3,2),0))))</f>
        <v>0</v>
      </c>
      <c r="D7" s="106" t="str">
        <f>IF(OR('Jogos - Grupos'!F5="",'Jogos - Grupos'!G5=""),"-",IF(OR('Apostas - Grupos'!F7="",'Apostas - Grupos'!G7=""),0,IF(AND('Apostas - Grupos'!F7='Jogos - Grupos'!F5,'Apostas - Grupos'!G7='Jogos - Grupos'!G5),5,IF(OR(AND('Jogos - Grupos'!F5='Jogos - Grupos'!G5,'Apostas - Grupos'!F7='Apostas - Grupos'!G7),AND('Jogos - Grupos'!F5&gt;'Jogos - Grupos'!G5,'Apostas - Grupos'!F7&gt;'Apostas - Grupos'!G7),AND('Jogos - Grupos'!F5&lt;'Jogos - Grupos'!G5,'Apostas - Grupos'!F7&lt;'Apostas - Grupos'!G7)),IF(('Apostas - Grupos'!F7-'Apostas - Grupos'!G7)=('Jogos - Grupos'!F5-'Jogos - Grupos'!G5),3,2),0))))</f>
        <v>-</v>
      </c>
      <c r="E7" s="106" t="str">
        <f>IF(OR('Jogos - Grupos'!F6="",'Jogos - Grupos'!G6=""),"-",IF(OR('Apostas - Grupos'!H7="",'Apostas - Grupos'!I7=""),0,IF(AND('Apostas - Grupos'!H7='Jogos - Grupos'!F6,'Apostas - Grupos'!I7='Jogos - Grupos'!G6),5,IF(OR(AND('Jogos - Grupos'!F6='Jogos - Grupos'!G6,'Apostas - Grupos'!H7='Apostas - Grupos'!I7),AND('Jogos - Grupos'!F6&gt;'Jogos - Grupos'!G6,'Apostas - Grupos'!H7&gt;'Apostas - Grupos'!I7),AND('Jogos - Grupos'!F6&lt;'Jogos - Grupos'!G6,'Apostas - Grupos'!H7&lt;'Apostas - Grupos'!I7)),IF(('Apostas - Grupos'!H7-'Apostas - Grupos'!I7)=('Jogos - Grupos'!F6-'Jogos - Grupos'!G6),3,2),0))))</f>
        <v>-</v>
      </c>
      <c r="F7" s="106" t="str">
        <f>IF(OR('Jogos - Grupos'!F7="",'Jogos - Grupos'!G7=""),"-",IF(OR('Apostas - Grupos'!J7="",'Apostas - Grupos'!K7=""),0,IF(AND('Apostas - Grupos'!J7='Jogos - Grupos'!F7,'Apostas - Grupos'!K7='Jogos - Grupos'!G7),5,IF(OR(AND('Jogos - Grupos'!F7='Jogos - Grupos'!G7,'Apostas - Grupos'!J7='Apostas - Grupos'!K7),AND('Jogos - Grupos'!F7&gt;'Jogos - Grupos'!G7,'Apostas - Grupos'!J7&gt;'Apostas - Grupos'!K7),AND('Jogos - Grupos'!F7&lt;'Jogos - Grupos'!G7,'Apostas - Grupos'!J7&lt;'Apostas - Grupos'!K7)),IF(('Apostas - Grupos'!J7-'Apostas - Grupos'!K7)=('Jogos - Grupos'!F7-'Jogos - Grupos'!G7),3,2),0))))</f>
        <v>-</v>
      </c>
      <c r="G7" s="106" t="str">
        <f>IF(OR('Jogos - Grupos'!F8="",'Jogos - Grupos'!G8=""),"-",IF(OR('Apostas - Grupos'!L7="",'Apostas - Grupos'!M7=""),0,IF(AND('Apostas - Grupos'!L7='Jogos - Grupos'!F8,'Apostas - Grupos'!M7='Jogos - Grupos'!G8),5,IF(OR(AND('Jogos - Grupos'!F8='Jogos - Grupos'!G8,'Apostas - Grupos'!L7='Apostas - Grupos'!M7),AND('Jogos - Grupos'!F8&gt;'Jogos - Grupos'!G8,'Apostas - Grupos'!L7&gt;'Apostas - Grupos'!M7),AND('Jogos - Grupos'!F8&lt;'Jogos - Grupos'!G8,'Apostas - Grupos'!L7&lt;'Apostas - Grupos'!M7)),IF(('Apostas - Grupos'!L7-'Apostas - Grupos'!M7)=('Jogos - Grupos'!F8-'Jogos - Grupos'!G8),3,2),0))))</f>
        <v>-</v>
      </c>
      <c r="H7" s="106" t="str">
        <f>IF(OR('Jogos - Grupos'!F9="",'Jogos - Grupos'!G9=""),"-",IF(OR('Apostas - Grupos'!N7="",'Apostas - Grupos'!O7=""),0,IF(AND('Apostas - Grupos'!N7='Jogos - Grupos'!F9,'Apostas - Grupos'!O7='Jogos - Grupos'!G9),5,IF(OR(AND('Jogos - Grupos'!F9='Jogos - Grupos'!G9,'Apostas - Grupos'!N7='Apostas - Grupos'!O7),AND('Jogos - Grupos'!F9&gt;'Jogos - Grupos'!G9,'Apostas - Grupos'!N7&gt;'Apostas - Grupos'!O7),AND('Jogos - Grupos'!F9&lt;'Jogos - Grupos'!G9,'Apostas - Grupos'!N7&lt;'Apostas - Grupos'!O7)),IF(('Apostas - Grupos'!N7-'Apostas - Grupos'!O7)=('Jogos - Grupos'!F9-'Jogos - Grupos'!G9),3,2),0))))</f>
        <v>-</v>
      </c>
      <c r="I7" s="106" t="str">
        <f>IF(OR('Jogos - Grupos'!F10="",'Jogos - Grupos'!G10=""),"-",IF(OR('Apostas - Grupos'!P7="",'Apostas - Grupos'!Q7=""),0,IF(AND('Apostas - Grupos'!P7='Jogos - Grupos'!F10,'Apostas - Grupos'!Q7='Jogos - Grupos'!G10),5,IF(OR(AND('Jogos - Grupos'!F10='Jogos - Grupos'!G10,'Apostas - Grupos'!P7='Apostas - Grupos'!Q7),AND('Jogos - Grupos'!F10&gt;'Jogos - Grupos'!G10,'Apostas - Grupos'!P7&gt;'Apostas - Grupos'!Q7),AND('Jogos - Grupos'!F10&lt;'Jogos - Grupos'!G10,'Apostas - Grupos'!P7&lt;'Apostas - Grupos'!Q7)),IF(('Apostas - Grupos'!P7-'Apostas - Grupos'!Q7)=('Jogos - Grupos'!F10-'Jogos - Grupos'!G10),3,2),0))))</f>
        <v>-</v>
      </c>
      <c r="J7" s="106" t="str">
        <f>IF(OR('Jogos - Grupos'!F11="",'Jogos - Grupos'!G11=""),"-",IF(OR('Apostas - Grupos'!R7="",'Apostas - Grupos'!S7=""),0,IF(AND('Apostas - Grupos'!R7='Jogos - Grupos'!F11,'Apostas - Grupos'!S7='Jogos - Grupos'!G11),5,IF(OR(AND('Jogos - Grupos'!F11='Jogos - Grupos'!G11,'Apostas - Grupos'!R7='Apostas - Grupos'!S7),AND('Jogos - Grupos'!F11&gt;'Jogos - Grupos'!G11,'Apostas - Grupos'!R7&gt;'Apostas - Grupos'!S7),AND('Jogos - Grupos'!F11&lt;'Jogos - Grupos'!G11,'Apostas - Grupos'!R7&lt;'Apostas - Grupos'!S7)),IF(('Apostas - Grupos'!R7-'Apostas - Grupos'!S7)=('Jogos - Grupos'!F11-'Jogos - Grupos'!G11),3,2),0))))</f>
        <v>-</v>
      </c>
      <c r="K7" s="106" t="str">
        <f>IF(OR('Jogos - Grupos'!F12="",'Jogos - Grupos'!G12=""),"-",IF(OR('Apostas - Grupos'!T7="",'Apostas - Grupos'!U7=""),0,IF(AND('Apostas - Grupos'!T7='Jogos - Grupos'!F12,'Apostas - Grupos'!U7='Jogos - Grupos'!G12),5,IF(OR(AND('Jogos - Grupos'!F12='Jogos - Grupos'!G12,'Apostas - Grupos'!T7='Apostas - Grupos'!U7),AND('Jogos - Grupos'!F12&gt;'Jogos - Grupos'!G12,'Apostas - Grupos'!T7&gt;'Apostas - Grupos'!U7),AND('Jogos - Grupos'!F12&lt;'Jogos - Grupos'!G12,'Apostas - Grupos'!T7&lt;'Apostas - Grupos'!U7)),IF(('Apostas - Grupos'!T7-'Apostas - Grupos'!U7)=('Jogos - Grupos'!F12-'Jogos - Grupos'!G12),3,2),0))))</f>
        <v>-</v>
      </c>
      <c r="L7" s="106" t="str">
        <f>IF(OR('Jogos - Grupos'!F13="",'Jogos - Grupos'!G13=""),"-",IF(OR('Apostas - Grupos'!V7="",'Apostas - Grupos'!W7=""),0,IF(AND('Apostas - Grupos'!V7='Jogos - Grupos'!F13,'Apostas - Grupos'!W7='Jogos - Grupos'!G13),5,IF(OR(AND('Jogos - Grupos'!F13='Jogos - Grupos'!G13,'Apostas - Grupos'!V7='Apostas - Grupos'!W7),AND('Jogos - Grupos'!F13&gt;'Jogos - Grupos'!G13,'Apostas - Grupos'!V7&gt;'Apostas - Grupos'!W7),AND('Jogos - Grupos'!F13&lt;'Jogos - Grupos'!G13,'Apostas - Grupos'!V7&lt;'Apostas - Grupos'!W7)),IF(('Apostas - Grupos'!V7-'Apostas - Grupos'!W7)=('Jogos - Grupos'!F13-'Jogos - Grupos'!G13),3,2),0))))</f>
        <v>-</v>
      </c>
      <c r="M7" s="106" t="str">
        <f>IF(OR('Jogos - Grupos'!F14="",'Jogos - Grupos'!G14=""),"-",IF(OR('Apostas - Grupos'!X7="",'Apostas - Grupos'!Y7=""),0,IF(AND('Apostas - Grupos'!X7='Jogos - Grupos'!F14,'Apostas - Grupos'!Y7='Jogos - Grupos'!G14),5,IF(OR(AND('Jogos - Grupos'!F14='Jogos - Grupos'!G14,'Apostas - Grupos'!X7='Apostas - Grupos'!Y7),AND('Jogos - Grupos'!F14&gt;'Jogos - Grupos'!G14,'Apostas - Grupos'!X7&gt;'Apostas - Grupos'!Y7),AND('Jogos - Grupos'!F14&lt;'Jogos - Grupos'!G14,'Apostas - Grupos'!X7&lt;'Apostas - Grupos'!Y7)),IF(('Apostas - Grupos'!X7-'Apostas - Grupos'!Y7)=('Jogos - Grupos'!F14-'Jogos - Grupos'!G14),3,2),0))))</f>
        <v>-</v>
      </c>
      <c r="N7" s="106" t="str">
        <f>IF(OR('Jogos - Grupos'!F15="",'Jogos - Grupos'!G15=""),"-",IF(OR('Apostas - Grupos'!Z7="",'Apostas - Grupos'!AA7=""),0,IF(AND('Apostas - Grupos'!Z7='Jogos - Grupos'!F15,'Apostas - Grupos'!AA7='Jogos - Grupos'!G15),5,IF(OR(AND('Jogos - Grupos'!F15='Jogos - Grupos'!G15,'Apostas - Grupos'!Z7='Apostas - Grupos'!AA7),AND('Jogos - Grupos'!F15&gt;'Jogos - Grupos'!G15,'Apostas - Grupos'!Z7&gt;'Apostas - Grupos'!AA7),AND('Jogos - Grupos'!F15&lt;'Jogos - Grupos'!G15,'Apostas - Grupos'!Z7&lt;'Apostas - Grupos'!AA7)),IF(('Apostas - Grupos'!Z7-'Apostas - Grupos'!AA7)=('Jogos - Grupos'!F15-'Jogos - Grupos'!G15),3,2),0))))</f>
        <v>-</v>
      </c>
      <c r="O7" s="106" t="str">
        <f>IF(OR('Jogos - Grupos'!F16="",'Jogos - Grupos'!G16=""),"-",IF(OR('Apostas - Grupos'!AB7="",'Apostas - Grupos'!AC7=""),0,IF(AND('Apostas - Grupos'!AB7='Jogos - Grupos'!F16,'Apostas - Grupos'!AC7='Jogos - Grupos'!G16),5,IF(OR(AND('Jogos - Grupos'!F16='Jogos - Grupos'!G16,'Apostas - Grupos'!AB7='Apostas - Grupos'!AC7),AND('Jogos - Grupos'!F16&gt;'Jogos - Grupos'!G16,'Apostas - Grupos'!AB7&gt;'Apostas - Grupos'!AC7),AND('Jogos - Grupos'!F16&lt;'Jogos - Grupos'!G16,'Apostas - Grupos'!AB7&lt;'Apostas - Grupos'!AC7)),IF(('Apostas - Grupos'!AB7-'Apostas - Grupos'!AC7)=('Jogos - Grupos'!F16-'Jogos - Grupos'!G16),3,2),0))))</f>
        <v>-</v>
      </c>
      <c r="P7" s="106" t="str">
        <f>IF(OR('Jogos - Grupos'!F17="",'Jogos - Grupos'!G17=""),"-",IF(OR('Apostas - Grupos'!AD7="",'Apostas - Grupos'!AE7=""),0,IF(AND('Apostas - Grupos'!AD7='Jogos - Grupos'!F17,'Apostas - Grupos'!AE7='Jogos - Grupos'!G17),5,IF(OR(AND('Jogos - Grupos'!F17='Jogos - Grupos'!G17,'Apostas - Grupos'!AD7='Apostas - Grupos'!AE7),AND('Jogos - Grupos'!F17&gt;'Jogos - Grupos'!G17,'Apostas - Grupos'!AD7&gt;'Apostas - Grupos'!AE7),AND('Jogos - Grupos'!F17&lt;'Jogos - Grupos'!G17,'Apostas - Grupos'!AD7&lt;'Apostas - Grupos'!AE7)),IF(('Apostas - Grupos'!AD7-'Apostas - Grupos'!AE7)=('Jogos - Grupos'!F17-'Jogos - Grupos'!G17),3,2),0))))</f>
        <v>-</v>
      </c>
      <c r="Q7" s="106" t="str">
        <f>IF(OR('Jogos - Grupos'!F18="",'Jogos - Grupos'!G18=""),"-",IF(OR('Apostas - Grupos'!AF7="",'Apostas - Grupos'!AG7=""),0,IF(AND('Apostas - Grupos'!AF7='Jogos - Grupos'!F18,'Apostas - Grupos'!AG7='Jogos - Grupos'!G18),5,IF(OR(AND('Jogos - Grupos'!F18='Jogos - Grupos'!G18,'Apostas - Grupos'!AF7='Apostas - Grupos'!AG7),AND('Jogos - Grupos'!F18&gt;'Jogos - Grupos'!G18,'Apostas - Grupos'!AF7&gt;'Apostas - Grupos'!AG7),AND('Jogos - Grupos'!F18&lt;'Jogos - Grupos'!G18,'Apostas - Grupos'!AF7&lt;'Apostas - Grupos'!AG7)),IF(('Apostas - Grupos'!AF7-'Apostas - Grupos'!AG7)=('Jogos - Grupos'!F18-'Jogos - Grupos'!G18),3,2),0))))</f>
        <v>-</v>
      </c>
      <c r="R7" s="106" t="str">
        <f>IF(OR('Jogos - Grupos'!F19="",'Jogos - Grupos'!G19=""),"-",IF(OR('Apostas - Grupos'!AH7="",'Apostas - Grupos'!AI7=""),0,IF(AND('Apostas - Grupos'!AH7='Jogos - Grupos'!F19,'Apostas - Grupos'!AI7='Jogos - Grupos'!G19),5,IF(OR(AND('Jogos - Grupos'!F19='Jogos - Grupos'!G19,'Apostas - Grupos'!AH7='Apostas - Grupos'!AI7),AND('Jogos - Grupos'!F19&gt;'Jogos - Grupos'!G19,'Apostas - Grupos'!AH7&gt;'Apostas - Grupos'!AI7),AND('Jogos - Grupos'!F19&lt;'Jogos - Grupos'!G19,'Apostas - Grupos'!AH7&lt;'Apostas - Grupos'!AI7)),IF(('Apostas - Grupos'!AH7-'Apostas - Grupos'!AI7)=('Jogos - Grupos'!F19-'Jogos - Grupos'!G19),3,2),0))))</f>
        <v>-</v>
      </c>
      <c r="S7" s="106" t="str">
        <f>IF(OR('Jogos - Grupos'!F20="",'Jogos - Grupos'!G20=""),"-",IF(OR('Apostas - Grupos'!AJ7="",'Apostas - Grupos'!AK7=""),0,IF(AND('Apostas - Grupos'!AJ7='Jogos - Grupos'!F20,'Apostas - Grupos'!AK7='Jogos - Grupos'!G20),5,IF(OR(AND('Jogos - Grupos'!F20='Jogos - Grupos'!G20,'Apostas - Grupos'!AJ7='Apostas - Grupos'!AK7),AND('Jogos - Grupos'!F20&gt;'Jogos - Grupos'!G20,'Apostas - Grupos'!AJ7&gt;'Apostas - Grupos'!AK7),AND('Jogos - Grupos'!F20&lt;'Jogos - Grupos'!G20,'Apostas - Grupos'!AJ7&lt;'Apostas - Grupos'!AK7)),IF(('Apostas - Grupos'!AJ7-'Apostas - Grupos'!AK7)=('Jogos - Grupos'!F20-'Jogos - Grupos'!G20),3,2),0))))</f>
        <v>-</v>
      </c>
      <c r="T7" s="106" t="str">
        <f>IF(OR('Jogos - Grupos'!F21="",'Jogos - Grupos'!G21=""),"-",IF(OR('Apostas - Grupos'!AL7="",'Apostas - Grupos'!AM7=""),0,IF(AND('Apostas - Grupos'!AL7='Jogos - Grupos'!F21,'Apostas - Grupos'!AM7='Jogos - Grupos'!G21),5,IF(OR(AND('Jogos - Grupos'!F21='Jogos - Grupos'!G21,'Apostas - Grupos'!AL7='Apostas - Grupos'!AM7),AND('Jogos - Grupos'!F21&gt;'Jogos - Grupos'!G21,'Apostas - Grupos'!AL7&gt;'Apostas - Grupos'!AM7),AND('Jogos - Grupos'!F21&lt;'Jogos - Grupos'!G21,'Apostas - Grupos'!AL7&lt;'Apostas - Grupos'!AM7)),IF(('Apostas - Grupos'!AL7-'Apostas - Grupos'!AM7)=('Jogos - Grupos'!F21-'Jogos - Grupos'!G21),3,2),0))))</f>
        <v>-</v>
      </c>
      <c r="U7" s="106" t="str">
        <f>IF(OR('Jogos - Grupos'!F22="",'Jogos - Grupos'!G22=""),"-",IF(OR('Apostas - Grupos'!AN7="",'Apostas - Grupos'!AO7=""),0,IF(AND('Apostas - Grupos'!AN7='Jogos - Grupos'!F22,'Apostas - Grupos'!AO7='Jogos - Grupos'!G22),5,IF(OR(AND('Jogos - Grupos'!F22='Jogos - Grupos'!G22,'Apostas - Grupos'!AN7='Apostas - Grupos'!AO7),AND('Jogos - Grupos'!F22&gt;'Jogos - Grupos'!G22,'Apostas - Grupos'!AN7&gt;'Apostas - Grupos'!AO7),AND('Jogos - Grupos'!F22&lt;'Jogos - Grupos'!G22,'Apostas - Grupos'!AN7&lt;'Apostas - Grupos'!AO7)),IF(('Apostas - Grupos'!AN7-'Apostas - Grupos'!AO7)=('Jogos - Grupos'!F22-'Jogos - Grupos'!G22),3,2),0))))</f>
        <v>-</v>
      </c>
      <c r="V7" s="106" t="str">
        <f>IF(OR('Jogos - Grupos'!F23="",'Jogos - Grupos'!G23=""),"-",IF(OR('Apostas - Grupos'!AP7="",'Apostas - Grupos'!AQ7=""),0,IF(AND('Apostas - Grupos'!AP7='Jogos - Grupos'!F23,'Apostas - Grupos'!AQ7='Jogos - Grupos'!G23),5,IF(OR(AND('Jogos - Grupos'!F23='Jogos - Grupos'!G23,'Apostas - Grupos'!AP7='Apostas - Grupos'!AQ7),AND('Jogos - Grupos'!F23&gt;'Jogos - Grupos'!G23,'Apostas - Grupos'!AP7&gt;'Apostas - Grupos'!AQ7),AND('Jogos - Grupos'!F23&lt;'Jogos - Grupos'!G23,'Apostas - Grupos'!AP7&lt;'Apostas - Grupos'!AQ7)),IF(('Apostas - Grupos'!AP7-'Apostas - Grupos'!AQ7)=('Jogos - Grupos'!F23-'Jogos - Grupos'!G23),3,2),0))))</f>
        <v>-</v>
      </c>
      <c r="W7" s="106" t="str">
        <f>IF(OR('Jogos - Grupos'!F24="",'Jogos - Grupos'!G24=""),"-",IF(OR('Apostas - Grupos'!AR7="",'Apostas - Grupos'!AS7=""),0,IF(AND('Apostas - Grupos'!AR7='Jogos - Grupos'!F24,'Apostas - Grupos'!AS7='Jogos - Grupos'!G24),5,IF(OR(AND('Jogos - Grupos'!F24='Jogos - Grupos'!G24,'Apostas - Grupos'!AR7='Apostas - Grupos'!AS7),AND('Jogos - Grupos'!F24&gt;'Jogos - Grupos'!G24,'Apostas - Grupos'!AR7&gt;'Apostas - Grupos'!AS7),AND('Jogos - Grupos'!F24&lt;'Jogos - Grupos'!G24,'Apostas - Grupos'!AR7&lt;'Apostas - Grupos'!AS7)),IF(('Apostas - Grupos'!AR7-'Apostas - Grupos'!AS7)=('Jogos - Grupos'!F24-'Jogos - Grupos'!G24),3,2),0))))</f>
        <v>-</v>
      </c>
      <c r="X7" s="106" t="str">
        <f>IF(OR('Jogos - Grupos'!F25="",'Jogos - Grupos'!G25=""),"-",IF(OR('Apostas - Grupos'!AT7="",'Apostas - Grupos'!AU7=""),0,IF(AND('Apostas - Grupos'!AT7='Jogos - Grupos'!F25,'Apostas - Grupos'!AU7='Jogos - Grupos'!G25),5,IF(OR(AND('Jogos - Grupos'!F25='Jogos - Grupos'!G25,'Apostas - Grupos'!AT7='Apostas - Grupos'!AU7),AND('Jogos - Grupos'!F25&gt;'Jogos - Grupos'!G25,'Apostas - Grupos'!AT7&gt;'Apostas - Grupos'!AU7),AND('Jogos - Grupos'!F25&lt;'Jogos - Grupos'!G25,'Apostas - Grupos'!AT7&lt;'Apostas - Grupos'!AU7)),IF(('Apostas - Grupos'!AT7-'Apostas - Grupos'!AU7)=('Jogos - Grupos'!F25-'Jogos - Grupos'!G25),3,2),0))))</f>
        <v>-</v>
      </c>
      <c r="Y7" s="106" t="str">
        <f>IF(OR('Jogos - Grupos'!F26="",'Jogos - Grupos'!G26=""),"-",IF(OR('Apostas - Grupos'!AV7="",'Apostas - Grupos'!AW7=""),0,IF(AND('Apostas - Grupos'!AV7='Jogos - Grupos'!F26,'Apostas - Grupos'!AW7='Jogos - Grupos'!G26),5,IF(OR(AND('Jogos - Grupos'!F26='Jogos - Grupos'!G26,'Apostas - Grupos'!AV7='Apostas - Grupos'!AW7),AND('Jogos - Grupos'!F26&gt;'Jogos - Grupos'!G26,'Apostas - Grupos'!AV7&gt;'Apostas - Grupos'!AW7),AND('Jogos - Grupos'!F26&lt;'Jogos - Grupos'!G26,'Apostas - Grupos'!AV7&lt;'Apostas - Grupos'!AW7)),IF(('Apostas - Grupos'!AV7-'Apostas - Grupos'!AW7)=('Jogos - Grupos'!F26-'Jogos - Grupos'!G26),3,2),0))))</f>
        <v>-</v>
      </c>
      <c r="Z7" s="106" t="str">
        <f>IF(OR('Jogos - Grupos'!F27="",'Jogos - Grupos'!G27=""),"-",IF(OR('Apostas - Grupos'!AX7="",'Apostas - Grupos'!AY7=""),0,IF(AND('Apostas - Grupos'!AX7='Jogos - Grupos'!F27,'Apostas - Grupos'!AY7='Jogos - Grupos'!G27),5,IF(OR(AND('Jogos - Grupos'!F27='Jogos - Grupos'!G27,'Apostas - Grupos'!AX7='Apostas - Grupos'!AY7),AND('Jogos - Grupos'!F27&gt;'Jogos - Grupos'!G27,'Apostas - Grupos'!AX7&gt;'Apostas - Grupos'!AY7),AND('Jogos - Grupos'!F27&lt;'Jogos - Grupos'!G27,'Apostas - Grupos'!AX7&lt;'Apostas - Grupos'!AY7)),IF(('Apostas - Grupos'!AX7-'Apostas - Grupos'!AY7)=('Jogos - Grupos'!F27-'Jogos - Grupos'!G27),3,2),0))))</f>
        <v>-</v>
      </c>
      <c r="AA7" s="106" t="str">
        <f>IF(OR('Jogos - Grupos'!F28="",'Jogos - Grupos'!G28=""),"-",IF(OR('Apostas - Grupos'!AZ7="",'Apostas - Grupos'!BA7=""),0,IF(AND('Apostas - Grupos'!AZ7='Jogos - Grupos'!F28,'Apostas - Grupos'!BA7='Jogos - Grupos'!G28),5,IF(OR(AND('Jogos - Grupos'!F28='Jogos - Grupos'!G28,'Apostas - Grupos'!AZ7='Apostas - Grupos'!BA7),AND('Jogos - Grupos'!F28&gt;'Jogos - Grupos'!G28,'Apostas - Grupos'!AZ7&gt;'Apostas - Grupos'!BA7),AND('Jogos - Grupos'!F28&lt;'Jogos - Grupos'!G28,'Apostas - Grupos'!AZ7&lt;'Apostas - Grupos'!BA7)),IF(('Apostas - Grupos'!AZ7-'Apostas - Grupos'!BA7)=('Jogos - Grupos'!F28-'Jogos - Grupos'!G28),3,2),0))))</f>
        <v>-</v>
      </c>
      <c r="AB7" s="106" t="str">
        <f>IF(OR('Jogos - Grupos'!F29="",'Jogos - Grupos'!G29=""),"-",IF(OR('Apostas - Grupos'!BB7="",'Apostas - Grupos'!BC7=""),0,IF(AND('Apostas - Grupos'!BB7='Jogos - Grupos'!F29,'Apostas - Grupos'!BC7='Jogos - Grupos'!G29),5,IF(OR(AND('Jogos - Grupos'!F29='Jogos - Grupos'!G29,'Apostas - Grupos'!BB7='Apostas - Grupos'!BC7),AND('Jogos - Grupos'!F29&gt;'Jogos - Grupos'!G29,'Apostas - Grupos'!BB7&gt;'Apostas - Grupos'!BC7),AND('Jogos - Grupos'!F29&lt;'Jogos - Grupos'!G29,'Apostas - Grupos'!BB7&lt;'Apostas - Grupos'!BC7)),IF(('Apostas - Grupos'!BB7-'Apostas - Grupos'!BC7)=('Jogos - Grupos'!F29-'Jogos - Grupos'!G29),3,2),0))))</f>
        <v>-</v>
      </c>
      <c r="AC7" s="106" t="str">
        <f>IF(OR('Jogos - Grupos'!F30="",'Jogos - Grupos'!G30=""),"-",IF(OR('Apostas - Grupos'!BD7="",'Apostas - Grupos'!BE7=""),0,IF(AND('Apostas - Grupos'!BD7='Jogos - Grupos'!F30,'Apostas - Grupos'!BE7='Jogos - Grupos'!G30),5,IF(OR(AND('Jogos - Grupos'!F30='Jogos - Grupos'!G30,'Apostas - Grupos'!BD7='Apostas - Grupos'!BE7),AND('Jogos - Grupos'!F30&gt;'Jogos - Grupos'!G30,'Apostas - Grupos'!BD7&gt;'Apostas - Grupos'!BE7),AND('Jogos - Grupos'!F30&lt;'Jogos - Grupos'!G30,'Apostas - Grupos'!BD7&lt;'Apostas - Grupos'!BE7)),IF(('Apostas - Grupos'!BD7-'Apostas - Grupos'!BE7)=('Jogos - Grupos'!F30-'Jogos - Grupos'!G30),3,2),0))))</f>
        <v>-</v>
      </c>
      <c r="AD7" s="106" t="str">
        <f>IF(OR('Jogos - Grupos'!F31="",'Jogos - Grupos'!G31=""),"-",IF(OR('Apostas - Grupos'!BF7="",'Apostas - Grupos'!BG7=""),0,IF(AND('Apostas - Grupos'!BF7='Jogos - Grupos'!F31,'Apostas - Grupos'!BG7='Jogos - Grupos'!G31),5,IF(OR(AND('Jogos - Grupos'!F31='Jogos - Grupos'!G31,'Apostas - Grupos'!BF7='Apostas - Grupos'!BG7),AND('Jogos - Grupos'!F31&gt;'Jogos - Grupos'!G31,'Apostas - Grupos'!BF7&gt;'Apostas - Grupos'!BG7),AND('Jogos - Grupos'!F31&lt;'Jogos - Grupos'!G31,'Apostas - Grupos'!BF7&lt;'Apostas - Grupos'!BG7)),IF(('Apostas - Grupos'!BF7-'Apostas - Grupos'!BG7)=('Jogos - Grupos'!F31-'Jogos - Grupos'!G31),3,2),0))))</f>
        <v>-</v>
      </c>
      <c r="AE7" s="106" t="str">
        <f>IF(OR('Jogos - Grupos'!F32="",'Jogos - Grupos'!G32=""),"-",IF(OR('Apostas - Grupos'!BH7="",'Apostas - Grupos'!BI7=""),0,IF(AND('Apostas - Grupos'!BH7='Jogos - Grupos'!F32,'Apostas - Grupos'!BI7='Jogos - Grupos'!G32),5,IF(OR(AND('Jogos - Grupos'!F32='Jogos - Grupos'!G32,'Apostas - Grupos'!BH7='Apostas - Grupos'!BI7),AND('Jogos - Grupos'!F32&gt;'Jogos - Grupos'!G32,'Apostas - Grupos'!BH7&gt;'Apostas - Grupos'!BI7),AND('Jogos - Grupos'!F32&lt;'Jogos - Grupos'!G32,'Apostas - Grupos'!BH7&lt;'Apostas - Grupos'!BI7)),IF(('Apostas - Grupos'!BH7-'Apostas - Grupos'!BI7)=('Jogos - Grupos'!F32-'Jogos - Grupos'!G32),3,2),0))))</f>
        <v>-</v>
      </c>
      <c r="AF7" s="106" t="str">
        <f>IF(OR('Jogos - Grupos'!F33="",'Jogos - Grupos'!G33=""),"-",IF(OR('Apostas - Grupos'!BJ7="",'Apostas - Grupos'!BK7=""),0,IF(AND('Apostas - Grupos'!BJ7='Jogos - Grupos'!F33,'Apostas - Grupos'!BK7='Jogos - Grupos'!G33),5,IF(OR(AND('Jogos - Grupos'!F33='Jogos - Grupos'!G33,'Apostas - Grupos'!BJ7='Apostas - Grupos'!BK7),AND('Jogos - Grupos'!F33&gt;'Jogos - Grupos'!G33,'Apostas - Grupos'!BJ7&gt;'Apostas - Grupos'!BK7),AND('Jogos - Grupos'!F33&lt;'Jogos - Grupos'!G33,'Apostas - Grupos'!BJ7&lt;'Apostas - Grupos'!BK7)),IF(('Apostas - Grupos'!BJ7-'Apostas - Grupos'!BK7)=('Jogos - Grupos'!F33-'Jogos - Grupos'!G33),3,2),0))))</f>
        <v>-</v>
      </c>
      <c r="AG7" s="106" t="str">
        <f>IF(OR('Jogos - Grupos'!F34="",'Jogos - Grupos'!G34=""),"-",IF(OR('Apostas - Grupos'!BL7="",'Apostas - Grupos'!BM7=""),0,IF(AND('Apostas - Grupos'!BL7='Jogos - Grupos'!F34,'Apostas - Grupos'!BM7='Jogos - Grupos'!G34),5,IF(OR(AND('Jogos - Grupos'!F34='Jogos - Grupos'!G34,'Apostas - Grupos'!BL7='Apostas - Grupos'!BM7),AND('Jogos - Grupos'!F34&gt;'Jogos - Grupos'!G34,'Apostas - Grupos'!BL7&gt;'Apostas - Grupos'!BM7),AND('Jogos - Grupos'!F34&lt;'Jogos - Grupos'!G34,'Apostas - Grupos'!BL7&lt;'Apostas - Grupos'!BM7)),IF(('Apostas - Grupos'!BL7-'Apostas - Grupos'!BM7)=('Jogos - Grupos'!F34-'Jogos - Grupos'!G34),3,2),0))))</f>
        <v>-</v>
      </c>
      <c r="AH7" s="106" t="str">
        <f>IF(OR('Jogos - Grupos'!F35="",'Jogos - Grupos'!G35=""),"-",IF(OR('Apostas - Grupos'!BN7="",'Apostas - Grupos'!BO7=""),0,IF(AND('Apostas - Grupos'!BN7='Jogos - Grupos'!F35,'Apostas - Grupos'!BO7='Jogos - Grupos'!G35),5,IF(OR(AND('Jogos - Grupos'!F35='Jogos - Grupos'!G35,'Apostas - Grupos'!BN7='Apostas - Grupos'!BO7),AND('Jogos - Grupos'!F35&gt;'Jogos - Grupos'!G35,'Apostas - Grupos'!BN7&gt;'Apostas - Grupos'!BO7),AND('Jogos - Grupos'!F35&lt;'Jogos - Grupos'!G35,'Apostas - Grupos'!BN7&lt;'Apostas - Grupos'!BO7)),IF(('Apostas - Grupos'!BN7-'Apostas - Grupos'!BO7)=('Jogos - Grupos'!F35-'Jogos - Grupos'!G35),3,2),0))))</f>
        <v>-</v>
      </c>
      <c r="AI7" s="106" t="str">
        <f>IF(OR('Jogos - Grupos'!F36="",'Jogos - Grupos'!G36=""),"-",IF(OR('Apostas - Grupos'!BP7="",'Apostas - Grupos'!BQ7=""),0,IF(AND('Apostas - Grupos'!BP7='Jogos - Grupos'!F36,'Apostas - Grupos'!BQ7='Jogos - Grupos'!G36),5,IF(OR(AND('Jogos - Grupos'!F36='Jogos - Grupos'!G36,'Apostas - Grupos'!BP7='Apostas - Grupos'!BQ7),AND('Jogos - Grupos'!F36&gt;'Jogos - Grupos'!G36,'Apostas - Grupos'!BP7&gt;'Apostas - Grupos'!BQ7),AND('Jogos - Grupos'!F36&lt;'Jogos - Grupos'!G36,'Apostas - Grupos'!BP7&lt;'Apostas - Grupos'!BQ7)),IF(('Apostas - Grupos'!BP7-'Apostas - Grupos'!BQ7)=('Jogos - Grupos'!F36-'Jogos - Grupos'!G36),3,2),0))))</f>
        <v>-</v>
      </c>
      <c r="AJ7" s="106" t="str">
        <f>IF(OR('Jogos - Grupos'!F37="",'Jogos - Grupos'!G37=""),"-",IF(OR('Apostas - Grupos'!BR7="",'Apostas - Grupos'!BS7=""),0,IF(AND('Apostas - Grupos'!BR7='Jogos - Grupos'!F37,'Apostas - Grupos'!BS7='Jogos - Grupos'!G37),5,IF(OR(AND('Jogos - Grupos'!F37='Jogos - Grupos'!G37,'Apostas - Grupos'!BR7='Apostas - Grupos'!BS7),AND('Jogos - Grupos'!F37&gt;'Jogos - Grupos'!G37,'Apostas - Grupos'!BR7&gt;'Apostas - Grupos'!BS7),AND('Jogos - Grupos'!F37&lt;'Jogos - Grupos'!G37,'Apostas - Grupos'!BR7&lt;'Apostas - Grupos'!BS7)),IF(('Apostas - Grupos'!BR7-'Apostas - Grupos'!BS7)=('Jogos - Grupos'!F37-'Jogos - Grupos'!G37),3,2),0))))</f>
        <v>-</v>
      </c>
      <c r="AK7" s="106" t="str">
        <f>IF(OR('Jogos - Grupos'!F38="",'Jogos - Grupos'!G38=""),"-",IF(OR('Apostas - Grupos'!BT7="",'Apostas - Grupos'!BU7=""),0,IF(AND('Apostas - Grupos'!BT7='Jogos - Grupos'!F38,'Apostas - Grupos'!BU7='Jogos - Grupos'!G38),5,IF(OR(AND('Jogos - Grupos'!F38='Jogos - Grupos'!G38,'Apostas - Grupos'!BT7='Apostas - Grupos'!BU7),AND('Jogos - Grupos'!F38&gt;'Jogos - Grupos'!G38,'Apostas - Grupos'!BT7&gt;'Apostas - Grupos'!BU7),AND('Jogos - Grupos'!F38&lt;'Jogos - Grupos'!G38,'Apostas - Grupos'!BT7&lt;'Apostas - Grupos'!BU7)),IF(('Apostas - Grupos'!BT7-'Apostas - Grupos'!BU7)=('Jogos - Grupos'!F38-'Jogos - Grupos'!G38),3,2),0))))</f>
        <v>-</v>
      </c>
      <c r="AL7" s="106" t="str">
        <f>IF(OR('Jogos - Grupos'!F39="",'Jogos - Grupos'!G39=""),"-",IF(OR('Apostas - Grupos'!BV7="",'Apostas - Grupos'!BW7=""),0,IF(AND('Apostas - Grupos'!BV7='Jogos - Grupos'!F39,'Apostas - Grupos'!BW7='Jogos - Grupos'!G39),5,IF(OR(AND('Jogos - Grupos'!F39='Jogos - Grupos'!G39,'Apostas - Grupos'!BV7='Apostas - Grupos'!BW7),AND('Jogos - Grupos'!F39&gt;'Jogos - Grupos'!G39,'Apostas - Grupos'!BV7&gt;'Apostas - Grupos'!BW7),AND('Jogos - Grupos'!F39&lt;'Jogos - Grupos'!G39,'Apostas - Grupos'!BV7&lt;'Apostas - Grupos'!BW7)),IF(('Apostas - Grupos'!BV7-'Apostas - Grupos'!BW7)=('Jogos - Grupos'!F39-'Jogos - Grupos'!G39),3,2),0))))</f>
        <v>-</v>
      </c>
      <c r="AM7" s="106" t="str">
        <f>IF(OR('Jogos - Grupos'!F40="",'Jogos - Grupos'!G40=""),"-",IF(OR('Apostas - Grupos'!BX7="",'Apostas - Grupos'!BY7=""),0,IF(AND('Apostas - Grupos'!BX7='Jogos - Grupos'!F40,'Apostas - Grupos'!BY7='Jogos - Grupos'!G40),5,IF(OR(AND('Jogos - Grupos'!F40='Jogos - Grupos'!G40,'Apostas - Grupos'!BX7='Apostas - Grupos'!BY7),AND('Jogos - Grupos'!F40&gt;'Jogos - Grupos'!G40,'Apostas - Grupos'!BX7&gt;'Apostas - Grupos'!BY7),AND('Jogos - Grupos'!F40&lt;'Jogos - Grupos'!G40,'Apostas - Grupos'!BX7&lt;'Apostas - Grupos'!BY7)),IF(('Apostas - Grupos'!BX7-'Apostas - Grupos'!BY7)=('Jogos - Grupos'!F40-'Jogos - Grupos'!G40),3,2),0))))</f>
        <v>-</v>
      </c>
      <c r="AN7" s="106" t="str">
        <f>IF(OR('Jogos - Grupos'!F41="",'Jogos - Grupos'!G41=""),"-",IF(OR('Apostas - Grupos'!BZ7="",'Apostas - Grupos'!CA7=""),0,IF(AND('Apostas - Grupos'!BZ7='Jogos - Grupos'!F41,'Apostas - Grupos'!CA7='Jogos - Grupos'!G41),5,IF(OR(AND('Jogos - Grupos'!F41='Jogos - Grupos'!G41,'Apostas - Grupos'!BZ7='Apostas - Grupos'!CA7),AND('Jogos - Grupos'!F41&gt;'Jogos - Grupos'!G41,'Apostas - Grupos'!BZ7&gt;'Apostas - Grupos'!CA7),AND('Jogos - Grupos'!F41&lt;'Jogos - Grupos'!G41,'Apostas - Grupos'!BZ7&lt;'Apostas - Grupos'!CA7)),IF(('Apostas - Grupos'!BZ7-'Apostas - Grupos'!CA7)=('Jogos - Grupos'!F41-'Jogos - Grupos'!G41),3,2),0))))</f>
        <v>-</v>
      </c>
      <c r="AO7" s="106" t="str">
        <f>IF(OR('Jogos - Grupos'!F42="",'Jogos - Grupos'!G42=""),"-",IF(OR('Apostas - Grupos'!CB7="",'Apostas - Grupos'!CC7=""),0,IF(AND('Apostas - Grupos'!CB7='Jogos - Grupos'!F42,'Apostas - Grupos'!CC7='Jogos - Grupos'!G42),5,IF(OR(AND('Jogos - Grupos'!F42='Jogos - Grupos'!G42,'Apostas - Grupos'!CB7='Apostas - Grupos'!CC7),AND('Jogos - Grupos'!F42&gt;'Jogos - Grupos'!G42,'Apostas - Grupos'!CB7&gt;'Apostas - Grupos'!CC7),AND('Jogos - Grupos'!F42&lt;'Jogos - Grupos'!G42,'Apostas - Grupos'!CB7&lt;'Apostas - Grupos'!CC7)),IF(('Apostas - Grupos'!CB7-'Apostas - Grupos'!CC7)=('Jogos - Grupos'!F42-'Jogos - Grupos'!G42),3,2),0))))</f>
        <v>-</v>
      </c>
      <c r="AP7" s="106" t="str">
        <f>IF(OR('Jogos - Grupos'!F43="",'Jogos - Grupos'!G43=""),"-",IF(OR('Apostas - Grupos'!CD7="",'Apostas - Grupos'!CE7=""),0,IF(AND('Apostas - Grupos'!CD7='Jogos - Grupos'!F43,'Apostas - Grupos'!CE7='Jogos - Grupos'!G43),5,IF(OR(AND('Jogos - Grupos'!F43='Jogos - Grupos'!G43,'Apostas - Grupos'!CD7='Apostas - Grupos'!CE7),AND('Jogos - Grupos'!F43&gt;'Jogos - Grupos'!G43,'Apostas - Grupos'!CD7&gt;'Apostas - Grupos'!CE7),AND('Jogos - Grupos'!F43&lt;'Jogos - Grupos'!G43,'Apostas - Grupos'!CD7&lt;'Apostas - Grupos'!CE7)),IF(('Apostas - Grupos'!CD7-'Apostas - Grupos'!CE7)=('Jogos - Grupos'!F43-'Jogos - Grupos'!G43),3,2),0))))</f>
        <v>-</v>
      </c>
      <c r="AQ7" s="106" t="str">
        <f>IF(OR('Jogos - Grupos'!F44="",'Jogos - Grupos'!G44=""),"-",IF(OR('Apostas - Grupos'!CF7="",'Apostas - Grupos'!CG7=""),0,IF(AND('Apostas - Grupos'!CF7='Jogos - Grupos'!F44,'Apostas - Grupos'!CG7='Jogos - Grupos'!G44),5,IF(OR(AND('Jogos - Grupos'!F44='Jogos - Grupos'!G44,'Apostas - Grupos'!CF7='Apostas - Grupos'!CG7),AND('Jogos - Grupos'!F44&gt;'Jogos - Grupos'!G44,'Apostas - Grupos'!CF7&gt;'Apostas - Grupos'!CG7),AND('Jogos - Grupos'!F44&lt;'Jogos - Grupos'!G44,'Apostas - Grupos'!CF7&lt;'Apostas - Grupos'!CG7)),IF(('Apostas - Grupos'!CF7-'Apostas - Grupos'!CG7)=('Jogos - Grupos'!F44-'Jogos - Grupos'!G44),3,2),0))))</f>
        <v>-</v>
      </c>
      <c r="AR7" s="106" t="str">
        <f>IF(OR('Jogos - Grupos'!F45="",'Jogos - Grupos'!G45=""),"-",IF(OR('Apostas - Grupos'!CH7="",'Apostas - Grupos'!CI7=""),0,IF(AND('Apostas - Grupos'!CH7='Jogos - Grupos'!F45,'Apostas - Grupos'!CI7='Jogos - Grupos'!G45),5,IF(OR(AND('Jogos - Grupos'!F45='Jogos - Grupos'!G45,'Apostas - Grupos'!CH7='Apostas - Grupos'!CI7),AND('Jogos - Grupos'!F45&gt;'Jogos - Grupos'!G45,'Apostas - Grupos'!CH7&gt;'Apostas - Grupos'!CI7),AND('Jogos - Grupos'!F45&lt;'Jogos - Grupos'!G45,'Apostas - Grupos'!CH7&lt;'Apostas - Grupos'!CI7)),IF(('Apostas - Grupos'!CH7-'Apostas - Grupos'!CI7)=('Jogos - Grupos'!F45-'Jogos - Grupos'!G45),3,2),0))))</f>
        <v>-</v>
      </c>
      <c r="AS7" s="106" t="str">
        <f>IF(OR('Jogos - Grupos'!F46="",'Jogos - Grupos'!G46=""),"-",IF(OR('Apostas - Grupos'!CJ7="",'Apostas - Grupos'!CK7=""),0,IF(AND('Apostas - Grupos'!CJ7='Jogos - Grupos'!F46,'Apostas - Grupos'!CK7='Jogos - Grupos'!G46),5,IF(OR(AND('Jogos - Grupos'!F46='Jogos - Grupos'!G46,'Apostas - Grupos'!CJ7='Apostas - Grupos'!CK7),AND('Jogos - Grupos'!F46&gt;'Jogos - Grupos'!G46,'Apostas - Grupos'!CJ7&gt;'Apostas - Grupos'!CK7),AND('Jogos - Grupos'!F46&lt;'Jogos - Grupos'!G46,'Apostas - Grupos'!CJ7&lt;'Apostas - Grupos'!CK7)),IF(('Apostas - Grupos'!CJ7-'Apostas - Grupos'!CK7)=('Jogos - Grupos'!F46-'Jogos - Grupos'!G46),3,2),0))))</f>
        <v>-</v>
      </c>
      <c r="AT7" s="106" t="str">
        <f>IF(OR('Jogos - Grupos'!F47="",'Jogos - Grupos'!G47=""),"-",IF(OR('Apostas - Grupos'!CL7="",'Apostas - Grupos'!CM7=""),0,IF(AND('Apostas - Grupos'!CL7='Jogos - Grupos'!F47,'Apostas - Grupos'!CM7='Jogos - Grupos'!G47),5,IF(OR(AND('Jogos - Grupos'!F47='Jogos - Grupos'!G47,'Apostas - Grupos'!CL7='Apostas - Grupos'!CM7),AND('Jogos - Grupos'!F47&gt;'Jogos - Grupos'!G47,'Apostas - Grupos'!CL7&gt;'Apostas - Grupos'!CM7),AND('Jogos - Grupos'!F47&lt;'Jogos - Grupos'!G47,'Apostas - Grupos'!CL7&lt;'Apostas - Grupos'!CM7)),IF(('Apostas - Grupos'!CL7-'Apostas - Grupos'!CM7)=('Jogos - Grupos'!F47-'Jogos - Grupos'!G47),3,2),0))))</f>
        <v>-</v>
      </c>
      <c r="AU7" s="106" t="str">
        <f>IF(OR('Jogos - Grupos'!F48="",'Jogos - Grupos'!G48=""),"-",IF(OR('Apostas - Grupos'!CN7="",'Apostas - Grupos'!CO7=""),0,IF(AND('Apostas - Grupos'!CN7='Jogos - Grupos'!F48,'Apostas - Grupos'!CO7='Jogos - Grupos'!G48),5,IF(OR(AND('Jogos - Grupos'!F48='Jogos - Grupos'!G48,'Apostas - Grupos'!CN7='Apostas - Grupos'!CO7),AND('Jogos - Grupos'!F48&gt;'Jogos - Grupos'!G48,'Apostas - Grupos'!CN7&gt;'Apostas - Grupos'!CO7),AND('Jogos - Grupos'!F48&lt;'Jogos - Grupos'!G48,'Apostas - Grupos'!CN7&lt;'Apostas - Grupos'!CO7)),IF(('Apostas - Grupos'!CN7-'Apostas - Grupos'!CO7)=('Jogos - Grupos'!F48-'Jogos - Grupos'!G48),3,2),0))))</f>
        <v>-</v>
      </c>
      <c r="AV7" s="106" t="str">
        <f>IF(OR('Jogos - Grupos'!F49="",'Jogos - Grupos'!G49=""),"-",IF(OR('Apostas - Grupos'!CP7="",'Apostas - Grupos'!CQ7=""),0,IF(AND('Apostas - Grupos'!CP7='Jogos - Grupos'!F49,'Apostas - Grupos'!CQ7='Jogos - Grupos'!G49),5,IF(OR(AND('Jogos - Grupos'!F49='Jogos - Grupos'!G49,'Apostas - Grupos'!CP7='Apostas - Grupos'!CQ7),AND('Jogos - Grupos'!F49&gt;'Jogos - Grupos'!G49,'Apostas - Grupos'!CP7&gt;'Apostas - Grupos'!CQ7),AND('Jogos - Grupos'!F49&lt;'Jogos - Grupos'!G49,'Apostas - Grupos'!CP7&lt;'Apostas - Grupos'!CQ7)),IF(('Apostas - Grupos'!CP7-'Apostas - Grupos'!CQ7)=('Jogos - Grupos'!F49-'Jogos - Grupos'!G49),3,2),0))))</f>
        <v>-</v>
      </c>
      <c r="AW7" s="106" t="str">
        <f>IF(OR('Jogos - Grupos'!F50="",'Jogos - Grupos'!G50=""),"-",IF(OR('Apostas - Grupos'!CR7="",'Apostas - Grupos'!CS7=""),0,IF(AND('Apostas - Grupos'!CR7='Jogos - Grupos'!F50,'Apostas - Grupos'!CS7='Jogos - Grupos'!G50),5,IF(OR(AND('Jogos - Grupos'!F50='Jogos - Grupos'!G50,'Apostas - Grupos'!CR7='Apostas - Grupos'!CS7),AND('Jogos - Grupos'!F50&gt;'Jogos - Grupos'!G50,'Apostas - Grupos'!CR7&gt;'Apostas - Grupos'!CS7),AND('Jogos - Grupos'!F50&lt;'Jogos - Grupos'!G50,'Apostas - Grupos'!CR7&lt;'Apostas - Grupos'!CS7)),IF(('Apostas - Grupos'!CR7-'Apostas - Grupos'!CS7)=('Jogos - Grupos'!F50-'Jogos - Grupos'!G50),3,2),0))))</f>
        <v>-</v>
      </c>
      <c r="AX7" s="106" t="str">
        <f>IF(OR('Jogos - Grupos'!F51="",'Jogos - Grupos'!G51=""),"-",IF(OR('Apostas - Grupos'!CT7="",'Apostas - Grupos'!CU7=""),0,IF(AND('Apostas - Grupos'!CT7='Jogos - Grupos'!F51,'Apostas - Grupos'!CU7='Jogos - Grupos'!G51),5,IF(OR(AND('Jogos - Grupos'!F51='Jogos - Grupos'!G51,'Apostas - Grupos'!CT7='Apostas - Grupos'!CU7),AND('Jogos - Grupos'!F51&gt;'Jogos - Grupos'!G51,'Apostas - Grupos'!CT7&gt;'Apostas - Grupos'!CU7),AND('Jogos - Grupos'!F51&lt;'Jogos - Grupos'!G51,'Apostas - Grupos'!CT7&lt;'Apostas - Grupos'!CU7)),IF(('Apostas - Grupos'!CT7-'Apostas - Grupos'!CU7)=('Jogos - Grupos'!F51-'Jogos - Grupos'!G51),3,2),0))))</f>
        <v>-</v>
      </c>
      <c r="AY7" s="106" t="str">
        <f>IF(OR('Jogos - Grupos'!F52="",'Jogos - Grupos'!G52=""),"-",IF(OR('Apostas - Grupos'!CV7="",'Apostas - Grupos'!CW7=""),0,IF(AND('Apostas - Grupos'!CV7='Jogos - Grupos'!F52,'Apostas - Grupos'!CW7='Jogos - Grupos'!G52),5,IF(OR(AND('Jogos - Grupos'!F52='Jogos - Grupos'!G52,'Apostas - Grupos'!CV7='Apostas - Grupos'!CW7),AND('Jogos - Grupos'!F52&gt;'Jogos - Grupos'!G52,'Apostas - Grupos'!CV7&gt;'Apostas - Grupos'!CW7),AND('Jogos - Grupos'!F52&lt;'Jogos - Grupos'!G52,'Apostas - Grupos'!CV7&lt;'Apostas - Grupos'!CW7)),IF(('Apostas - Grupos'!CV7-'Apostas - Grupos'!CW7)=('Jogos - Grupos'!F52-'Jogos - Grupos'!G52),3,2),0))))</f>
        <v>-</v>
      </c>
      <c r="AZ7" s="106" t="str">
        <f>IF(OR('Jogos - Grupos'!F53="",'Jogos - Grupos'!G53=""),"-",IF(OR('Apostas - Grupos'!CX7="",'Apostas - Grupos'!CY7=""),0,IF(AND('Apostas - Grupos'!CX7='Jogos - Grupos'!F53,'Apostas - Grupos'!CY7='Jogos - Grupos'!G53),5,IF(OR(AND('Jogos - Grupos'!F53='Jogos - Grupos'!G53,'Apostas - Grupos'!CX7='Apostas - Grupos'!CY7),AND('Jogos - Grupos'!F53&gt;'Jogos - Grupos'!G53,'Apostas - Grupos'!CX7&gt;'Apostas - Grupos'!CY7),AND('Jogos - Grupos'!F53&lt;'Jogos - Grupos'!G53,'Apostas - Grupos'!CX7&lt;'Apostas - Grupos'!CY7)),IF(('Apostas - Grupos'!CX7-'Apostas - Grupos'!CY7)=('Jogos - Grupos'!F53-'Jogos - Grupos'!G53),3,2),0))))</f>
        <v>-</v>
      </c>
      <c r="BA7" s="106" t="str">
        <f>IF(OR('Jogos - Grupos'!F54="",'Jogos - Grupos'!G54=""),"-",IF(OR('Apostas - Grupos'!CZ7="",'Apostas - Grupos'!DA7=""),0,IF(AND('Apostas - Grupos'!CZ7='Jogos - Grupos'!F54,'Apostas - Grupos'!DA7='Jogos - Grupos'!G54),5,IF(OR(AND('Jogos - Grupos'!F54='Jogos - Grupos'!G54,'Apostas - Grupos'!CZ7='Apostas - Grupos'!DA7),AND('Jogos - Grupos'!F54&gt;'Jogos - Grupos'!G54,'Apostas - Grupos'!CZ7&gt;'Apostas - Grupos'!DA7),AND('Jogos - Grupos'!F54&lt;'Jogos - Grupos'!G54,'Apostas - Grupos'!CZ7&lt;'Apostas - Grupos'!DA7)),IF(('Apostas - Grupos'!CZ7-'Apostas - Grupos'!DA7)=('Jogos - Grupos'!F54-'Jogos - Grupos'!G54),3,2),0))))</f>
        <v>-</v>
      </c>
      <c r="BB7" s="106" t="str">
        <f>IF(OR('Jogos - Grupos'!F55="",'Jogos - Grupos'!G55=""),"-",IF(OR('Apostas - Grupos'!DB7="",'Apostas - Grupos'!DC7=""),0,IF(AND('Apostas - Grupos'!DB7='Jogos - Grupos'!F55,'Apostas - Grupos'!DC7='Jogos - Grupos'!G55),5,IF(OR(AND('Jogos - Grupos'!F55='Jogos - Grupos'!G55,'Apostas - Grupos'!DB7='Apostas - Grupos'!DC7),AND('Jogos - Grupos'!F55&gt;'Jogos - Grupos'!G55,'Apostas - Grupos'!DB7&gt;'Apostas - Grupos'!DC7),AND('Jogos - Grupos'!F55&lt;'Jogos - Grupos'!G55,'Apostas - Grupos'!DB7&lt;'Apostas - Grupos'!DC7)),IF(('Apostas - Grupos'!DB7-'Apostas - Grupos'!DC7)=('Jogos - Grupos'!F55-'Jogos - Grupos'!G55),3,2),0))))</f>
        <v>-</v>
      </c>
      <c r="BC7" s="106" t="str">
        <f>IF(OR('Jogos - Grupos'!F56="",'Jogos - Grupos'!G56=""),"-",IF(OR('Apostas - Grupos'!DD7="",'Apostas - Grupos'!DE7=""),0,IF(AND('Apostas - Grupos'!DD7='Jogos - Grupos'!F56,'Apostas - Grupos'!DE7='Jogos - Grupos'!G56),5,IF(OR(AND('Jogos - Grupos'!F56='Jogos - Grupos'!G56,'Apostas - Grupos'!DD7='Apostas - Grupos'!DE7),AND('Jogos - Grupos'!F56&gt;'Jogos - Grupos'!G56,'Apostas - Grupos'!DD7&gt;'Apostas - Grupos'!DE7),AND('Jogos - Grupos'!F56&lt;'Jogos - Grupos'!G56,'Apostas - Grupos'!DD7&lt;'Apostas - Grupos'!DE7)),IF(('Apostas - Grupos'!DD7-'Apostas - Grupos'!DE7)=('Jogos - Grupos'!F56-'Jogos - Grupos'!G56),3,2),0))))</f>
        <v>-</v>
      </c>
      <c r="BD7" s="106" t="str">
        <f>IF(OR('Jogos - Grupos'!F57="",'Jogos - Grupos'!G57=""),"-",IF(OR('Apostas - Grupos'!DF7="",'Apostas - Grupos'!DG7=""),0,IF(AND('Apostas - Grupos'!DF7='Jogos - Grupos'!F57,'Apostas - Grupos'!DG7='Jogos - Grupos'!G57),5,IF(OR(AND('Jogos - Grupos'!F57='Jogos - Grupos'!G57,'Apostas - Grupos'!DF7='Apostas - Grupos'!DG7),AND('Jogos - Grupos'!F57&gt;'Jogos - Grupos'!G57,'Apostas - Grupos'!DF7&gt;'Apostas - Grupos'!DG7),AND('Jogos - Grupos'!F57&lt;'Jogos - Grupos'!G57,'Apostas - Grupos'!DF7&lt;'Apostas - Grupos'!DG7)),IF(('Apostas - Grupos'!DF7-'Apostas - Grupos'!DG7)=('Jogos - Grupos'!F57-'Jogos - Grupos'!G57),3,2),0))))</f>
        <v>-</v>
      </c>
      <c r="BE7" s="106" t="str">
        <f>IF(OR('Jogos - Grupos'!F58="",'Jogos - Grupos'!G58=""),"-",IF(OR('Apostas - Grupos'!DH7="",'Apostas - Grupos'!DI7=""),0,IF(AND('Apostas - Grupos'!DH7='Jogos - Grupos'!F58,'Apostas - Grupos'!DI7='Jogos - Grupos'!G58),5,IF(OR(AND('Jogos - Grupos'!F58='Jogos - Grupos'!G58,'Apostas - Grupos'!DH7='Apostas - Grupos'!DI7),AND('Jogos - Grupos'!F58&gt;'Jogos - Grupos'!G58,'Apostas - Grupos'!DH7&gt;'Apostas - Grupos'!DI7),AND('Jogos - Grupos'!F58&lt;'Jogos - Grupos'!G58,'Apostas - Grupos'!DH7&lt;'Apostas - Grupos'!DI7)),IF(('Apostas - Grupos'!DH7-'Apostas - Grupos'!DI7)=('Jogos - Grupos'!F58-'Jogos - Grupos'!G58),3,2),0))))</f>
        <v>-</v>
      </c>
      <c r="BF7" s="106" t="str">
        <f>IF(OR('Jogos - Grupos'!F59="",'Jogos - Grupos'!G59=""),"-",IF(OR('Apostas - Grupos'!DJ7="",'Apostas - Grupos'!DK7=""),0,IF(AND('Apostas - Grupos'!DJ7='Jogos - Grupos'!F59,'Apostas - Grupos'!DK7='Jogos - Grupos'!G59),5,IF(OR(AND('Jogos - Grupos'!F59='Jogos - Grupos'!G59,'Apostas - Grupos'!DJ7='Apostas - Grupos'!DK7),AND('Jogos - Grupos'!F59&gt;'Jogos - Grupos'!G59,'Apostas - Grupos'!DJ7&gt;'Apostas - Grupos'!DK7),AND('Jogos - Grupos'!F59&lt;'Jogos - Grupos'!G59,'Apostas - Grupos'!DJ7&lt;'Apostas - Grupos'!DK7)),IF(('Apostas - Grupos'!DJ7-'Apostas - Grupos'!DK7)=('Jogos - Grupos'!F59-'Jogos - Grupos'!G59),3,2),0))))</f>
        <v>-</v>
      </c>
      <c r="BG7" s="106" t="str">
        <f>IF(OR('Jogos - Grupos'!F60="",'Jogos - Grupos'!G60=""),"-",IF(OR('Apostas - Grupos'!DL7="",'Apostas - Grupos'!DM7=""),0,IF(AND('Apostas - Grupos'!DL7='Jogos - Grupos'!F60,'Apostas - Grupos'!DM7='Jogos - Grupos'!G60),5,IF(OR(AND('Jogos - Grupos'!F60='Jogos - Grupos'!G60,'Apostas - Grupos'!DL7='Apostas - Grupos'!DM7),AND('Jogos - Grupos'!F60&gt;'Jogos - Grupos'!G60,'Apostas - Grupos'!DL7&gt;'Apostas - Grupos'!DM7),AND('Jogos - Grupos'!F60&lt;'Jogos - Grupos'!G60,'Apostas - Grupos'!DL7&lt;'Apostas - Grupos'!DM7)),IF(('Apostas - Grupos'!DL7-'Apostas - Grupos'!DM7)=('Jogos - Grupos'!F60-'Jogos - Grupos'!G60),3,2),0))))</f>
        <v>-</v>
      </c>
      <c r="BH7" s="106" t="str">
        <f>IF(OR('Jogos - Grupos'!F61="",'Jogos - Grupos'!G61=""),"-",IF(OR('Apostas - Grupos'!DN7="",'Apostas - Grupos'!DO7=""),0,IF(AND('Apostas - Grupos'!DN7='Jogos - Grupos'!F61,'Apostas - Grupos'!DO7='Jogos - Grupos'!G61),5,IF(OR(AND('Jogos - Grupos'!F61='Jogos - Grupos'!G61,'Apostas - Grupos'!DN7='Apostas - Grupos'!DO7),AND('Jogos - Grupos'!F61&gt;'Jogos - Grupos'!G61,'Apostas - Grupos'!DN7&gt;'Apostas - Grupos'!DO7),AND('Jogos - Grupos'!F61&lt;'Jogos - Grupos'!G61,'Apostas - Grupos'!DN7&lt;'Apostas - Grupos'!DO7)),IF(('Apostas - Grupos'!DN7-'Apostas - Grupos'!DO7)=('Jogos - Grupos'!F61-'Jogos - Grupos'!G61),3,2),0))))</f>
        <v>-</v>
      </c>
      <c r="BI7" s="106" t="str">
        <f>IF(OR('Jogos - Grupos'!F62="",'Jogos - Grupos'!G62=""),"-",IF(OR('Apostas - Grupos'!DP7="",'Apostas - Grupos'!DQ7=""),0,IF(AND('Apostas - Grupos'!DP7='Jogos - Grupos'!F62,'Apostas - Grupos'!DQ7='Jogos - Grupos'!G62),5,IF(OR(AND('Jogos - Grupos'!F62='Jogos - Grupos'!G62,'Apostas - Grupos'!DP7='Apostas - Grupos'!DQ7),AND('Jogos - Grupos'!F62&gt;'Jogos - Grupos'!G62,'Apostas - Grupos'!DP7&gt;'Apostas - Grupos'!DQ7),AND('Jogos - Grupos'!F62&lt;'Jogos - Grupos'!G62,'Apostas - Grupos'!DP7&lt;'Apostas - Grupos'!DQ7)),IF(('Apostas - Grupos'!DP7-'Apostas - Grupos'!DQ7)=('Jogos - Grupos'!F62-'Jogos - Grupos'!G62),3,2),0))))</f>
        <v>-</v>
      </c>
      <c r="BJ7" s="106" t="str">
        <f>IF(OR('Jogos - Grupos'!F63="",'Jogos - Grupos'!G63=""),"-",IF(OR('Apostas - Grupos'!DR7="",'Apostas - Grupos'!DS7=""),0,IF(AND('Apostas - Grupos'!DR7='Jogos - Grupos'!F63,'Apostas - Grupos'!DS7='Jogos - Grupos'!G63),5,IF(OR(AND('Jogos - Grupos'!F63='Jogos - Grupos'!G63,'Apostas - Grupos'!DR7='Apostas - Grupos'!DS7),AND('Jogos - Grupos'!F63&gt;'Jogos - Grupos'!G63,'Apostas - Grupos'!DR7&gt;'Apostas - Grupos'!DS7),AND('Jogos - Grupos'!F63&lt;'Jogos - Grupos'!G63,'Apostas - Grupos'!DR7&lt;'Apostas - Grupos'!DS7)),IF(('Apostas - Grupos'!DR7-'Apostas - Grupos'!DS7)=('Jogos - Grupos'!F63-'Jogos - Grupos'!G63),3,2),0))))</f>
        <v>-</v>
      </c>
      <c r="BK7" s="106" t="str">
        <f>IF(OR('Jogos - Grupos'!F64="",'Jogos - Grupos'!G64=""),"-",IF(OR('Apostas - Grupos'!DT7="",'Apostas - Grupos'!DU7=""),0,IF(AND('Apostas - Grupos'!DT7='Jogos - Grupos'!F64,'Apostas - Grupos'!DU7='Jogos - Grupos'!G64),5,IF(OR(AND('Jogos - Grupos'!F64='Jogos - Grupos'!G64,'Apostas - Grupos'!DT7='Apostas - Grupos'!DU7),AND('Jogos - Grupos'!F64&gt;'Jogos - Grupos'!G64,'Apostas - Grupos'!DT7&gt;'Apostas - Grupos'!DU7),AND('Jogos - Grupos'!F64&lt;'Jogos - Grupos'!G64,'Apostas - Grupos'!DT7&lt;'Apostas - Grupos'!DU7)),IF(('Apostas - Grupos'!DT7-'Apostas - Grupos'!DU7)=('Jogos - Grupos'!F64-'Jogos - Grupos'!G64),3,2),0))))</f>
        <v>-</v>
      </c>
      <c r="BL7" s="106" t="str">
        <f>IF(OR('Jogos - Grupos'!F65="",'Jogos - Grupos'!G65=""),"-",IF(OR('Apostas - Grupos'!DV7="",'Apostas - Grupos'!DW7=""),0,IF(AND('Apostas - Grupos'!DV7='Jogos - Grupos'!F65,'Apostas - Grupos'!DW7='Jogos - Grupos'!G65),5,IF(OR(AND('Jogos - Grupos'!F65='Jogos - Grupos'!G65,'Apostas - Grupos'!DV7='Apostas - Grupos'!DW7),AND('Jogos - Grupos'!F65&gt;'Jogos - Grupos'!G65,'Apostas - Grupos'!DV7&gt;'Apostas - Grupos'!DW7),AND('Jogos - Grupos'!F65&lt;'Jogos - Grupos'!G65,'Apostas - Grupos'!DV7&lt;'Apostas - Grupos'!DW7)),IF(('Apostas - Grupos'!DV7-'Apostas - Grupos'!DW7)=('Jogos - Grupos'!F65-'Jogos - Grupos'!G65),3,2),0))))</f>
        <v>-</v>
      </c>
      <c r="BM7" s="106" t="str">
        <f>IF(OR('Jogos - Grupos'!F66="",'Jogos - Grupos'!G66=""),"-",IF(OR('Apostas - Grupos'!DX7="",'Apostas - Grupos'!DY7=""),0,IF(AND('Apostas - Grupos'!DX7='Jogos - Grupos'!F66,'Apostas - Grupos'!DY7='Jogos - Grupos'!G66),5,IF(OR(AND('Jogos - Grupos'!F66='Jogos - Grupos'!G66,'Apostas - Grupos'!DX7='Apostas - Grupos'!DY7),AND('Jogos - Grupos'!F66&gt;'Jogos - Grupos'!G66,'Apostas - Grupos'!DX7&gt;'Apostas - Grupos'!DY7),AND('Jogos - Grupos'!F66&lt;'Jogos - Grupos'!G66,'Apostas - Grupos'!DX7&lt;'Apostas - Grupos'!DY7)),IF(('Apostas - Grupos'!DX7-'Apostas - Grupos'!DY7)=('Jogos - Grupos'!F66-'Jogos - Grupos'!G66),3,2),0))))</f>
        <v>-</v>
      </c>
      <c r="BN7" s="106" t="str">
        <f>IF(OR('Jogos - Grupos'!F67="",'Jogos - Grupos'!G67=""),"-",IF(OR('Apostas - Grupos'!DZ7="",'Apostas - Grupos'!EA7=""),0,IF(AND('Apostas - Grupos'!DZ7='Jogos - Grupos'!F67,'Apostas - Grupos'!EA7='Jogos - Grupos'!G67),5,IF(OR(AND('Jogos - Grupos'!F67='Jogos - Grupos'!G67,'Apostas - Grupos'!DZ7='Apostas - Grupos'!EA7),AND('Jogos - Grupos'!F67&gt;'Jogos - Grupos'!G67,'Apostas - Grupos'!DZ7&gt;'Apostas - Grupos'!EA7),AND('Jogos - Grupos'!F67&lt;'Jogos - Grupos'!G67,'Apostas - Grupos'!DZ7&lt;'Apostas - Grupos'!EA7)),IF(('Apostas - Grupos'!DZ7-'Apostas - Grupos'!EA7)=('Jogos - Grupos'!F67-'Jogos - Grupos'!G67),3,2),0))))</f>
        <v>-</v>
      </c>
      <c r="BO7" s="106" t="str">
        <f>IF(OR('Jogos - Grupos'!F68="",'Jogos - Grupos'!G68=""),"-",IF(OR('Apostas - Grupos'!EB7="",'Apostas - Grupos'!EC7=""),0,IF(AND('Apostas - Grupos'!EB7='Jogos - Grupos'!F68,'Apostas - Grupos'!EC7='Jogos - Grupos'!G68),5,IF(OR(AND('Jogos - Grupos'!F68='Jogos - Grupos'!G68,'Apostas - Grupos'!EB7='Apostas - Grupos'!EC7),AND('Jogos - Grupos'!F68&gt;'Jogos - Grupos'!G68,'Apostas - Grupos'!EB7&gt;'Apostas - Grupos'!EC7),AND('Jogos - Grupos'!F68&lt;'Jogos - Grupos'!G68,'Apostas - Grupos'!EB7&lt;'Apostas - Grupos'!EC7)),IF(('Apostas - Grupos'!EB7-'Apostas - Grupos'!EC7)=('Jogos - Grupos'!F68-'Jogos - Grupos'!G68),3,2),0))))</f>
        <v>-</v>
      </c>
      <c r="BP7" s="106" t="str">
        <f>IF(OR('Jogos - Grupos'!F69="",'Jogos - Grupos'!G69=""),"-",IF(OR('Apostas - Grupos'!ED7="",'Apostas - Grupos'!EE7=""),0,IF(AND('Apostas - Grupos'!ED7='Jogos - Grupos'!F69,'Apostas - Grupos'!EE7='Jogos - Grupos'!G69),5,IF(OR(AND('Jogos - Grupos'!F69='Jogos - Grupos'!G69,'Apostas - Grupos'!ED7='Apostas - Grupos'!EE7),AND('Jogos - Grupos'!F69&gt;'Jogos - Grupos'!G69,'Apostas - Grupos'!ED7&gt;'Apostas - Grupos'!EE7),AND('Jogos - Grupos'!F69&lt;'Jogos - Grupos'!G69,'Apostas - Grupos'!ED7&lt;'Apostas - Grupos'!EE7)),IF(('Apostas - Grupos'!ED7-'Apostas - Grupos'!EE7)=('Jogos - Grupos'!F69-'Jogos - Grupos'!G69),3,2),0))))</f>
        <v>-</v>
      </c>
      <c r="BQ7" s="106" t="str">
        <f>IF(OR('Jogos - Grupos'!F70="",'Jogos - Grupos'!G70=""),"-",IF(OR('Apostas - Grupos'!EF7="",'Apostas - Grupos'!EG7=""),0,IF(AND('Apostas - Grupos'!EF7='Jogos - Grupos'!F70,'Apostas - Grupos'!EG7='Jogos - Grupos'!G70),5,IF(OR(AND('Jogos - Grupos'!F70='Jogos - Grupos'!G70,'Apostas - Grupos'!EF7='Apostas - Grupos'!EG7),AND('Jogos - Grupos'!F70&gt;'Jogos - Grupos'!G70,'Apostas - Grupos'!EF7&gt;'Apostas - Grupos'!EG7),AND('Jogos - Grupos'!F70&lt;'Jogos - Grupos'!G70,'Apostas - Grupos'!EF7&lt;'Apostas - Grupos'!EG7)),IF(('Apostas - Grupos'!EF7-'Apostas - Grupos'!EG7)=('Jogos - Grupos'!F70-'Jogos - Grupos'!G70),3,2),0))))</f>
        <v>-</v>
      </c>
      <c r="BR7" s="106" t="str">
        <f>IF(OR('Jogos - Grupos'!F71="",'Jogos - Grupos'!G71=""),"-",IF(OR('Apostas - Grupos'!EH7="",'Apostas - Grupos'!EI7=""),0,IF(AND('Apostas - Grupos'!EH7='Jogos - Grupos'!F71,'Apostas - Grupos'!EI7='Jogos - Grupos'!G71),5,IF(OR(AND('Jogos - Grupos'!F71='Jogos - Grupos'!G71,'Apostas - Grupos'!EH7='Apostas - Grupos'!EI7),AND('Jogos - Grupos'!F71&gt;'Jogos - Grupos'!G71,'Apostas - Grupos'!EH7&gt;'Apostas - Grupos'!EI7),AND('Jogos - Grupos'!F71&lt;'Jogos - Grupos'!G71,'Apostas - Grupos'!EH7&lt;'Apostas - Grupos'!EI7)),IF(('Apostas - Grupos'!EH7-'Apostas - Grupos'!EI7)=('Jogos - Grupos'!F71-'Jogos - Grupos'!G71),3,2),0))))</f>
        <v>-</v>
      </c>
      <c r="BS7" s="106" t="str">
        <f>IF(OR('Jogos - Grupos'!F72="",'Jogos - Grupos'!G72=""),"-",IF(OR('Apostas - Grupos'!EJ7="",'Apostas - Grupos'!EK7=""),0,IF(AND('Apostas - Grupos'!EJ7='Jogos - Grupos'!F72,'Apostas - Grupos'!EK7='Jogos - Grupos'!G72),5,IF(OR(AND('Jogos - Grupos'!F72='Jogos - Grupos'!G72,'Apostas - Grupos'!EJ7='Apostas - Grupos'!EK7),AND('Jogos - Grupos'!F72&gt;'Jogos - Grupos'!G72,'Apostas - Grupos'!EJ7&gt;'Apostas - Grupos'!EK7),AND('Jogos - Grupos'!F72&lt;'Jogos - Grupos'!G72,'Apostas - Grupos'!EJ7&lt;'Apostas - Grupos'!EK7)),IF(('Apostas - Grupos'!EJ7-'Apostas - Grupos'!EK7)=('Jogos - Grupos'!F72-'Jogos - Grupos'!G72),3,2),0))))</f>
        <v>-</v>
      </c>
      <c r="BT7" s="106" t="str">
        <f>IF(OR('Jogos - Grupos'!F73="",'Jogos - Grupos'!G73=""),"-",IF(OR('Apostas - Grupos'!EL7="",'Apostas - Grupos'!EM7=""),0,IF(AND('Apostas - Grupos'!EL7='Jogos - Grupos'!F73,'Apostas - Grupos'!EM7='Jogos - Grupos'!G73),5,IF(OR(AND('Jogos - Grupos'!F73='Jogos - Grupos'!G73,'Apostas - Grupos'!EL7='Apostas - Grupos'!EM7),AND('Jogos - Grupos'!F73&gt;'Jogos - Grupos'!G73,'Apostas - Grupos'!EL7&gt;'Apostas - Grupos'!EM7),AND('Jogos - Grupos'!F73&lt;'Jogos - Grupos'!G73,'Apostas - Grupos'!EL7&lt;'Apostas - Grupos'!EM7)),IF(('Apostas - Grupos'!EL7-'Apostas - Grupos'!EM7)=('Jogos - Grupos'!F73-'Jogos - Grupos'!G73),3,2),0))))</f>
        <v>-</v>
      </c>
      <c r="BU7" s="106" t="str">
        <f>IF(OR('Jogos - Grupos'!F74="",'Jogos - Grupos'!G74=""),"-",IF(OR('Apostas - Grupos'!EN7="",'Apostas - Grupos'!EO7=""),0,IF(AND('Apostas - Grupos'!EN7='Jogos - Grupos'!F74,'Apostas - Grupos'!EO7='Jogos - Grupos'!G74),5,IF(OR(AND('Jogos - Grupos'!F74='Jogos - Grupos'!G74,'Apostas - Grupos'!EN7='Apostas - Grupos'!EO7),AND('Jogos - Grupos'!F74&gt;'Jogos - Grupos'!G74,'Apostas - Grupos'!EN7&gt;'Apostas - Grupos'!EO7),AND('Jogos - Grupos'!F74&lt;'Jogos - Grupos'!G74,'Apostas - Grupos'!EN7&lt;'Apostas - Grupos'!EO7)),IF(('Apostas - Grupos'!EN7-'Apostas - Grupos'!EO7)=('Jogos - Grupos'!F74-'Jogos - Grupos'!G74),3,2),0))))</f>
        <v>-</v>
      </c>
      <c r="BV7" s="107">
        <f t="shared" si="0"/>
        <v>0</v>
      </c>
    </row>
    <row r="8" spans="1:74" ht="15.6">
      <c r="A8" s="82" t="s">
        <v>264</v>
      </c>
      <c r="B8" s="108">
        <f>IF(OR('Jogos - Grupos'!F3="",'Jogos - Grupos'!G3=""),"-",IF(OR('Apostas - Grupos'!B8="",'Apostas - Grupos'!C8=""),0,IF(AND('Apostas - Grupos'!B8='Jogos - Grupos'!F3,'Apostas - Grupos'!C8='Jogos - Grupos'!G3),5,IF(OR(AND('Jogos - Grupos'!F3='Jogos - Grupos'!G3,'Apostas - Grupos'!B8='Apostas - Grupos'!C8),AND('Jogos - Grupos'!F3&gt;'Jogos - Grupos'!G3,'Apostas - Grupos'!B8&gt;'Apostas - Grupos'!C8),AND('Jogos - Grupos'!F3&lt;'Jogos - Grupos'!G3,'Apostas - Grupos'!B8&lt;'Apostas - Grupos'!C8)),IF(('Apostas - Grupos'!B8-'Apostas - Grupos'!C8)=('Jogos - Grupos'!F3-'Jogos - Grupos'!G3),3,2),0))))</f>
        <v>0</v>
      </c>
      <c r="C8" s="108">
        <f>IF(OR('Jogos - Grupos'!F4="",'Jogos - Grupos'!G4=""),"-",IF(OR('Apostas - Grupos'!D8="",'Apostas - Grupos'!E8=""),0,IF(AND('Apostas - Grupos'!D8='Jogos - Grupos'!F4,'Apostas - Grupos'!E8='Jogos - Grupos'!G4),5,IF(OR(AND('Jogos - Grupos'!F4='Jogos - Grupos'!G4,'Apostas - Grupos'!D8='Apostas - Grupos'!E8),AND('Jogos - Grupos'!F4&gt;'Jogos - Grupos'!G4,'Apostas - Grupos'!D8&gt;'Apostas - Grupos'!E8),AND('Jogos - Grupos'!F4&lt;'Jogos - Grupos'!G4,'Apostas - Grupos'!D8&lt;'Apostas - Grupos'!E8)),IF(('Apostas - Grupos'!D8-'Apostas - Grupos'!E8)=('Jogos - Grupos'!F4-'Jogos - Grupos'!G4),3,2),0))))</f>
        <v>0</v>
      </c>
      <c r="D8" s="108" t="str">
        <f>IF(OR('Jogos - Grupos'!F5="",'Jogos - Grupos'!G5=""),"-",IF(OR('Apostas - Grupos'!F8="",'Apostas - Grupos'!G8=""),0,IF(AND('Apostas - Grupos'!F8='Jogos - Grupos'!F5,'Apostas - Grupos'!G8='Jogos - Grupos'!G5),5,IF(OR(AND('Jogos - Grupos'!F5='Jogos - Grupos'!G5,'Apostas - Grupos'!F8='Apostas - Grupos'!G8),AND('Jogos - Grupos'!F5&gt;'Jogos - Grupos'!G5,'Apostas - Grupos'!F8&gt;'Apostas - Grupos'!G8),AND('Jogos - Grupos'!F5&lt;'Jogos - Grupos'!G5,'Apostas - Grupos'!F8&lt;'Apostas - Grupos'!G8)),IF(('Apostas - Grupos'!F8-'Apostas - Grupos'!G8)=('Jogos - Grupos'!F5-'Jogos - Grupos'!G5),3,2),0))))</f>
        <v>-</v>
      </c>
      <c r="E8" s="108" t="str">
        <f>IF(OR('Jogos - Grupos'!F6="",'Jogos - Grupos'!G6=""),"-",IF(OR('Apostas - Grupos'!H8="",'Apostas - Grupos'!I8=""),0,IF(AND('Apostas - Grupos'!H8='Jogos - Grupos'!F6,'Apostas - Grupos'!I8='Jogos - Grupos'!G6),5,IF(OR(AND('Jogos - Grupos'!F6='Jogos - Grupos'!G6,'Apostas - Grupos'!H8='Apostas - Grupos'!I8),AND('Jogos - Grupos'!F6&gt;'Jogos - Grupos'!G6,'Apostas - Grupos'!H8&gt;'Apostas - Grupos'!I8),AND('Jogos - Grupos'!F6&lt;'Jogos - Grupos'!G6,'Apostas - Grupos'!H8&lt;'Apostas - Grupos'!I8)),IF(('Apostas - Grupos'!H8-'Apostas - Grupos'!I8)=('Jogos - Grupos'!F6-'Jogos - Grupos'!G6),3,2),0))))</f>
        <v>-</v>
      </c>
      <c r="F8" s="108" t="str">
        <f>IF(OR('Jogos - Grupos'!F7="",'Jogos - Grupos'!G7=""),"-",IF(OR('Apostas - Grupos'!J8="",'Apostas - Grupos'!K8=""),0,IF(AND('Apostas - Grupos'!J8='Jogos - Grupos'!F7,'Apostas - Grupos'!K8='Jogos - Grupos'!G7),5,IF(OR(AND('Jogos - Grupos'!F7='Jogos - Grupos'!G7,'Apostas - Grupos'!J8='Apostas - Grupos'!K8),AND('Jogos - Grupos'!F7&gt;'Jogos - Grupos'!G7,'Apostas - Grupos'!J8&gt;'Apostas - Grupos'!K8),AND('Jogos - Grupos'!F7&lt;'Jogos - Grupos'!G7,'Apostas - Grupos'!J8&lt;'Apostas - Grupos'!K8)),IF(('Apostas - Grupos'!J8-'Apostas - Grupos'!K8)=('Jogos - Grupos'!F7-'Jogos - Grupos'!G7),3,2),0))))</f>
        <v>-</v>
      </c>
      <c r="G8" s="108" t="str">
        <f>IF(OR('Jogos - Grupos'!F8="",'Jogos - Grupos'!G8=""),"-",IF(OR('Apostas - Grupos'!L8="",'Apostas - Grupos'!M8=""),0,IF(AND('Apostas - Grupos'!L8='Jogos - Grupos'!F8,'Apostas - Grupos'!M8='Jogos - Grupos'!G8),5,IF(OR(AND('Jogos - Grupos'!F8='Jogos - Grupos'!G8,'Apostas - Grupos'!L8='Apostas - Grupos'!M8),AND('Jogos - Grupos'!F8&gt;'Jogos - Grupos'!G8,'Apostas - Grupos'!L8&gt;'Apostas - Grupos'!M8),AND('Jogos - Grupos'!F8&lt;'Jogos - Grupos'!G8,'Apostas - Grupos'!L8&lt;'Apostas - Grupos'!M8)),IF(('Apostas - Grupos'!L8-'Apostas - Grupos'!M8)=('Jogos - Grupos'!F8-'Jogos - Grupos'!G8),3,2),0))))</f>
        <v>-</v>
      </c>
      <c r="H8" s="108" t="str">
        <f>IF(OR('Jogos - Grupos'!F9="",'Jogos - Grupos'!G9=""),"-",IF(OR('Apostas - Grupos'!N8="",'Apostas - Grupos'!O8=""),0,IF(AND('Apostas - Grupos'!N8='Jogos - Grupos'!F9,'Apostas - Grupos'!O8='Jogos - Grupos'!G9),5,IF(OR(AND('Jogos - Grupos'!F9='Jogos - Grupos'!G9,'Apostas - Grupos'!N8='Apostas - Grupos'!O8),AND('Jogos - Grupos'!F9&gt;'Jogos - Grupos'!G9,'Apostas - Grupos'!N8&gt;'Apostas - Grupos'!O8),AND('Jogos - Grupos'!F9&lt;'Jogos - Grupos'!G9,'Apostas - Grupos'!N8&lt;'Apostas - Grupos'!O8)),IF(('Apostas - Grupos'!N8-'Apostas - Grupos'!O8)=('Jogos - Grupos'!F9-'Jogos - Grupos'!G9),3,2),0))))</f>
        <v>-</v>
      </c>
      <c r="I8" s="108" t="str">
        <f>IF(OR('Jogos - Grupos'!F10="",'Jogos - Grupos'!G10=""),"-",IF(OR('Apostas - Grupos'!P8="",'Apostas - Grupos'!Q8=""),0,IF(AND('Apostas - Grupos'!P8='Jogos - Grupos'!F10,'Apostas - Grupos'!Q8='Jogos - Grupos'!G10),5,IF(OR(AND('Jogos - Grupos'!F10='Jogos - Grupos'!G10,'Apostas - Grupos'!P8='Apostas - Grupos'!Q8),AND('Jogos - Grupos'!F10&gt;'Jogos - Grupos'!G10,'Apostas - Grupos'!P8&gt;'Apostas - Grupos'!Q8),AND('Jogos - Grupos'!F10&lt;'Jogos - Grupos'!G10,'Apostas - Grupos'!P8&lt;'Apostas - Grupos'!Q8)),IF(('Apostas - Grupos'!P8-'Apostas - Grupos'!Q8)=('Jogos - Grupos'!F10-'Jogos - Grupos'!G10),3,2),0))))</f>
        <v>-</v>
      </c>
      <c r="J8" s="108" t="str">
        <f>IF(OR('Jogos - Grupos'!F11="",'Jogos - Grupos'!G11=""),"-",IF(OR('Apostas - Grupos'!R8="",'Apostas - Grupos'!S8=""),0,IF(AND('Apostas - Grupos'!R8='Jogos - Grupos'!F11,'Apostas - Grupos'!S8='Jogos - Grupos'!G11),5,IF(OR(AND('Jogos - Grupos'!F11='Jogos - Grupos'!G11,'Apostas - Grupos'!R8='Apostas - Grupos'!S8),AND('Jogos - Grupos'!F11&gt;'Jogos - Grupos'!G11,'Apostas - Grupos'!R8&gt;'Apostas - Grupos'!S8),AND('Jogos - Grupos'!F11&lt;'Jogos - Grupos'!G11,'Apostas - Grupos'!R8&lt;'Apostas - Grupos'!S8)),IF(('Apostas - Grupos'!R8-'Apostas - Grupos'!S8)=('Jogos - Grupos'!F11-'Jogos - Grupos'!G11),3,2),0))))</f>
        <v>-</v>
      </c>
      <c r="K8" s="108" t="str">
        <f>IF(OR('Jogos - Grupos'!F12="",'Jogos - Grupos'!G12=""),"-",IF(OR('Apostas - Grupos'!T8="",'Apostas - Grupos'!U8=""),0,IF(AND('Apostas - Grupos'!T8='Jogos - Grupos'!F12,'Apostas - Grupos'!U8='Jogos - Grupos'!G12),5,IF(OR(AND('Jogos - Grupos'!F12='Jogos - Grupos'!G12,'Apostas - Grupos'!T8='Apostas - Grupos'!U8),AND('Jogos - Grupos'!F12&gt;'Jogos - Grupos'!G12,'Apostas - Grupos'!T8&gt;'Apostas - Grupos'!U8),AND('Jogos - Grupos'!F12&lt;'Jogos - Grupos'!G12,'Apostas - Grupos'!T8&lt;'Apostas - Grupos'!U8)),IF(('Apostas - Grupos'!T8-'Apostas - Grupos'!U8)=('Jogos - Grupos'!F12-'Jogos - Grupos'!G12),3,2),0))))</f>
        <v>-</v>
      </c>
      <c r="L8" s="108" t="str">
        <f>IF(OR('Jogos - Grupos'!F13="",'Jogos - Grupos'!G13=""),"-",IF(OR('Apostas - Grupos'!V8="",'Apostas - Grupos'!W8=""),0,IF(AND('Apostas - Grupos'!V8='Jogos - Grupos'!F13,'Apostas - Grupos'!W8='Jogos - Grupos'!G13),5,IF(OR(AND('Jogos - Grupos'!F13='Jogos - Grupos'!G13,'Apostas - Grupos'!V8='Apostas - Grupos'!W8),AND('Jogos - Grupos'!F13&gt;'Jogos - Grupos'!G13,'Apostas - Grupos'!V8&gt;'Apostas - Grupos'!W8),AND('Jogos - Grupos'!F13&lt;'Jogos - Grupos'!G13,'Apostas - Grupos'!V8&lt;'Apostas - Grupos'!W8)),IF(('Apostas - Grupos'!V8-'Apostas - Grupos'!W8)=('Jogos - Grupos'!F13-'Jogos - Grupos'!G13),3,2),0))))</f>
        <v>-</v>
      </c>
      <c r="M8" s="108" t="str">
        <f>IF(OR('Jogos - Grupos'!F14="",'Jogos - Grupos'!G14=""),"-",IF(OR('Apostas - Grupos'!X8="",'Apostas - Grupos'!Y8=""),0,IF(AND('Apostas - Grupos'!X8='Jogos - Grupos'!F14,'Apostas - Grupos'!Y8='Jogos - Grupos'!G14),5,IF(OR(AND('Jogos - Grupos'!F14='Jogos - Grupos'!G14,'Apostas - Grupos'!X8='Apostas - Grupos'!Y8),AND('Jogos - Grupos'!F14&gt;'Jogos - Grupos'!G14,'Apostas - Grupos'!X8&gt;'Apostas - Grupos'!Y8),AND('Jogos - Grupos'!F14&lt;'Jogos - Grupos'!G14,'Apostas - Grupos'!X8&lt;'Apostas - Grupos'!Y8)),IF(('Apostas - Grupos'!X8-'Apostas - Grupos'!Y8)=('Jogos - Grupos'!F14-'Jogos - Grupos'!G14),3,2),0))))</f>
        <v>-</v>
      </c>
      <c r="N8" s="108" t="str">
        <f>IF(OR('Jogos - Grupos'!F15="",'Jogos - Grupos'!G15=""),"-",IF(OR('Apostas - Grupos'!Z8="",'Apostas - Grupos'!AA8=""),0,IF(AND('Apostas - Grupos'!Z8='Jogos - Grupos'!F15,'Apostas - Grupos'!AA8='Jogos - Grupos'!G15),5,IF(OR(AND('Jogos - Grupos'!F15='Jogos - Grupos'!G15,'Apostas - Grupos'!Z8='Apostas - Grupos'!AA8),AND('Jogos - Grupos'!F15&gt;'Jogos - Grupos'!G15,'Apostas - Grupos'!Z8&gt;'Apostas - Grupos'!AA8),AND('Jogos - Grupos'!F15&lt;'Jogos - Grupos'!G15,'Apostas - Grupos'!Z8&lt;'Apostas - Grupos'!AA8)),IF(('Apostas - Grupos'!Z8-'Apostas - Grupos'!AA8)=('Jogos - Grupos'!F15-'Jogos - Grupos'!G15),3,2),0))))</f>
        <v>-</v>
      </c>
      <c r="O8" s="108" t="str">
        <f>IF(OR('Jogos - Grupos'!F16="",'Jogos - Grupos'!G16=""),"-",IF(OR('Apostas - Grupos'!AB8="",'Apostas - Grupos'!AC8=""),0,IF(AND('Apostas - Grupos'!AB8='Jogos - Grupos'!F16,'Apostas - Grupos'!AC8='Jogos - Grupos'!G16),5,IF(OR(AND('Jogos - Grupos'!F16='Jogos - Grupos'!G16,'Apostas - Grupos'!AB8='Apostas - Grupos'!AC8),AND('Jogos - Grupos'!F16&gt;'Jogos - Grupos'!G16,'Apostas - Grupos'!AB8&gt;'Apostas - Grupos'!AC8),AND('Jogos - Grupos'!F16&lt;'Jogos - Grupos'!G16,'Apostas - Grupos'!AB8&lt;'Apostas - Grupos'!AC8)),IF(('Apostas - Grupos'!AB8-'Apostas - Grupos'!AC8)=('Jogos - Grupos'!F16-'Jogos - Grupos'!G16),3,2),0))))</f>
        <v>-</v>
      </c>
      <c r="P8" s="108" t="str">
        <f>IF(OR('Jogos - Grupos'!F17="",'Jogos - Grupos'!G17=""),"-",IF(OR('Apostas - Grupos'!AD8="",'Apostas - Grupos'!AE8=""),0,IF(AND('Apostas - Grupos'!AD8='Jogos - Grupos'!F17,'Apostas - Grupos'!AE8='Jogos - Grupos'!G17),5,IF(OR(AND('Jogos - Grupos'!F17='Jogos - Grupos'!G17,'Apostas - Grupos'!AD8='Apostas - Grupos'!AE8),AND('Jogos - Grupos'!F17&gt;'Jogos - Grupos'!G17,'Apostas - Grupos'!AD8&gt;'Apostas - Grupos'!AE8),AND('Jogos - Grupos'!F17&lt;'Jogos - Grupos'!G17,'Apostas - Grupos'!AD8&lt;'Apostas - Grupos'!AE8)),IF(('Apostas - Grupos'!AD8-'Apostas - Grupos'!AE8)=('Jogos - Grupos'!F17-'Jogos - Grupos'!G17),3,2),0))))</f>
        <v>-</v>
      </c>
      <c r="Q8" s="108" t="str">
        <f>IF(OR('Jogos - Grupos'!F18="",'Jogos - Grupos'!G18=""),"-",IF(OR('Apostas - Grupos'!AF8="",'Apostas - Grupos'!AG8=""),0,IF(AND('Apostas - Grupos'!AF8='Jogos - Grupos'!F18,'Apostas - Grupos'!AG8='Jogos - Grupos'!G18),5,IF(OR(AND('Jogos - Grupos'!F18='Jogos - Grupos'!G18,'Apostas - Grupos'!AF8='Apostas - Grupos'!AG8),AND('Jogos - Grupos'!F18&gt;'Jogos - Grupos'!G18,'Apostas - Grupos'!AF8&gt;'Apostas - Grupos'!AG8),AND('Jogos - Grupos'!F18&lt;'Jogos - Grupos'!G18,'Apostas - Grupos'!AF8&lt;'Apostas - Grupos'!AG8)),IF(('Apostas - Grupos'!AF8-'Apostas - Grupos'!AG8)=('Jogos - Grupos'!F18-'Jogos - Grupos'!G18),3,2),0))))</f>
        <v>-</v>
      </c>
      <c r="R8" s="108" t="str">
        <f>IF(OR('Jogos - Grupos'!F19="",'Jogos - Grupos'!G19=""),"-",IF(OR('Apostas - Grupos'!AH8="",'Apostas - Grupos'!AI8=""),0,IF(AND('Apostas - Grupos'!AH8='Jogos - Grupos'!F19,'Apostas - Grupos'!AI8='Jogos - Grupos'!G19),5,IF(OR(AND('Jogos - Grupos'!F19='Jogos - Grupos'!G19,'Apostas - Grupos'!AH8='Apostas - Grupos'!AI8),AND('Jogos - Grupos'!F19&gt;'Jogos - Grupos'!G19,'Apostas - Grupos'!AH8&gt;'Apostas - Grupos'!AI8),AND('Jogos - Grupos'!F19&lt;'Jogos - Grupos'!G19,'Apostas - Grupos'!AH8&lt;'Apostas - Grupos'!AI8)),IF(('Apostas - Grupos'!AH8-'Apostas - Grupos'!AI8)=('Jogos - Grupos'!F19-'Jogos - Grupos'!G19),3,2),0))))</f>
        <v>-</v>
      </c>
      <c r="S8" s="108" t="str">
        <f>IF(OR('Jogos - Grupos'!F20="",'Jogos - Grupos'!G20=""),"-",IF(OR('Apostas - Grupos'!AJ8="",'Apostas - Grupos'!AK8=""),0,IF(AND('Apostas - Grupos'!AJ8='Jogos - Grupos'!F20,'Apostas - Grupos'!AK8='Jogos - Grupos'!G20),5,IF(OR(AND('Jogos - Grupos'!F20='Jogos - Grupos'!G20,'Apostas - Grupos'!AJ8='Apostas - Grupos'!AK8),AND('Jogos - Grupos'!F20&gt;'Jogos - Grupos'!G20,'Apostas - Grupos'!AJ8&gt;'Apostas - Grupos'!AK8),AND('Jogos - Grupos'!F20&lt;'Jogos - Grupos'!G20,'Apostas - Grupos'!AJ8&lt;'Apostas - Grupos'!AK8)),IF(('Apostas - Grupos'!AJ8-'Apostas - Grupos'!AK8)=('Jogos - Grupos'!F20-'Jogos - Grupos'!G20),3,2),0))))</f>
        <v>-</v>
      </c>
      <c r="T8" s="108" t="str">
        <f>IF(OR('Jogos - Grupos'!F21="",'Jogos - Grupos'!G21=""),"-",IF(OR('Apostas - Grupos'!AL8="",'Apostas - Grupos'!AM8=""),0,IF(AND('Apostas - Grupos'!AL8='Jogos - Grupos'!F21,'Apostas - Grupos'!AM8='Jogos - Grupos'!G21),5,IF(OR(AND('Jogos - Grupos'!F21='Jogos - Grupos'!G21,'Apostas - Grupos'!AL8='Apostas - Grupos'!AM8),AND('Jogos - Grupos'!F21&gt;'Jogos - Grupos'!G21,'Apostas - Grupos'!AL8&gt;'Apostas - Grupos'!AM8),AND('Jogos - Grupos'!F21&lt;'Jogos - Grupos'!G21,'Apostas - Grupos'!AL8&lt;'Apostas - Grupos'!AM8)),IF(('Apostas - Grupos'!AL8-'Apostas - Grupos'!AM8)=('Jogos - Grupos'!F21-'Jogos - Grupos'!G21),3,2),0))))</f>
        <v>-</v>
      </c>
      <c r="U8" s="108" t="str">
        <f>IF(OR('Jogos - Grupos'!F22="",'Jogos - Grupos'!G22=""),"-",IF(OR('Apostas - Grupos'!AN8="",'Apostas - Grupos'!AO8=""),0,IF(AND('Apostas - Grupos'!AN8='Jogos - Grupos'!F22,'Apostas - Grupos'!AO8='Jogos - Grupos'!G22),5,IF(OR(AND('Jogos - Grupos'!F22='Jogos - Grupos'!G22,'Apostas - Grupos'!AN8='Apostas - Grupos'!AO8),AND('Jogos - Grupos'!F22&gt;'Jogos - Grupos'!G22,'Apostas - Grupos'!AN8&gt;'Apostas - Grupos'!AO8),AND('Jogos - Grupos'!F22&lt;'Jogos - Grupos'!G22,'Apostas - Grupos'!AN8&lt;'Apostas - Grupos'!AO8)),IF(('Apostas - Grupos'!AN8-'Apostas - Grupos'!AO8)=('Jogos - Grupos'!F22-'Jogos - Grupos'!G22),3,2),0))))</f>
        <v>-</v>
      </c>
      <c r="V8" s="108" t="str">
        <f>IF(OR('Jogos - Grupos'!F23="",'Jogos - Grupos'!G23=""),"-",IF(OR('Apostas - Grupos'!AP8="",'Apostas - Grupos'!AQ8=""),0,IF(AND('Apostas - Grupos'!AP8='Jogos - Grupos'!F23,'Apostas - Grupos'!AQ8='Jogos - Grupos'!G23),5,IF(OR(AND('Jogos - Grupos'!F23='Jogos - Grupos'!G23,'Apostas - Grupos'!AP8='Apostas - Grupos'!AQ8),AND('Jogos - Grupos'!F23&gt;'Jogos - Grupos'!G23,'Apostas - Grupos'!AP8&gt;'Apostas - Grupos'!AQ8),AND('Jogos - Grupos'!F23&lt;'Jogos - Grupos'!G23,'Apostas - Grupos'!AP8&lt;'Apostas - Grupos'!AQ8)),IF(('Apostas - Grupos'!AP8-'Apostas - Grupos'!AQ8)=('Jogos - Grupos'!F23-'Jogos - Grupos'!G23),3,2),0))))</f>
        <v>-</v>
      </c>
      <c r="W8" s="108" t="str">
        <f>IF(OR('Jogos - Grupos'!F24="",'Jogos - Grupos'!G24=""),"-",IF(OR('Apostas - Grupos'!AR8="",'Apostas - Grupos'!AS8=""),0,IF(AND('Apostas - Grupos'!AR8='Jogos - Grupos'!F24,'Apostas - Grupos'!AS8='Jogos - Grupos'!G24),5,IF(OR(AND('Jogos - Grupos'!F24='Jogos - Grupos'!G24,'Apostas - Grupos'!AR8='Apostas - Grupos'!AS8),AND('Jogos - Grupos'!F24&gt;'Jogos - Grupos'!G24,'Apostas - Grupos'!AR8&gt;'Apostas - Grupos'!AS8),AND('Jogos - Grupos'!F24&lt;'Jogos - Grupos'!G24,'Apostas - Grupos'!AR8&lt;'Apostas - Grupos'!AS8)),IF(('Apostas - Grupos'!AR8-'Apostas - Grupos'!AS8)=('Jogos - Grupos'!F24-'Jogos - Grupos'!G24),3,2),0))))</f>
        <v>-</v>
      </c>
      <c r="X8" s="108" t="str">
        <f>IF(OR('Jogos - Grupos'!F25="",'Jogos - Grupos'!G25=""),"-",IF(OR('Apostas - Grupos'!AT8="",'Apostas - Grupos'!AU8=""),0,IF(AND('Apostas - Grupos'!AT8='Jogos - Grupos'!F25,'Apostas - Grupos'!AU8='Jogos - Grupos'!G25),5,IF(OR(AND('Jogos - Grupos'!F25='Jogos - Grupos'!G25,'Apostas - Grupos'!AT8='Apostas - Grupos'!AU8),AND('Jogos - Grupos'!F25&gt;'Jogos - Grupos'!G25,'Apostas - Grupos'!AT8&gt;'Apostas - Grupos'!AU8),AND('Jogos - Grupos'!F25&lt;'Jogos - Grupos'!G25,'Apostas - Grupos'!AT8&lt;'Apostas - Grupos'!AU8)),IF(('Apostas - Grupos'!AT8-'Apostas - Grupos'!AU8)=('Jogos - Grupos'!F25-'Jogos - Grupos'!G25),3,2),0))))</f>
        <v>-</v>
      </c>
      <c r="Y8" s="108" t="str">
        <f>IF(OR('Jogos - Grupos'!F26="",'Jogos - Grupos'!G26=""),"-",IF(OR('Apostas - Grupos'!AV8="",'Apostas - Grupos'!AW8=""),0,IF(AND('Apostas - Grupos'!AV8='Jogos - Grupos'!F26,'Apostas - Grupos'!AW8='Jogos - Grupos'!G26),5,IF(OR(AND('Jogos - Grupos'!F26='Jogos - Grupos'!G26,'Apostas - Grupos'!AV8='Apostas - Grupos'!AW8),AND('Jogos - Grupos'!F26&gt;'Jogos - Grupos'!G26,'Apostas - Grupos'!AV8&gt;'Apostas - Grupos'!AW8),AND('Jogos - Grupos'!F26&lt;'Jogos - Grupos'!G26,'Apostas - Grupos'!AV8&lt;'Apostas - Grupos'!AW8)),IF(('Apostas - Grupos'!AV8-'Apostas - Grupos'!AW8)=('Jogos - Grupos'!F26-'Jogos - Grupos'!G26),3,2),0))))</f>
        <v>-</v>
      </c>
      <c r="Z8" s="108" t="str">
        <f>IF(OR('Jogos - Grupos'!F27="",'Jogos - Grupos'!G27=""),"-",IF(OR('Apostas - Grupos'!AX8="",'Apostas - Grupos'!AY8=""),0,IF(AND('Apostas - Grupos'!AX8='Jogos - Grupos'!F27,'Apostas - Grupos'!AY8='Jogos - Grupos'!G27),5,IF(OR(AND('Jogos - Grupos'!F27='Jogos - Grupos'!G27,'Apostas - Grupos'!AX8='Apostas - Grupos'!AY8),AND('Jogos - Grupos'!F27&gt;'Jogos - Grupos'!G27,'Apostas - Grupos'!AX8&gt;'Apostas - Grupos'!AY8),AND('Jogos - Grupos'!F27&lt;'Jogos - Grupos'!G27,'Apostas - Grupos'!AX8&lt;'Apostas - Grupos'!AY8)),IF(('Apostas - Grupos'!AX8-'Apostas - Grupos'!AY8)=('Jogos - Grupos'!F27-'Jogos - Grupos'!G27),3,2),0))))</f>
        <v>-</v>
      </c>
      <c r="AA8" s="108" t="str">
        <f>IF(OR('Jogos - Grupos'!F28="",'Jogos - Grupos'!G28=""),"-",IF(OR('Apostas - Grupos'!AZ8="",'Apostas - Grupos'!BA8=""),0,IF(AND('Apostas - Grupos'!AZ8='Jogos - Grupos'!F28,'Apostas - Grupos'!BA8='Jogos - Grupos'!G28),5,IF(OR(AND('Jogos - Grupos'!F28='Jogos - Grupos'!G28,'Apostas - Grupos'!AZ8='Apostas - Grupos'!BA8),AND('Jogos - Grupos'!F28&gt;'Jogos - Grupos'!G28,'Apostas - Grupos'!AZ8&gt;'Apostas - Grupos'!BA8),AND('Jogos - Grupos'!F28&lt;'Jogos - Grupos'!G28,'Apostas - Grupos'!AZ8&lt;'Apostas - Grupos'!BA8)),IF(('Apostas - Grupos'!AZ8-'Apostas - Grupos'!BA8)=('Jogos - Grupos'!F28-'Jogos - Grupos'!G28),3,2),0))))</f>
        <v>-</v>
      </c>
      <c r="AB8" s="108" t="str">
        <f>IF(OR('Jogos - Grupos'!F29="",'Jogos - Grupos'!G29=""),"-",IF(OR('Apostas - Grupos'!BB8="",'Apostas - Grupos'!BC8=""),0,IF(AND('Apostas - Grupos'!BB8='Jogos - Grupos'!F29,'Apostas - Grupos'!BC8='Jogos - Grupos'!G29),5,IF(OR(AND('Jogos - Grupos'!F29='Jogos - Grupos'!G29,'Apostas - Grupos'!BB8='Apostas - Grupos'!BC8),AND('Jogos - Grupos'!F29&gt;'Jogos - Grupos'!G29,'Apostas - Grupos'!BB8&gt;'Apostas - Grupos'!BC8),AND('Jogos - Grupos'!F29&lt;'Jogos - Grupos'!G29,'Apostas - Grupos'!BB8&lt;'Apostas - Grupos'!BC8)),IF(('Apostas - Grupos'!BB8-'Apostas - Grupos'!BC8)=('Jogos - Grupos'!F29-'Jogos - Grupos'!G29),3,2),0))))</f>
        <v>-</v>
      </c>
      <c r="AC8" s="108" t="str">
        <f>IF(OR('Jogos - Grupos'!F30="",'Jogos - Grupos'!G30=""),"-",IF(OR('Apostas - Grupos'!BD8="",'Apostas - Grupos'!BE8=""),0,IF(AND('Apostas - Grupos'!BD8='Jogos - Grupos'!F30,'Apostas - Grupos'!BE8='Jogos - Grupos'!G30),5,IF(OR(AND('Jogos - Grupos'!F30='Jogos - Grupos'!G30,'Apostas - Grupos'!BD8='Apostas - Grupos'!BE8),AND('Jogos - Grupos'!F30&gt;'Jogos - Grupos'!G30,'Apostas - Grupos'!BD8&gt;'Apostas - Grupos'!BE8),AND('Jogos - Grupos'!F30&lt;'Jogos - Grupos'!G30,'Apostas - Grupos'!BD8&lt;'Apostas - Grupos'!BE8)),IF(('Apostas - Grupos'!BD8-'Apostas - Grupos'!BE8)=('Jogos - Grupos'!F30-'Jogos - Grupos'!G30),3,2),0))))</f>
        <v>-</v>
      </c>
      <c r="AD8" s="108" t="str">
        <f>IF(OR('Jogos - Grupos'!F31="",'Jogos - Grupos'!G31=""),"-",IF(OR('Apostas - Grupos'!BF8="",'Apostas - Grupos'!BG8=""),0,IF(AND('Apostas - Grupos'!BF8='Jogos - Grupos'!F31,'Apostas - Grupos'!BG8='Jogos - Grupos'!G31),5,IF(OR(AND('Jogos - Grupos'!F31='Jogos - Grupos'!G31,'Apostas - Grupos'!BF8='Apostas - Grupos'!BG8),AND('Jogos - Grupos'!F31&gt;'Jogos - Grupos'!G31,'Apostas - Grupos'!BF8&gt;'Apostas - Grupos'!BG8),AND('Jogos - Grupos'!F31&lt;'Jogos - Grupos'!G31,'Apostas - Grupos'!BF8&lt;'Apostas - Grupos'!BG8)),IF(('Apostas - Grupos'!BF8-'Apostas - Grupos'!BG8)=('Jogos - Grupos'!F31-'Jogos - Grupos'!G31),3,2),0))))</f>
        <v>-</v>
      </c>
      <c r="AE8" s="108" t="str">
        <f>IF(OR('Jogos - Grupos'!F32="",'Jogos - Grupos'!G32=""),"-",IF(OR('Apostas - Grupos'!BH8="",'Apostas - Grupos'!BI8=""),0,IF(AND('Apostas - Grupos'!BH8='Jogos - Grupos'!F32,'Apostas - Grupos'!BI8='Jogos - Grupos'!G32),5,IF(OR(AND('Jogos - Grupos'!F32='Jogos - Grupos'!G32,'Apostas - Grupos'!BH8='Apostas - Grupos'!BI8),AND('Jogos - Grupos'!F32&gt;'Jogos - Grupos'!G32,'Apostas - Grupos'!BH8&gt;'Apostas - Grupos'!BI8),AND('Jogos - Grupos'!F32&lt;'Jogos - Grupos'!G32,'Apostas - Grupos'!BH8&lt;'Apostas - Grupos'!BI8)),IF(('Apostas - Grupos'!BH8-'Apostas - Grupos'!BI8)=('Jogos - Grupos'!F32-'Jogos - Grupos'!G32),3,2),0))))</f>
        <v>-</v>
      </c>
      <c r="AF8" s="108" t="str">
        <f>IF(OR('Jogos - Grupos'!F33="",'Jogos - Grupos'!G33=""),"-",IF(OR('Apostas - Grupos'!BJ8="",'Apostas - Grupos'!BK8=""),0,IF(AND('Apostas - Grupos'!BJ8='Jogos - Grupos'!F33,'Apostas - Grupos'!BK8='Jogos - Grupos'!G33),5,IF(OR(AND('Jogos - Grupos'!F33='Jogos - Grupos'!G33,'Apostas - Grupos'!BJ8='Apostas - Grupos'!BK8),AND('Jogos - Grupos'!F33&gt;'Jogos - Grupos'!G33,'Apostas - Grupos'!BJ8&gt;'Apostas - Grupos'!BK8),AND('Jogos - Grupos'!F33&lt;'Jogos - Grupos'!G33,'Apostas - Grupos'!BJ8&lt;'Apostas - Grupos'!BK8)),IF(('Apostas - Grupos'!BJ8-'Apostas - Grupos'!BK8)=('Jogos - Grupos'!F33-'Jogos - Grupos'!G33),3,2),0))))</f>
        <v>-</v>
      </c>
      <c r="AG8" s="108" t="str">
        <f>IF(OR('Jogos - Grupos'!F34="",'Jogos - Grupos'!G34=""),"-",IF(OR('Apostas - Grupos'!BL8="",'Apostas - Grupos'!BM8=""),0,IF(AND('Apostas - Grupos'!BL8='Jogos - Grupos'!F34,'Apostas - Grupos'!BM8='Jogos - Grupos'!G34),5,IF(OR(AND('Jogos - Grupos'!F34='Jogos - Grupos'!G34,'Apostas - Grupos'!BL8='Apostas - Grupos'!BM8),AND('Jogos - Grupos'!F34&gt;'Jogos - Grupos'!G34,'Apostas - Grupos'!BL8&gt;'Apostas - Grupos'!BM8),AND('Jogos - Grupos'!F34&lt;'Jogos - Grupos'!G34,'Apostas - Grupos'!BL8&lt;'Apostas - Grupos'!BM8)),IF(('Apostas - Grupos'!BL8-'Apostas - Grupos'!BM8)=('Jogos - Grupos'!F34-'Jogos - Grupos'!G34),3,2),0))))</f>
        <v>-</v>
      </c>
      <c r="AH8" s="108" t="str">
        <f>IF(OR('Jogos - Grupos'!F35="",'Jogos - Grupos'!G35=""),"-",IF(OR('Apostas - Grupos'!BN8="",'Apostas - Grupos'!BO8=""),0,IF(AND('Apostas - Grupos'!BN8='Jogos - Grupos'!F35,'Apostas - Grupos'!BO8='Jogos - Grupos'!G35),5,IF(OR(AND('Jogos - Grupos'!F35='Jogos - Grupos'!G35,'Apostas - Grupos'!BN8='Apostas - Grupos'!BO8),AND('Jogos - Grupos'!F35&gt;'Jogos - Grupos'!G35,'Apostas - Grupos'!BN8&gt;'Apostas - Grupos'!BO8),AND('Jogos - Grupos'!F35&lt;'Jogos - Grupos'!G35,'Apostas - Grupos'!BN8&lt;'Apostas - Grupos'!BO8)),IF(('Apostas - Grupos'!BN8-'Apostas - Grupos'!BO8)=('Jogos - Grupos'!F35-'Jogos - Grupos'!G35),3,2),0))))</f>
        <v>-</v>
      </c>
      <c r="AI8" s="108" t="str">
        <f>IF(OR('Jogos - Grupos'!F36="",'Jogos - Grupos'!G36=""),"-",IF(OR('Apostas - Grupos'!BP8="",'Apostas - Grupos'!BQ8=""),0,IF(AND('Apostas - Grupos'!BP8='Jogos - Grupos'!F36,'Apostas - Grupos'!BQ8='Jogos - Grupos'!G36),5,IF(OR(AND('Jogos - Grupos'!F36='Jogos - Grupos'!G36,'Apostas - Grupos'!BP8='Apostas - Grupos'!BQ8),AND('Jogos - Grupos'!F36&gt;'Jogos - Grupos'!G36,'Apostas - Grupos'!BP8&gt;'Apostas - Grupos'!BQ8),AND('Jogos - Grupos'!F36&lt;'Jogos - Grupos'!G36,'Apostas - Grupos'!BP8&lt;'Apostas - Grupos'!BQ8)),IF(('Apostas - Grupos'!BP8-'Apostas - Grupos'!BQ8)=('Jogos - Grupos'!F36-'Jogos - Grupos'!G36),3,2),0))))</f>
        <v>-</v>
      </c>
      <c r="AJ8" s="108" t="str">
        <f>IF(OR('Jogos - Grupos'!F37="",'Jogos - Grupos'!G37=""),"-",IF(OR('Apostas - Grupos'!BR8="",'Apostas - Grupos'!BS8=""),0,IF(AND('Apostas - Grupos'!BR8='Jogos - Grupos'!F37,'Apostas - Grupos'!BS8='Jogos - Grupos'!G37),5,IF(OR(AND('Jogos - Grupos'!F37='Jogos - Grupos'!G37,'Apostas - Grupos'!BR8='Apostas - Grupos'!BS8),AND('Jogos - Grupos'!F37&gt;'Jogos - Grupos'!G37,'Apostas - Grupos'!BR8&gt;'Apostas - Grupos'!BS8),AND('Jogos - Grupos'!F37&lt;'Jogos - Grupos'!G37,'Apostas - Grupos'!BR8&lt;'Apostas - Grupos'!BS8)),IF(('Apostas - Grupos'!BR8-'Apostas - Grupos'!BS8)=('Jogos - Grupos'!F37-'Jogos - Grupos'!G37),3,2),0))))</f>
        <v>-</v>
      </c>
      <c r="AK8" s="108" t="str">
        <f>IF(OR('Jogos - Grupos'!F38="",'Jogos - Grupos'!G38=""),"-",IF(OR('Apostas - Grupos'!BT8="",'Apostas - Grupos'!BU8=""),0,IF(AND('Apostas - Grupos'!BT8='Jogos - Grupos'!F38,'Apostas - Grupos'!BU8='Jogos - Grupos'!G38),5,IF(OR(AND('Jogos - Grupos'!F38='Jogos - Grupos'!G38,'Apostas - Grupos'!BT8='Apostas - Grupos'!BU8),AND('Jogos - Grupos'!F38&gt;'Jogos - Grupos'!G38,'Apostas - Grupos'!BT8&gt;'Apostas - Grupos'!BU8),AND('Jogos - Grupos'!F38&lt;'Jogos - Grupos'!G38,'Apostas - Grupos'!BT8&lt;'Apostas - Grupos'!BU8)),IF(('Apostas - Grupos'!BT8-'Apostas - Grupos'!BU8)=('Jogos - Grupos'!F38-'Jogos - Grupos'!G38),3,2),0))))</f>
        <v>-</v>
      </c>
      <c r="AL8" s="108" t="str">
        <f>IF(OR('Jogos - Grupos'!F39="",'Jogos - Grupos'!G39=""),"-",IF(OR('Apostas - Grupos'!BV8="",'Apostas - Grupos'!BW8=""),0,IF(AND('Apostas - Grupos'!BV8='Jogos - Grupos'!F39,'Apostas - Grupos'!BW8='Jogos - Grupos'!G39),5,IF(OR(AND('Jogos - Grupos'!F39='Jogos - Grupos'!G39,'Apostas - Grupos'!BV8='Apostas - Grupos'!BW8),AND('Jogos - Grupos'!F39&gt;'Jogos - Grupos'!G39,'Apostas - Grupos'!BV8&gt;'Apostas - Grupos'!BW8),AND('Jogos - Grupos'!F39&lt;'Jogos - Grupos'!G39,'Apostas - Grupos'!BV8&lt;'Apostas - Grupos'!BW8)),IF(('Apostas - Grupos'!BV8-'Apostas - Grupos'!BW8)=('Jogos - Grupos'!F39-'Jogos - Grupos'!G39),3,2),0))))</f>
        <v>-</v>
      </c>
      <c r="AM8" s="108" t="str">
        <f>IF(OR('Jogos - Grupos'!F40="",'Jogos - Grupos'!G40=""),"-",IF(OR('Apostas - Grupos'!BX8="",'Apostas - Grupos'!BY8=""),0,IF(AND('Apostas - Grupos'!BX8='Jogos - Grupos'!F40,'Apostas - Grupos'!BY8='Jogos - Grupos'!G40),5,IF(OR(AND('Jogos - Grupos'!F40='Jogos - Grupos'!G40,'Apostas - Grupos'!BX8='Apostas - Grupos'!BY8),AND('Jogos - Grupos'!F40&gt;'Jogos - Grupos'!G40,'Apostas - Grupos'!BX8&gt;'Apostas - Grupos'!BY8),AND('Jogos - Grupos'!F40&lt;'Jogos - Grupos'!G40,'Apostas - Grupos'!BX8&lt;'Apostas - Grupos'!BY8)),IF(('Apostas - Grupos'!BX8-'Apostas - Grupos'!BY8)=('Jogos - Grupos'!F40-'Jogos - Grupos'!G40),3,2),0))))</f>
        <v>-</v>
      </c>
      <c r="AN8" s="108" t="str">
        <f>IF(OR('Jogos - Grupos'!F41="",'Jogos - Grupos'!G41=""),"-",IF(OR('Apostas - Grupos'!BZ8="",'Apostas - Grupos'!CA8=""),0,IF(AND('Apostas - Grupos'!BZ8='Jogos - Grupos'!F41,'Apostas - Grupos'!CA8='Jogos - Grupos'!G41),5,IF(OR(AND('Jogos - Grupos'!F41='Jogos - Grupos'!G41,'Apostas - Grupos'!BZ8='Apostas - Grupos'!CA8),AND('Jogos - Grupos'!F41&gt;'Jogos - Grupos'!G41,'Apostas - Grupos'!BZ8&gt;'Apostas - Grupos'!CA8),AND('Jogos - Grupos'!F41&lt;'Jogos - Grupos'!G41,'Apostas - Grupos'!BZ8&lt;'Apostas - Grupos'!CA8)),IF(('Apostas - Grupos'!BZ8-'Apostas - Grupos'!CA8)=('Jogos - Grupos'!F41-'Jogos - Grupos'!G41),3,2),0))))</f>
        <v>-</v>
      </c>
      <c r="AO8" s="108" t="str">
        <f>IF(OR('Jogos - Grupos'!F42="",'Jogos - Grupos'!G42=""),"-",IF(OR('Apostas - Grupos'!CB8="",'Apostas - Grupos'!CC8=""),0,IF(AND('Apostas - Grupos'!CB8='Jogos - Grupos'!F42,'Apostas - Grupos'!CC8='Jogos - Grupos'!G42),5,IF(OR(AND('Jogos - Grupos'!F42='Jogos - Grupos'!G42,'Apostas - Grupos'!CB8='Apostas - Grupos'!CC8),AND('Jogos - Grupos'!F42&gt;'Jogos - Grupos'!G42,'Apostas - Grupos'!CB8&gt;'Apostas - Grupos'!CC8),AND('Jogos - Grupos'!F42&lt;'Jogos - Grupos'!G42,'Apostas - Grupos'!CB8&lt;'Apostas - Grupos'!CC8)),IF(('Apostas - Grupos'!CB8-'Apostas - Grupos'!CC8)=('Jogos - Grupos'!F42-'Jogos - Grupos'!G42),3,2),0))))</f>
        <v>-</v>
      </c>
      <c r="AP8" s="108" t="str">
        <f>IF(OR('Jogos - Grupos'!F43="",'Jogos - Grupos'!G43=""),"-",IF(OR('Apostas - Grupos'!CD8="",'Apostas - Grupos'!CE8=""),0,IF(AND('Apostas - Grupos'!CD8='Jogos - Grupos'!F43,'Apostas - Grupos'!CE8='Jogos - Grupos'!G43),5,IF(OR(AND('Jogos - Grupos'!F43='Jogos - Grupos'!G43,'Apostas - Grupos'!CD8='Apostas - Grupos'!CE8),AND('Jogos - Grupos'!F43&gt;'Jogos - Grupos'!G43,'Apostas - Grupos'!CD8&gt;'Apostas - Grupos'!CE8),AND('Jogos - Grupos'!F43&lt;'Jogos - Grupos'!G43,'Apostas - Grupos'!CD8&lt;'Apostas - Grupos'!CE8)),IF(('Apostas - Grupos'!CD8-'Apostas - Grupos'!CE8)=('Jogos - Grupos'!F43-'Jogos - Grupos'!G43),3,2),0))))</f>
        <v>-</v>
      </c>
      <c r="AQ8" s="108" t="str">
        <f>IF(OR('Jogos - Grupos'!F44="",'Jogos - Grupos'!G44=""),"-",IF(OR('Apostas - Grupos'!CF8="",'Apostas - Grupos'!CG8=""),0,IF(AND('Apostas - Grupos'!CF8='Jogos - Grupos'!F44,'Apostas - Grupos'!CG8='Jogos - Grupos'!G44),5,IF(OR(AND('Jogos - Grupos'!F44='Jogos - Grupos'!G44,'Apostas - Grupos'!CF8='Apostas - Grupos'!CG8),AND('Jogos - Grupos'!F44&gt;'Jogos - Grupos'!G44,'Apostas - Grupos'!CF8&gt;'Apostas - Grupos'!CG8),AND('Jogos - Grupos'!F44&lt;'Jogos - Grupos'!G44,'Apostas - Grupos'!CF8&lt;'Apostas - Grupos'!CG8)),IF(('Apostas - Grupos'!CF8-'Apostas - Grupos'!CG8)=('Jogos - Grupos'!F44-'Jogos - Grupos'!G44),3,2),0))))</f>
        <v>-</v>
      </c>
      <c r="AR8" s="108" t="str">
        <f>IF(OR('Jogos - Grupos'!F45="",'Jogos - Grupos'!G45=""),"-",IF(OR('Apostas - Grupos'!CH8="",'Apostas - Grupos'!CI8=""),0,IF(AND('Apostas - Grupos'!CH8='Jogos - Grupos'!F45,'Apostas - Grupos'!CI8='Jogos - Grupos'!G45),5,IF(OR(AND('Jogos - Grupos'!F45='Jogos - Grupos'!G45,'Apostas - Grupos'!CH8='Apostas - Grupos'!CI8),AND('Jogos - Grupos'!F45&gt;'Jogos - Grupos'!G45,'Apostas - Grupos'!CH8&gt;'Apostas - Grupos'!CI8),AND('Jogos - Grupos'!F45&lt;'Jogos - Grupos'!G45,'Apostas - Grupos'!CH8&lt;'Apostas - Grupos'!CI8)),IF(('Apostas - Grupos'!CH8-'Apostas - Grupos'!CI8)=('Jogos - Grupos'!F45-'Jogos - Grupos'!G45),3,2),0))))</f>
        <v>-</v>
      </c>
      <c r="AS8" s="108" t="str">
        <f>IF(OR('Jogos - Grupos'!F46="",'Jogos - Grupos'!G46=""),"-",IF(OR('Apostas - Grupos'!CJ8="",'Apostas - Grupos'!CK8=""),0,IF(AND('Apostas - Grupos'!CJ8='Jogos - Grupos'!F46,'Apostas - Grupos'!CK8='Jogos - Grupos'!G46),5,IF(OR(AND('Jogos - Grupos'!F46='Jogos - Grupos'!G46,'Apostas - Grupos'!CJ8='Apostas - Grupos'!CK8),AND('Jogos - Grupos'!F46&gt;'Jogos - Grupos'!G46,'Apostas - Grupos'!CJ8&gt;'Apostas - Grupos'!CK8),AND('Jogos - Grupos'!F46&lt;'Jogos - Grupos'!G46,'Apostas - Grupos'!CJ8&lt;'Apostas - Grupos'!CK8)),IF(('Apostas - Grupos'!CJ8-'Apostas - Grupos'!CK8)=('Jogos - Grupos'!F46-'Jogos - Grupos'!G46),3,2),0))))</f>
        <v>-</v>
      </c>
      <c r="AT8" s="108" t="str">
        <f>IF(OR('Jogos - Grupos'!F47="",'Jogos - Grupos'!G47=""),"-",IF(OR('Apostas - Grupos'!CL8="",'Apostas - Grupos'!CM8=""),0,IF(AND('Apostas - Grupos'!CL8='Jogos - Grupos'!F47,'Apostas - Grupos'!CM8='Jogos - Grupos'!G47),5,IF(OR(AND('Jogos - Grupos'!F47='Jogos - Grupos'!G47,'Apostas - Grupos'!CL8='Apostas - Grupos'!CM8),AND('Jogos - Grupos'!F47&gt;'Jogos - Grupos'!G47,'Apostas - Grupos'!CL8&gt;'Apostas - Grupos'!CM8),AND('Jogos - Grupos'!F47&lt;'Jogos - Grupos'!G47,'Apostas - Grupos'!CL8&lt;'Apostas - Grupos'!CM8)),IF(('Apostas - Grupos'!CL8-'Apostas - Grupos'!CM8)=('Jogos - Grupos'!F47-'Jogos - Grupos'!G47),3,2),0))))</f>
        <v>-</v>
      </c>
      <c r="AU8" s="108" t="str">
        <f>IF(OR('Jogos - Grupos'!F48="",'Jogos - Grupos'!G48=""),"-",IF(OR('Apostas - Grupos'!CN8="",'Apostas - Grupos'!CO8=""),0,IF(AND('Apostas - Grupos'!CN8='Jogos - Grupos'!F48,'Apostas - Grupos'!CO8='Jogos - Grupos'!G48),5,IF(OR(AND('Jogos - Grupos'!F48='Jogos - Grupos'!G48,'Apostas - Grupos'!CN8='Apostas - Grupos'!CO8),AND('Jogos - Grupos'!F48&gt;'Jogos - Grupos'!G48,'Apostas - Grupos'!CN8&gt;'Apostas - Grupos'!CO8),AND('Jogos - Grupos'!F48&lt;'Jogos - Grupos'!G48,'Apostas - Grupos'!CN8&lt;'Apostas - Grupos'!CO8)),IF(('Apostas - Grupos'!CN8-'Apostas - Grupos'!CO8)=('Jogos - Grupos'!F48-'Jogos - Grupos'!G48),3,2),0))))</f>
        <v>-</v>
      </c>
      <c r="AV8" s="108" t="str">
        <f>IF(OR('Jogos - Grupos'!F49="",'Jogos - Grupos'!G49=""),"-",IF(OR('Apostas - Grupos'!CP8="",'Apostas - Grupos'!CQ8=""),0,IF(AND('Apostas - Grupos'!CP8='Jogos - Grupos'!F49,'Apostas - Grupos'!CQ8='Jogos - Grupos'!G49),5,IF(OR(AND('Jogos - Grupos'!F49='Jogos - Grupos'!G49,'Apostas - Grupos'!CP8='Apostas - Grupos'!CQ8),AND('Jogos - Grupos'!F49&gt;'Jogos - Grupos'!G49,'Apostas - Grupos'!CP8&gt;'Apostas - Grupos'!CQ8),AND('Jogos - Grupos'!F49&lt;'Jogos - Grupos'!G49,'Apostas - Grupos'!CP8&lt;'Apostas - Grupos'!CQ8)),IF(('Apostas - Grupos'!CP8-'Apostas - Grupos'!CQ8)=('Jogos - Grupos'!F49-'Jogos - Grupos'!G49),3,2),0))))</f>
        <v>-</v>
      </c>
      <c r="AW8" s="108" t="str">
        <f>IF(OR('Jogos - Grupos'!F50="",'Jogos - Grupos'!G50=""),"-",IF(OR('Apostas - Grupos'!CR8="",'Apostas - Grupos'!CS8=""),0,IF(AND('Apostas - Grupos'!CR8='Jogos - Grupos'!F50,'Apostas - Grupos'!CS8='Jogos - Grupos'!G50),5,IF(OR(AND('Jogos - Grupos'!F50='Jogos - Grupos'!G50,'Apostas - Grupos'!CR8='Apostas - Grupos'!CS8),AND('Jogos - Grupos'!F50&gt;'Jogos - Grupos'!G50,'Apostas - Grupos'!CR8&gt;'Apostas - Grupos'!CS8),AND('Jogos - Grupos'!F50&lt;'Jogos - Grupos'!G50,'Apostas - Grupos'!CR8&lt;'Apostas - Grupos'!CS8)),IF(('Apostas - Grupos'!CR8-'Apostas - Grupos'!CS8)=('Jogos - Grupos'!F50-'Jogos - Grupos'!G50),3,2),0))))</f>
        <v>-</v>
      </c>
      <c r="AX8" s="108" t="str">
        <f>IF(OR('Jogos - Grupos'!F51="",'Jogos - Grupos'!G51=""),"-",IF(OR('Apostas - Grupos'!CT8="",'Apostas - Grupos'!CU8=""),0,IF(AND('Apostas - Grupos'!CT8='Jogos - Grupos'!F51,'Apostas - Grupos'!CU8='Jogos - Grupos'!G51),5,IF(OR(AND('Jogos - Grupos'!F51='Jogos - Grupos'!G51,'Apostas - Grupos'!CT8='Apostas - Grupos'!CU8),AND('Jogos - Grupos'!F51&gt;'Jogos - Grupos'!G51,'Apostas - Grupos'!CT8&gt;'Apostas - Grupos'!CU8),AND('Jogos - Grupos'!F51&lt;'Jogos - Grupos'!G51,'Apostas - Grupos'!CT8&lt;'Apostas - Grupos'!CU8)),IF(('Apostas - Grupos'!CT8-'Apostas - Grupos'!CU8)=('Jogos - Grupos'!F51-'Jogos - Grupos'!G51),3,2),0))))</f>
        <v>-</v>
      </c>
      <c r="AY8" s="108" t="str">
        <f>IF(OR('Jogos - Grupos'!F52="",'Jogos - Grupos'!G52=""),"-",IF(OR('Apostas - Grupos'!CV8="",'Apostas - Grupos'!CW8=""),0,IF(AND('Apostas - Grupos'!CV8='Jogos - Grupos'!F52,'Apostas - Grupos'!CW8='Jogos - Grupos'!G52),5,IF(OR(AND('Jogos - Grupos'!F52='Jogos - Grupos'!G52,'Apostas - Grupos'!CV8='Apostas - Grupos'!CW8),AND('Jogos - Grupos'!F52&gt;'Jogos - Grupos'!G52,'Apostas - Grupos'!CV8&gt;'Apostas - Grupos'!CW8),AND('Jogos - Grupos'!F52&lt;'Jogos - Grupos'!G52,'Apostas - Grupos'!CV8&lt;'Apostas - Grupos'!CW8)),IF(('Apostas - Grupos'!CV8-'Apostas - Grupos'!CW8)=('Jogos - Grupos'!F52-'Jogos - Grupos'!G52),3,2),0))))</f>
        <v>-</v>
      </c>
      <c r="AZ8" s="108" t="str">
        <f>IF(OR('Jogos - Grupos'!F53="",'Jogos - Grupos'!G53=""),"-",IF(OR('Apostas - Grupos'!CX8="",'Apostas - Grupos'!CY8=""),0,IF(AND('Apostas - Grupos'!CX8='Jogos - Grupos'!F53,'Apostas - Grupos'!CY8='Jogos - Grupos'!G53),5,IF(OR(AND('Jogos - Grupos'!F53='Jogos - Grupos'!G53,'Apostas - Grupos'!CX8='Apostas - Grupos'!CY8),AND('Jogos - Grupos'!F53&gt;'Jogos - Grupos'!G53,'Apostas - Grupos'!CX8&gt;'Apostas - Grupos'!CY8),AND('Jogos - Grupos'!F53&lt;'Jogos - Grupos'!G53,'Apostas - Grupos'!CX8&lt;'Apostas - Grupos'!CY8)),IF(('Apostas - Grupos'!CX8-'Apostas - Grupos'!CY8)=('Jogos - Grupos'!F53-'Jogos - Grupos'!G53),3,2),0))))</f>
        <v>-</v>
      </c>
      <c r="BA8" s="108" t="str">
        <f>IF(OR('Jogos - Grupos'!F54="",'Jogos - Grupos'!G54=""),"-",IF(OR('Apostas - Grupos'!CZ8="",'Apostas - Grupos'!DA8=""),0,IF(AND('Apostas - Grupos'!CZ8='Jogos - Grupos'!F54,'Apostas - Grupos'!DA8='Jogos - Grupos'!G54),5,IF(OR(AND('Jogos - Grupos'!F54='Jogos - Grupos'!G54,'Apostas - Grupos'!CZ8='Apostas - Grupos'!DA8),AND('Jogos - Grupos'!F54&gt;'Jogos - Grupos'!G54,'Apostas - Grupos'!CZ8&gt;'Apostas - Grupos'!DA8),AND('Jogos - Grupos'!F54&lt;'Jogos - Grupos'!G54,'Apostas - Grupos'!CZ8&lt;'Apostas - Grupos'!DA8)),IF(('Apostas - Grupos'!CZ8-'Apostas - Grupos'!DA8)=('Jogos - Grupos'!F54-'Jogos - Grupos'!G54),3,2),0))))</f>
        <v>-</v>
      </c>
      <c r="BB8" s="108" t="str">
        <f>IF(OR('Jogos - Grupos'!F55="",'Jogos - Grupos'!G55=""),"-",IF(OR('Apostas - Grupos'!DB8="",'Apostas - Grupos'!DC8=""),0,IF(AND('Apostas - Grupos'!DB8='Jogos - Grupos'!F55,'Apostas - Grupos'!DC8='Jogos - Grupos'!G55),5,IF(OR(AND('Jogos - Grupos'!F55='Jogos - Grupos'!G55,'Apostas - Grupos'!DB8='Apostas - Grupos'!DC8),AND('Jogos - Grupos'!F55&gt;'Jogos - Grupos'!G55,'Apostas - Grupos'!DB8&gt;'Apostas - Grupos'!DC8),AND('Jogos - Grupos'!F55&lt;'Jogos - Grupos'!G55,'Apostas - Grupos'!DB8&lt;'Apostas - Grupos'!DC8)),IF(('Apostas - Grupos'!DB8-'Apostas - Grupos'!DC8)=('Jogos - Grupos'!F55-'Jogos - Grupos'!G55),3,2),0))))</f>
        <v>-</v>
      </c>
      <c r="BC8" s="108" t="str">
        <f>IF(OR('Jogos - Grupos'!F56="",'Jogos - Grupos'!G56=""),"-",IF(OR('Apostas - Grupos'!DD8="",'Apostas - Grupos'!DE8=""),0,IF(AND('Apostas - Grupos'!DD8='Jogos - Grupos'!F56,'Apostas - Grupos'!DE8='Jogos - Grupos'!G56),5,IF(OR(AND('Jogos - Grupos'!F56='Jogos - Grupos'!G56,'Apostas - Grupos'!DD8='Apostas - Grupos'!DE8),AND('Jogos - Grupos'!F56&gt;'Jogos - Grupos'!G56,'Apostas - Grupos'!DD8&gt;'Apostas - Grupos'!DE8),AND('Jogos - Grupos'!F56&lt;'Jogos - Grupos'!G56,'Apostas - Grupos'!DD8&lt;'Apostas - Grupos'!DE8)),IF(('Apostas - Grupos'!DD8-'Apostas - Grupos'!DE8)=('Jogos - Grupos'!F56-'Jogos - Grupos'!G56),3,2),0))))</f>
        <v>-</v>
      </c>
      <c r="BD8" s="108" t="str">
        <f>IF(OR('Jogos - Grupos'!F57="",'Jogos - Grupos'!G57=""),"-",IF(OR('Apostas - Grupos'!DF8="",'Apostas - Grupos'!DG8=""),0,IF(AND('Apostas - Grupos'!DF8='Jogos - Grupos'!F57,'Apostas - Grupos'!DG8='Jogos - Grupos'!G57),5,IF(OR(AND('Jogos - Grupos'!F57='Jogos - Grupos'!G57,'Apostas - Grupos'!DF8='Apostas - Grupos'!DG8),AND('Jogos - Grupos'!F57&gt;'Jogos - Grupos'!G57,'Apostas - Grupos'!DF8&gt;'Apostas - Grupos'!DG8),AND('Jogos - Grupos'!F57&lt;'Jogos - Grupos'!G57,'Apostas - Grupos'!DF8&lt;'Apostas - Grupos'!DG8)),IF(('Apostas - Grupos'!DF8-'Apostas - Grupos'!DG8)=('Jogos - Grupos'!F57-'Jogos - Grupos'!G57),3,2),0))))</f>
        <v>-</v>
      </c>
      <c r="BE8" s="108" t="str">
        <f>IF(OR('Jogos - Grupos'!F58="",'Jogos - Grupos'!G58=""),"-",IF(OR('Apostas - Grupos'!DH8="",'Apostas - Grupos'!DI8=""),0,IF(AND('Apostas - Grupos'!DH8='Jogos - Grupos'!F58,'Apostas - Grupos'!DI8='Jogos - Grupos'!G58),5,IF(OR(AND('Jogos - Grupos'!F58='Jogos - Grupos'!G58,'Apostas - Grupos'!DH8='Apostas - Grupos'!DI8),AND('Jogos - Grupos'!F58&gt;'Jogos - Grupos'!G58,'Apostas - Grupos'!DH8&gt;'Apostas - Grupos'!DI8),AND('Jogos - Grupos'!F58&lt;'Jogos - Grupos'!G58,'Apostas - Grupos'!DH8&lt;'Apostas - Grupos'!DI8)),IF(('Apostas - Grupos'!DH8-'Apostas - Grupos'!DI8)=('Jogos - Grupos'!F58-'Jogos - Grupos'!G58),3,2),0))))</f>
        <v>-</v>
      </c>
      <c r="BF8" s="108" t="str">
        <f>IF(OR('Jogos - Grupos'!F59="",'Jogos - Grupos'!G59=""),"-",IF(OR('Apostas - Grupos'!DJ8="",'Apostas - Grupos'!DK8=""),0,IF(AND('Apostas - Grupos'!DJ8='Jogos - Grupos'!F59,'Apostas - Grupos'!DK8='Jogos - Grupos'!G59),5,IF(OR(AND('Jogos - Grupos'!F59='Jogos - Grupos'!G59,'Apostas - Grupos'!DJ8='Apostas - Grupos'!DK8),AND('Jogos - Grupos'!F59&gt;'Jogos - Grupos'!G59,'Apostas - Grupos'!DJ8&gt;'Apostas - Grupos'!DK8),AND('Jogos - Grupos'!F59&lt;'Jogos - Grupos'!G59,'Apostas - Grupos'!DJ8&lt;'Apostas - Grupos'!DK8)),IF(('Apostas - Grupos'!DJ8-'Apostas - Grupos'!DK8)=('Jogos - Grupos'!F59-'Jogos - Grupos'!G59),3,2),0))))</f>
        <v>-</v>
      </c>
      <c r="BG8" s="108" t="str">
        <f>IF(OR('Jogos - Grupos'!F60="",'Jogos - Grupos'!G60=""),"-",IF(OR('Apostas - Grupos'!DL8="",'Apostas - Grupos'!DM8=""),0,IF(AND('Apostas - Grupos'!DL8='Jogos - Grupos'!F60,'Apostas - Grupos'!DM8='Jogos - Grupos'!G60),5,IF(OR(AND('Jogos - Grupos'!F60='Jogos - Grupos'!G60,'Apostas - Grupos'!DL8='Apostas - Grupos'!DM8),AND('Jogos - Grupos'!F60&gt;'Jogos - Grupos'!G60,'Apostas - Grupos'!DL8&gt;'Apostas - Grupos'!DM8),AND('Jogos - Grupos'!F60&lt;'Jogos - Grupos'!G60,'Apostas - Grupos'!DL8&lt;'Apostas - Grupos'!DM8)),IF(('Apostas - Grupos'!DL8-'Apostas - Grupos'!DM8)=('Jogos - Grupos'!F60-'Jogos - Grupos'!G60),3,2),0))))</f>
        <v>-</v>
      </c>
      <c r="BH8" s="108" t="str">
        <f>IF(OR('Jogos - Grupos'!F61="",'Jogos - Grupos'!G61=""),"-",IF(OR('Apostas - Grupos'!DN8="",'Apostas - Grupos'!DO8=""),0,IF(AND('Apostas - Grupos'!DN8='Jogos - Grupos'!F61,'Apostas - Grupos'!DO8='Jogos - Grupos'!G61),5,IF(OR(AND('Jogos - Grupos'!F61='Jogos - Grupos'!G61,'Apostas - Grupos'!DN8='Apostas - Grupos'!DO8),AND('Jogos - Grupos'!F61&gt;'Jogos - Grupos'!G61,'Apostas - Grupos'!DN8&gt;'Apostas - Grupos'!DO8),AND('Jogos - Grupos'!F61&lt;'Jogos - Grupos'!G61,'Apostas - Grupos'!DN8&lt;'Apostas - Grupos'!DO8)),IF(('Apostas - Grupos'!DN8-'Apostas - Grupos'!DO8)=('Jogos - Grupos'!F61-'Jogos - Grupos'!G61),3,2),0))))</f>
        <v>-</v>
      </c>
      <c r="BI8" s="108" t="str">
        <f>IF(OR('Jogos - Grupos'!F62="",'Jogos - Grupos'!G62=""),"-",IF(OR('Apostas - Grupos'!DP8="",'Apostas - Grupos'!DQ8=""),0,IF(AND('Apostas - Grupos'!DP8='Jogos - Grupos'!F62,'Apostas - Grupos'!DQ8='Jogos - Grupos'!G62),5,IF(OR(AND('Jogos - Grupos'!F62='Jogos - Grupos'!G62,'Apostas - Grupos'!DP8='Apostas - Grupos'!DQ8),AND('Jogos - Grupos'!F62&gt;'Jogos - Grupos'!G62,'Apostas - Grupos'!DP8&gt;'Apostas - Grupos'!DQ8),AND('Jogos - Grupos'!F62&lt;'Jogos - Grupos'!G62,'Apostas - Grupos'!DP8&lt;'Apostas - Grupos'!DQ8)),IF(('Apostas - Grupos'!DP8-'Apostas - Grupos'!DQ8)=('Jogos - Grupos'!F62-'Jogos - Grupos'!G62),3,2),0))))</f>
        <v>-</v>
      </c>
      <c r="BJ8" s="108" t="str">
        <f>IF(OR('Jogos - Grupos'!F63="",'Jogos - Grupos'!G63=""),"-",IF(OR('Apostas - Grupos'!DR8="",'Apostas - Grupos'!DS8=""),0,IF(AND('Apostas - Grupos'!DR8='Jogos - Grupos'!F63,'Apostas - Grupos'!DS8='Jogos - Grupos'!G63),5,IF(OR(AND('Jogos - Grupos'!F63='Jogos - Grupos'!G63,'Apostas - Grupos'!DR8='Apostas - Grupos'!DS8),AND('Jogos - Grupos'!F63&gt;'Jogos - Grupos'!G63,'Apostas - Grupos'!DR8&gt;'Apostas - Grupos'!DS8),AND('Jogos - Grupos'!F63&lt;'Jogos - Grupos'!G63,'Apostas - Grupos'!DR8&lt;'Apostas - Grupos'!DS8)),IF(('Apostas - Grupos'!DR8-'Apostas - Grupos'!DS8)=('Jogos - Grupos'!F63-'Jogos - Grupos'!G63),3,2),0))))</f>
        <v>-</v>
      </c>
      <c r="BK8" s="108" t="str">
        <f>IF(OR('Jogos - Grupos'!F64="",'Jogos - Grupos'!G64=""),"-",IF(OR('Apostas - Grupos'!DT8="",'Apostas - Grupos'!DU8=""),0,IF(AND('Apostas - Grupos'!DT8='Jogos - Grupos'!F64,'Apostas - Grupos'!DU8='Jogos - Grupos'!G64),5,IF(OR(AND('Jogos - Grupos'!F64='Jogos - Grupos'!G64,'Apostas - Grupos'!DT8='Apostas - Grupos'!DU8),AND('Jogos - Grupos'!F64&gt;'Jogos - Grupos'!G64,'Apostas - Grupos'!DT8&gt;'Apostas - Grupos'!DU8),AND('Jogos - Grupos'!F64&lt;'Jogos - Grupos'!G64,'Apostas - Grupos'!DT8&lt;'Apostas - Grupos'!DU8)),IF(('Apostas - Grupos'!DT8-'Apostas - Grupos'!DU8)=('Jogos - Grupos'!F64-'Jogos - Grupos'!G64),3,2),0))))</f>
        <v>-</v>
      </c>
      <c r="BL8" s="108" t="str">
        <f>IF(OR('Jogos - Grupos'!F65="",'Jogos - Grupos'!G65=""),"-",IF(OR('Apostas - Grupos'!DV8="",'Apostas - Grupos'!DW8=""),0,IF(AND('Apostas - Grupos'!DV8='Jogos - Grupos'!F65,'Apostas - Grupos'!DW8='Jogos - Grupos'!G65),5,IF(OR(AND('Jogos - Grupos'!F65='Jogos - Grupos'!G65,'Apostas - Grupos'!DV8='Apostas - Grupos'!DW8),AND('Jogos - Grupos'!F65&gt;'Jogos - Grupos'!G65,'Apostas - Grupos'!DV8&gt;'Apostas - Grupos'!DW8),AND('Jogos - Grupos'!F65&lt;'Jogos - Grupos'!G65,'Apostas - Grupos'!DV8&lt;'Apostas - Grupos'!DW8)),IF(('Apostas - Grupos'!DV8-'Apostas - Grupos'!DW8)=('Jogos - Grupos'!F65-'Jogos - Grupos'!G65),3,2),0))))</f>
        <v>-</v>
      </c>
      <c r="BM8" s="108" t="str">
        <f>IF(OR('Jogos - Grupos'!F66="",'Jogos - Grupos'!G66=""),"-",IF(OR('Apostas - Grupos'!DX8="",'Apostas - Grupos'!DY8=""),0,IF(AND('Apostas - Grupos'!DX8='Jogos - Grupos'!F66,'Apostas - Grupos'!DY8='Jogos - Grupos'!G66),5,IF(OR(AND('Jogos - Grupos'!F66='Jogos - Grupos'!G66,'Apostas - Grupos'!DX8='Apostas - Grupos'!DY8),AND('Jogos - Grupos'!F66&gt;'Jogos - Grupos'!G66,'Apostas - Grupos'!DX8&gt;'Apostas - Grupos'!DY8),AND('Jogos - Grupos'!F66&lt;'Jogos - Grupos'!G66,'Apostas - Grupos'!DX8&lt;'Apostas - Grupos'!DY8)),IF(('Apostas - Grupos'!DX8-'Apostas - Grupos'!DY8)=('Jogos - Grupos'!F66-'Jogos - Grupos'!G66),3,2),0))))</f>
        <v>-</v>
      </c>
      <c r="BN8" s="108" t="str">
        <f>IF(OR('Jogos - Grupos'!F67="",'Jogos - Grupos'!G67=""),"-",IF(OR('Apostas - Grupos'!DZ8="",'Apostas - Grupos'!EA8=""),0,IF(AND('Apostas - Grupos'!DZ8='Jogos - Grupos'!F67,'Apostas - Grupos'!EA8='Jogos - Grupos'!G67),5,IF(OR(AND('Jogos - Grupos'!F67='Jogos - Grupos'!G67,'Apostas - Grupos'!DZ8='Apostas - Grupos'!EA8),AND('Jogos - Grupos'!F67&gt;'Jogos - Grupos'!G67,'Apostas - Grupos'!DZ8&gt;'Apostas - Grupos'!EA8),AND('Jogos - Grupos'!F67&lt;'Jogos - Grupos'!G67,'Apostas - Grupos'!DZ8&lt;'Apostas - Grupos'!EA8)),IF(('Apostas - Grupos'!DZ8-'Apostas - Grupos'!EA8)=('Jogos - Grupos'!F67-'Jogos - Grupos'!G67),3,2),0))))</f>
        <v>-</v>
      </c>
      <c r="BO8" s="108" t="str">
        <f>IF(OR('Jogos - Grupos'!F68="",'Jogos - Grupos'!G68=""),"-",IF(OR('Apostas - Grupos'!EB8="",'Apostas - Grupos'!EC8=""),0,IF(AND('Apostas - Grupos'!EB8='Jogos - Grupos'!F68,'Apostas - Grupos'!EC8='Jogos - Grupos'!G68),5,IF(OR(AND('Jogos - Grupos'!F68='Jogos - Grupos'!G68,'Apostas - Grupos'!EB8='Apostas - Grupos'!EC8),AND('Jogos - Grupos'!F68&gt;'Jogos - Grupos'!G68,'Apostas - Grupos'!EB8&gt;'Apostas - Grupos'!EC8),AND('Jogos - Grupos'!F68&lt;'Jogos - Grupos'!G68,'Apostas - Grupos'!EB8&lt;'Apostas - Grupos'!EC8)),IF(('Apostas - Grupos'!EB8-'Apostas - Grupos'!EC8)=('Jogos - Grupos'!F68-'Jogos - Grupos'!G68),3,2),0))))</f>
        <v>-</v>
      </c>
      <c r="BP8" s="108" t="str">
        <f>IF(OR('Jogos - Grupos'!F69="",'Jogos - Grupos'!G69=""),"-",IF(OR('Apostas - Grupos'!ED8="",'Apostas - Grupos'!EE8=""),0,IF(AND('Apostas - Grupos'!ED8='Jogos - Grupos'!F69,'Apostas - Grupos'!EE8='Jogos - Grupos'!G69),5,IF(OR(AND('Jogos - Grupos'!F69='Jogos - Grupos'!G69,'Apostas - Grupos'!ED8='Apostas - Grupos'!EE8),AND('Jogos - Grupos'!F69&gt;'Jogos - Grupos'!G69,'Apostas - Grupos'!ED8&gt;'Apostas - Grupos'!EE8),AND('Jogos - Grupos'!F69&lt;'Jogos - Grupos'!G69,'Apostas - Grupos'!ED8&lt;'Apostas - Grupos'!EE8)),IF(('Apostas - Grupos'!ED8-'Apostas - Grupos'!EE8)=('Jogos - Grupos'!F69-'Jogos - Grupos'!G69),3,2),0))))</f>
        <v>-</v>
      </c>
      <c r="BQ8" s="108" t="str">
        <f>IF(OR('Jogos - Grupos'!F70="",'Jogos - Grupos'!G70=""),"-",IF(OR('Apostas - Grupos'!EF8="",'Apostas - Grupos'!EG8=""),0,IF(AND('Apostas - Grupos'!EF8='Jogos - Grupos'!F70,'Apostas - Grupos'!EG8='Jogos - Grupos'!G70),5,IF(OR(AND('Jogos - Grupos'!F70='Jogos - Grupos'!G70,'Apostas - Grupos'!EF8='Apostas - Grupos'!EG8),AND('Jogos - Grupos'!F70&gt;'Jogos - Grupos'!G70,'Apostas - Grupos'!EF8&gt;'Apostas - Grupos'!EG8),AND('Jogos - Grupos'!F70&lt;'Jogos - Grupos'!G70,'Apostas - Grupos'!EF8&lt;'Apostas - Grupos'!EG8)),IF(('Apostas - Grupos'!EF8-'Apostas - Grupos'!EG8)=('Jogos - Grupos'!F70-'Jogos - Grupos'!G70),3,2),0))))</f>
        <v>-</v>
      </c>
      <c r="BR8" s="108" t="str">
        <f>IF(OR('Jogos - Grupos'!F71="",'Jogos - Grupos'!G71=""),"-",IF(OR('Apostas - Grupos'!EH8="",'Apostas - Grupos'!EI8=""),0,IF(AND('Apostas - Grupos'!EH8='Jogos - Grupos'!F71,'Apostas - Grupos'!EI8='Jogos - Grupos'!G71),5,IF(OR(AND('Jogos - Grupos'!F71='Jogos - Grupos'!G71,'Apostas - Grupos'!EH8='Apostas - Grupos'!EI8),AND('Jogos - Grupos'!F71&gt;'Jogos - Grupos'!G71,'Apostas - Grupos'!EH8&gt;'Apostas - Grupos'!EI8),AND('Jogos - Grupos'!F71&lt;'Jogos - Grupos'!G71,'Apostas - Grupos'!EH8&lt;'Apostas - Grupos'!EI8)),IF(('Apostas - Grupos'!EH8-'Apostas - Grupos'!EI8)=('Jogos - Grupos'!F71-'Jogos - Grupos'!G71),3,2),0))))</f>
        <v>-</v>
      </c>
      <c r="BS8" s="108" t="str">
        <f>IF(OR('Jogos - Grupos'!F72="",'Jogos - Grupos'!G72=""),"-",IF(OR('Apostas - Grupos'!EJ8="",'Apostas - Grupos'!EK8=""),0,IF(AND('Apostas - Grupos'!EJ8='Jogos - Grupos'!F72,'Apostas - Grupos'!EK8='Jogos - Grupos'!G72),5,IF(OR(AND('Jogos - Grupos'!F72='Jogos - Grupos'!G72,'Apostas - Grupos'!EJ8='Apostas - Grupos'!EK8),AND('Jogos - Grupos'!F72&gt;'Jogos - Grupos'!G72,'Apostas - Grupos'!EJ8&gt;'Apostas - Grupos'!EK8),AND('Jogos - Grupos'!F72&lt;'Jogos - Grupos'!G72,'Apostas - Grupos'!EJ8&lt;'Apostas - Grupos'!EK8)),IF(('Apostas - Grupos'!EJ8-'Apostas - Grupos'!EK8)=('Jogos - Grupos'!F72-'Jogos - Grupos'!G72),3,2),0))))</f>
        <v>-</v>
      </c>
      <c r="BT8" s="108" t="str">
        <f>IF(OR('Jogos - Grupos'!F73="",'Jogos - Grupos'!G73=""),"-",IF(OR('Apostas - Grupos'!EL8="",'Apostas - Grupos'!EM8=""),0,IF(AND('Apostas - Grupos'!EL8='Jogos - Grupos'!F73,'Apostas - Grupos'!EM8='Jogos - Grupos'!G73),5,IF(OR(AND('Jogos - Grupos'!F73='Jogos - Grupos'!G73,'Apostas - Grupos'!EL8='Apostas - Grupos'!EM8),AND('Jogos - Grupos'!F73&gt;'Jogos - Grupos'!G73,'Apostas - Grupos'!EL8&gt;'Apostas - Grupos'!EM8),AND('Jogos - Grupos'!F73&lt;'Jogos - Grupos'!G73,'Apostas - Grupos'!EL8&lt;'Apostas - Grupos'!EM8)),IF(('Apostas - Grupos'!EL8-'Apostas - Grupos'!EM8)=('Jogos - Grupos'!F73-'Jogos - Grupos'!G73),3,2),0))))</f>
        <v>-</v>
      </c>
      <c r="BU8" s="108" t="str">
        <f>IF(OR('Jogos - Grupos'!F74="",'Jogos - Grupos'!G74=""),"-",IF(OR('Apostas - Grupos'!EN8="",'Apostas - Grupos'!EO8=""),0,IF(AND('Apostas - Grupos'!EN8='Jogos - Grupos'!F74,'Apostas - Grupos'!EO8='Jogos - Grupos'!G74),5,IF(OR(AND('Jogos - Grupos'!F74='Jogos - Grupos'!G74,'Apostas - Grupos'!EN8='Apostas - Grupos'!EO8),AND('Jogos - Grupos'!F74&gt;'Jogos - Grupos'!G74,'Apostas - Grupos'!EN8&gt;'Apostas - Grupos'!EO8),AND('Jogos - Grupos'!F74&lt;'Jogos - Grupos'!G74,'Apostas - Grupos'!EN8&lt;'Apostas - Grupos'!EO8)),IF(('Apostas - Grupos'!EN8-'Apostas - Grupos'!EO8)=('Jogos - Grupos'!F74-'Jogos - Grupos'!G74),3,2),0))))</f>
        <v>-</v>
      </c>
      <c r="BV8" s="107">
        <f t="shared" si="0"/>
        <v>0</v>
      </c>
    </row>
  </sheetData>
  <mergeCells count="2">
    <mergeCell ref="A2:BV2"/>
    <mergeCell ref="A1:BV1"/>
  </mergeCells>
  <conditionalFormatting sqref="B5:BU8">
    <cfRule type="cellIs" dxfId="10" priority="1" operator="equal">
      <formula>5</formula>
    </cfRule>
    <cfRule type="cellIs" dxfId="9" priority="2" operator="equal">
      <formula>3</formula>
    </cfRule>
    <cfRule type="cellIs" dxfId="8" priority="3" operator="equal">
      <formula>2</formula>
    </cfRule>
    <cfRule type="cellIs" dxfId="7" priority="4" operator="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07D8B"/>
  </sheetPr>
  <dimension ref="A1:R92"/>
  <sheetViews>
    <sheetView showGridLines="0" workbookViewId="0"/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8" ht="43.95" customHeight="1">
      <c r="A1" s="255" t="s">
        <v>418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</row>
    <row r="2" spans="1:18">
      <c r="A2" s="5" t="s">
        <v>47</v>
      </c>
      <c r="B2" s="5" t="s">
        <v>419</v>
      </c>
      <c r="C2" s="5" t="s">
        <v>420</v>
      </c>
      <c r="D2" s="5" t="s">
        <v>98</v>
      </c>
      <c r="E2" s="5" t="s">
        <v>421</v>
      </c>
      <c r="F2" s="5" t="s">
        <v>422</v>
      </c>
      <c r="G2" s="5" t="s">
        <v>423</v>
      </c>
      <c r="H2" s="5" t="s">
        <v>424</v>
      </c>
      <c r="I2" s="5" t="s">
        <v>425</v>
      </c>
      <c r="J2" s="5" t="s">
        <v>426</v>
      </c>
    </row>
    <row r="3" spans="1:18">
      <c r="A3" s="109" t="s">
        <v>54</v>
      </c>
      <c r="B3" s="9" t="s">
        <v>55</v>
      </c>
      <c r="C3" s="110">
        <f>SUMPRODUCT(('Jogos - Grupos'!$C$3:$C$74=$A3)*('Jogos - Grupos'!$D$3:$D$74=$B3)*ISNUMBER('Jogos - Grupos'!$F$3:$F$74)*ISNUMBER('Jogos - Grupos'!$G$3:$G$74)*('Jogos - Grupos'!$F$3:$F$74&gt;'Jogos - Grupos'!$G$3:$G$74))+SUMPRODUCT(('Jogos - Grupos'!$C$3:$C$74=$A3)*('Jogos - Grupos'!$E$3:$E$74=$B3)*ISNUMBER('Jogos - Grupos'!$F$3:$F$74)*ISNUMBER('Jogos - Grupos'!$G$3:$G$74)*('Jogos - Grupos'!$G$3:$G$74&gt;'Jogos - Grupos'!$F$3:$F$74))</f>
        <v>1</v>
      </c>
      <c r="D3" s="110">
        <f>SUMPRODUCT(('Jogos - Grupos'!$C$3:$C$74=$A3)*(('Jogos - Grupos'!$D$3:$D$74=$B3)+('Jogos - Grupos'!$E$3:$E$74=$B3))*ISNUMBER('Jogos - Grupos'!$F$3:$F$74)*ISNUMBER('Jogos - Grupos'!$G$3:$G$74)*('Jogos - Grupos'!$F$3:$F$74='Jogos - Grupos'!$G$3:$G$74))</f>
        <v>0</v>
      </c>
      <c r="E3" s="110">
        <f>SUMPRODUCT(('Jogos - Grupos'!$C$3:$C$74=$A3)*('Jogos - Grupos'!$D$3:$D$74=$B3)*ISNUMBER('Jogos - Grupos'!$F$3:$F$74)*'Jogos - Grupos'!$F$3:$F$74)+SUMPRODUCT(('Jogos - Grupos'!$C$3:$C$74=$A3)*('Jogos - Grupos'!$E$3:$E$74=$B3)*ISNUMBER('Jogos - Grupos'!$G$3:$G$74)*'Jogos - Grupos'!$G$3:$G$74)</f>
        <v>2</v>
      </c>
      <c r="F3" s="110">
        <f>SUMPRODUCT(('Jogos - Grupos'!$C$3:$C$74=$A3)*('Jogos - Grupos'!$D$3:$D$74=$B3)*ISNUMBER('Jogos - Grupos'!$G$3:$G$74)*'Jogos - Grupos'!$G$3:$G$74)+SUMPRODUCT(('Jogos - Grupos'!$C$3:$C$74=$A3)*('Jogos - Grupos'!$E$3:$E$74=$B3)*ISNUMBER('Jogos - Grupos'!$F$3:$F$74)*'Jogos - Grupos'!$F$3:$F$74)</f>
        <v>0</v>
      </c>
      <c r="G3" s="110">
        <f t="shared" ref="G3:G50" si="0">E3-F3</f>
        <v>2</v>
      </c>
      <c r="H3" s="8">
        <f t="shared" ref="H3:H50" si="1">3*C3+D3</f>
        <v>3</v>
      </c>
      <c r="I3" s="110">
        <f t="shared" ref="I3:I50" si="2">H3*1000000000+(G3+200)*1000000+E3*1000+(500-K3)</f>
        <v>3202002484</v>
      </c>
      <c r="J3" s="8">
        <f>RANK(I3,$I$3:$I$6,0)</f>
        <v>1</v>
      </c>
      <c r="K3" s="110">
        <v>16</v>
      </c>
    </row>
    <row r="4" spans="1:18">
      <c r="A4" s="109" t="s">
        <v>54</v>
      </c>
      <c r="B4" s="9" t="s">
        <v>56</v>
      </c>
      <c r="C4" s="110">
        <f>SUMPRODUCT(('Jogos - Grupos'!$C$3:$C$74=$A4)*('Jogos - Grupos'!$D$3:$D$74=$B4)*ISNUMBER('Jogos - Grupos'!$F$3:$F$74)*ISNUMBER('Jogos - Grupos'!$G$3:$G$74)*('Jogos - Grupos'!$F$3:$F$74&gt;'Jogos - Grupos'!$G$3:$G$74))+SUMPRODUCT(('Jogos - Grupos'!$C$3:$C$74=$A4)*('Jogos - Grupos'!$E$3:$E$74=$B4)*ISNUMBER('Jogos - Grupos'!$F$3:$F$74)*ISNUMBER('Jogos - Grupos'!$G$3:$G$74)*('Jogos - Grupos'!$G$3:$G$74&gt;'Jogos - Grupos'!$F$3:$F$74))</f>
        <v>0</v>
      </c>
      <c r="D4" s="110">
        <f>SUMPRODUCT(('Jogos - Grupos'!$C$3:$C$74=$A4)*(('Jogos - Grupos'!$D$3:$D$74=$B4)+('Jogos - Grupos'!$E$3:$E$74=$B4))*ISNUMBER('Jogos - Grupos'!$F$3:$F$74)*ISNUMBER('Jogos - Grupos'!$G$3:$G$74)*('Jogos - Grupos'!$F$3:$F$74='Jogos - Grupos'!$G$3:$G$74))</f>
        <v>0</v>
      </c>
      <c r="E4" s="110">
        <f>SUMPRODUCT(('Jogos - Grupos'!$C$3:$C$74=$A4)*('Jogos - Grupos'!$D$3:$D$74=$B4)*ISNUMBER('Jogos - Grupos'!$F$3:$F$74)*'Jogos - Grupos'!$F$3:$F$74)+SUMPRODUCT(('Jogos - Grupos'!$C$3:$C$74=$A4)*('Jogos - Grupos'!$E$3:$E$74=$B4)*ISNUMBER('Jogos - Grupos'!$G$3:$G$74)*'Jogos - Grupos'!$G$3:$G$74)</f>
        <v>0</v>
      </c>
      <c r="F4" s="110">
        <f>SUMPRODUCT(('Jogos - Grupos'!$C$3:$C$74=$A4)*('Jogos - Grupos'!$D$3:$D$74=$B4)*ISNUMBER('Jogos - Grupos'!$G$3:$G$74)*'Jogos - Grupos'!$G$3:$G$74)+SUMPRODUCT(('Jogos - Grupos'!$C$3:$C$74=$A4)*('Jogos - Grupos'!$E$3:$E$74=$B4)*ISNUMBER('Jogos - Grupos'!$F$3:$F$74)*'Jogos - Grupos'!$F$3:$F$74)</f>
        <v>2</v>
      </c>
      <c r="G4" s="110">
        <f t="shared" si="0"/>
        <v>-2</v>
      </c>
      <c r="H4" s="8">
        <f t="shared" si="1"/>
        <v>0</v>
      </c>
      <c r="I4" s="110">
        <f t="shared" si="2"/>
        <v>198000437</v>
      </c>
      <c r="J4" s="8">
        <f>RANK(I4,$I$3:$I$6,0)</f>
        <v>4</v>
      </c>
      <c r="K4" s="110">
        <v>63</v>
      </c>
    </row>
    <row r="5" spans="1:18">
      <c r="A5" s="109" t="s">
        <v>54</v>
      </c>
      <c r="B5" s="9" t="s">
        <v>58</v>
      </c>
      <c r="C5" s="110">
        <f>SUMPRODUCT(('Jogos - Grupos'!$C$3:$C$74=$A5)*('Jogos - Grupos'!$D$3:$D$74=$B5)*ISNUMBER('Jogos - Grupos'!$F$3:$F$74)*ISNUMBER('Jogos - Grupos'!$G$3:$G$74)*('Jogos - Grupos'!$F$3:$F$74&gt;'Jogos - Grupos'!$G$3:$G$74))+SUMPRODUCT(('Jogos - Grupos'!$C$3:$C$74=$A5)*('Jogos - Grupos'!$E$3:$E$74=$B5)*ISNUMBER('Jogos - Grupos'!$F$3:$F$74)*ISNUMBER('Jogos - Grupos'!$G$3:$G$74)*('Jogos - Grupos'!$G$3:$G$74&gt;'Jogos - Grupos'!$F$3:$F$74))</f>
        <v>1</v>
      </c>
      <c r="D5" s="110">
        <f>SUMPRODUCT(('Jogos - Grupos'!$C$3:$C$74=$A5)*(('Jogos - Grupos'!$D$3:$D$74=$B5)+('Jogos - Grupos'!$E$3:$E$74=$B5))*ISNUMBER('Jogos - Grupos'!$F$3:$F$74)*ISNUMBER('Jogos - Grupos'!$G$3:$G$74)*('Jogos - Grupos'!$F$3:$F$74='Jogos - Grupos'!$G$3:$G$74))</f>
        <v>0</v>
      </c>
      <c r="E5" s="110">
        <f>SUMPRODUCT(('Jogos - Grupos'!$C$3:$C$74=$A5)*('Jogos - Grupos'!$D$3:$D$74=$B5)*ISNUMBER('Jogos - Grupos'!$F$3:$F$74)*'Jogos - Grupos'!$F$3:$F$74)+SUMPRODUCT(('Jogos - Grupos'!$C$3:$C$74=$A5)*('Jogos - Grupos'!$E$3:$E$74=$B5)*ISNUMBER('Jogos - Grupos'!$G$3:$G$74)*'Jogos - Grupos'!$G$3:$G$74)</f>
        <v>2</v>
      </c>
      <c r="F5" s="110">
        <f>SUMPRODUCT(('Jogos - Grupos'!$C$3:$C$74=$A5)*('Jogos - Grupos'!$D$3:$D$74=$B5)*ISNUMBER('Jogos - Grupos'!$G$3:$G$74)*'Jogos - Grupos'!$G$3:$G$74)+SUMPRODUCT(('Jogos - Grupos'!$C$3:$C$74=$A5)*('Jogos - Grupos'!$E$3:$E$74=$B5)*ISNUMBER('Jogos - Grupos'!$F$3:$F$74)*'Jogos - Grupos'!$F$3:$F$74)</f>
        <v>1</v>
      </c>
      <c r="G5" s="110">
        <f t="shared" si="0"/>
        <v>1</v>
      </c>
      <c r="H5" s="8">
        <f t="shared" si="1"/>
        <v>3</v>
      </c>
      <c r="I5" s="110">
        <f t="shared" si="2"/>
        <v>3201002477</v>
      </c>
      <c r="J5" s="8">
        <f>RANK(I5,$I$3:$I$6,0)</f>
        <v>2</v>
      </c>
      <c r="K5" s="110">
        <v>23</v>
      </c>
    </row>
    <row r="6" spans="1:18">
      <c r="A6" s="109" t="s">
        <v>54</v>
      </c>
      <c r="B6" s="9" t="s">
        <v>59</v>
      </c>
      <c r="C6" s="110">
        <f>SUMPRODUCT(('Jogos - Grupos'!$C$3:$C$74=$A6)*('Jogos - Grupos'!$D$3:$D$74=$B6)*ISNUMBER('Jogos - Grupos'!$F$3:$F$74)*ISNUMBER('Jogos - Grupos'!$G$3:$G$74)*('Jogos - Grupos'!$F$3:$F$74&gt;'Jogos - Grupos'!$G$3:$G$74))+SUMPRODUCT(('Jogos - Grupos'!$C$3:$C$74=$A6)*('Jogos - Grupos'!$E$3:$E$74=$B6)*ISNUMBER('Jogos - Grupos'!$F$3:$F$74)*ISNUMBER('Jogos - Grupos'!$G$3:$G$74)*('Jogos - Grupos'!$G$3:$G$74&gt;'Jogos - Grupos'!$F$3:$F$74))</f>
        <v>0</v>
      </c>
      <c r="D6" s="110">
        <f>SUMPRODUCT(('Jogos - Grupos'!$C$3:$C$74=$A6)*(('Jogos - Grupos'!$D$3:$D$74=$B6)+('Jogos - Grupos'!$E$3:$E$74=$B6))*ISNUMBER('Jogos - Grupos'!$F$3:$F$74)*ISNUMBER('Jogos - Grupos'!$G$3:$G$74)*('Jogos - Grupos'!$F$3:$F$74='Jogos - Grupos'!$G$3:$G$74))</f>
        <v>0</v>
      </c>
      <c r="E6" s="110">
        <f>SUMPRODUCT(('Jogos - Grupos'!$C$3:$C$74=$A6)*('Jogos - Grupos'!$D$3:$D$74=$B6)*ISNUMBER('Jogos - Grupos'!$F$3:$F$74)*'Jogos - Grupos'!$F$3:$F$74)+SUMPRODUCT(('Jogos - Grupos'!$C$3:$C$74=$A6)*('Jogos - Grupos'!$E$3:$E$74=$B6)*ISNUMBER('Jogos - Grupos'!$G$3:$G$74)*'Jogos - Grupos'!$G$3:$G$74)</f>
        <v>1</v>
      </c>
      <c r="F6" s="110">
        <f>SUMPRODUCT(('Jogos - Grupos'!$C$3:$C$74=$A6)*('Jogos - Grupos'!$D$3:$D$74=$B6)*ISNUMBER('Jogos - Grupos'!$G$3:$G$74)*'Jogos - Grupos'!$G$3:$G$74)+SUMPRODUCT(('Jogos - Grupos'!$C$3:$C$74=$A6)*('Jogos - Grupos'!$E$3:$E$74=$B6)*ISNUMBER('Jogos - Grupos'!$F$3:$F$74)*'Jogos - Grupos'!$F$3:$F$74)</f>
        <v>2</v>
      </c>
      <c r="G6" s="110">
        <f t="shared" si="0"/>
        <v>-1</v>
      </c>
      <c r="H6" s="8">
        <f t="shared" si="1"/>
        <v>0</v>
      </c>
      <c r="I6" s="110">
        <f t="shared" si="2"/>
        <v>199001462</v>
      </c>
      <c r="J6" s="8">
        <f>RANK(I6,$I$3:$I$6,0)</f>
        <v>3</v>
      </c>
      <c r="K6" s="110">
        <v>38</v>
      </c>
    </row>
    <row r="7" spans="1:18">
      <c r="A7" s="111" t="s">
        <v>65</v>
      </c>
      <c r="B7" s="15" t="s">
        <v>66</v>
      </c>
      <c r="C7" s="112">
        <f>SUMPRODUCT(('Jogos - Grupos'!$C$3:$C$74=$A7)*('Jogos - Grupos'!$D$3:$D$74=$B7)*ISNUMBER('Jogos - Grupos'!$F$3:$F$74)*ISNUMBER('Jogos - Grupos'!$G$3:$G$74)*('Jogos - Grupos'!$F$3:$F$74&gt;'Jogos - Grupos'!$G$3:$G$74))+SUMPRODUCT(('Jogos - Grupos'!$C$3:$C$74=$A7)*('Jogos - Grupos'!$E$3:$E$74=$B7)*ISNUMBER('Jogos - Grupos'!$F$3:$F$74)*ISNUMBER('Jogos - Grupos'!$G$3:$G$74)*('Jogos - Grupos'!$G$3:$G$74&gt;'Jogos - Grupos'!$F$3:$F$74))</f>
        <v>0</v>
      </c>
      <c r="D7" s="112">
        <f>SUMPRODUCT(('Jogos - Grupos'!$C$3:$C$74=$A7)*(('Jogos - Grupos'!$D$3:$D$74=$B7)+('Jogos - Grupos'!$E$3:$E$74=$B7))*ISNUMBER('Jogos - Grupos'!$F$3:$F$74)*ISNUMBER('Jogos - Grupos'!$G$3:$G$74)*('Jogos - Grupos'!$F$3:$F$74='Jogos - Grupos'!$G$3:$G$74))</f>
        <v>0</v>
      </c>
      <c r="E7" s="112">
        <f>SUMPRODUCT(('Jogos - Grupos'!$C$3:$C$74=$A7)*('Jogos - Grupos'!$D$3:$D$74=$B7)*ISNUMBER('Jogos - Grupos'!$F$3:$F$74)*'Jogos - Grupos'!$F$3:$F$74)+SUMPRODUCT(('Jogos - Grupos'!$C$3:$C$74=$A7)*('Jogos - Grupos'!$E$3:$E$74=$B7)*ISNUMBER('Jogos - Grupos'!$G$3:$G$74)*'Jogos - Grupos'!$G$3:$G$74)</f>
        <v>0</v>
      </c>
      <c r="F7" s="112">
        <f>SUMPRODUCT(('Jogos - Grupos'!$C$3:$C$74=$A7)*('Jogos - Grupos'!$D$3:$D$74=$B7)*ISNUMBER('Jogos - Grupos'!$G$3:$G$74)*'Jogos - Grupos'!$G$3:$G$74)+SUMPRODUCT(('Jogos - Grupos'!$C$3:$C$74=$A7)*('Jogos - Grupos'!$E$3:$E$74=$B7)*ISNUMBER('Jogos - Grupos'!$F$3:$F$74)*'Jogos - Grupos'!$F$3:$F$74)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v>44</v>
      </c>
    </row>
    <row r="8" spans="1:18">
      <c r="A8" s="111" t="s">
        <v>65</v>
      </c>
      <c r="B8" s="15" t="s">
        <v>67</v>
      </c>
      <c r="C8" s="112">
        <f>SUMPRODUCT(('Jogos - Grupos'!$C$3:$C$74=$A8)*('Jogos - Grupos'!$D$3:$D$74=$B8)*ISNUMBER('Jogos - Grupos'!$F$3:$F$74)*ISNUMBER('Jogos - Grupos'!$G$3:$G$74)*('Jogos - Grupos'!$F$3:$F$74&gt;'Jogos - Grupos'!$G$3:$G$74))+SUMPRODUCT(('Jogos - Grupos'!$C$3:$C$74=$A8)*('Jogos - Grupos'!$E$3:$E$74=$B8)*ISNUMBER('Jogos - Grupos'!$F$3:$F$74)*ISNUMBER('Jogos - Grupos'!$G$3:$G$74)*('Jogos - Grupos'!$G$3:$G$74&gt;'Jogos - Grupos'!$F$3:$F$74))</f>
        <v>0</v>
      </c>
      <c r="D8" s="112">
        <f>SUMPRODUCT(('Jogos - Grupos'!$C$3:$C$74=$A8)*(('Jogos - Grupos'!$D$3:$D$74=$B8)+('Jogos - Grupos'!$E$3:$E$74=$B8))*ISNUMBER('Jogos - Grupos'!$F$3:$F$74)*ISNUMBER('Jogos - Grupos'!$G$3:$G$74)*('Jogos - Grupos'!$F$3:$F$74='Jogos - Grupos'!$G$3:$G$74))</f>
        <v>0</v>
      </c>
      <c r="E8" s="112">
        <f>SUMPRODUCT(('Jogos - Grupos'!$C$3:$C$74=$A8)*('Jogos - Grupos'!$D$3:$D$74=$B8)*ISNUMBER('Jogos - Grupos'!$F$3:$F$74)*'Jogos - Grupos'!$F$3:$F$74)+SUMPRODUCT(('Jogos - Grupos'!$C$3:$C$74=$A8)*('Jogos - Grupos'!$E$3:$E$74=$B8)*ISNUMBER('Jogos - Grupos'!$G$3:$G$74)*'Jogos - Grupos'!$G$3:$G$74)</f>
        <v>0</v>
      </c>
      <c r="F8" s="112">
        <f>SUMPRODUCT(('Jogos - Grupos'!$C$3:$C$74=$A8)*('Jogos - Grupos'!$D$3:$D$74=$B8)*ISNUMBER('Jogos - Grupos'!$G$3:$G$74)*'Jogos - Grupos'!$G$3:$G$74)+SUMPRODUCT(('Jogos - Grupos'!$C$3:$C$74=$A8)*('Jogos - Grupos'!$E$3:$E$74=$B8)*ISNUMBER('Jogos - Grupos'!$F$3:$F$74)*'Jogos - Grupos'!$F$3:$F$74)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v>55</v>
      </c>
    </row>
    <row r="9" spans="1:18">
      <c r="A9" s="111" t="s">
        <v>65</v>
      </c>
      <c r="B9" s="15" t="s">
        <v>69</v>
      </c>
      <c r="C9" s="112">
        <f>SUMPRODUCT(('Jogos - Grupos'!$C$3:$C$74=$A9)*('Jogos - Grupos'!$D$3:$D$74=$B9)*ISNUMBER('Jogos - Grupos'!$F$3:$F$74)*ISNUMBER('Jogos - Grupos'!$G$3:$G$74)*('Jogos - Grupos'!$F$3:$F$74&gt;'Jogos - Grupos'!$G$3:$G$74))+SUMPRODUCT(('Jogos - Grupos'!$C$3:$C$74=$A9)*('Jogos - Grupos'!$E$3:$E$74=$B9)*ISNUMBER('Jogos - Grupos'!$F$3:$F$74)*ISNUMBER('Jogos - Grupos'!$G$3:$G$74)*('Jogos - Grupos'!$G$3:$G$74&gt;'Jogos - Grupos'!$F$3:$F$74))</f>
        <v>0</v>
      </c>
      <c r="D9" s="112">
        <f>SUMPRODUCT(('Jogos - Grupos'!$C$3:$C$74=$A9)*(('Jogos - Grupos'!$D$3:$D$74=$B9)+('Jogos - Grupos'!$E$3:$E$74=$B9))*ISNUMBER('Jogos - Grupos'!$F$3:$F$74)*ISNUMBER('Jogos - Grupos'!$G$3:$G$74)*('Jogos - Grupos'!$F$3:$F$74='Jogos - Grupos'!$G$3:$G$74))</f>
        <v>0</v>
      </c>
      <c r="E9" s="112">
        <f>SUMPRODUCT(('Jogos - Grupos'!$C$3:$C$74=$A9)*('Jogos - Grupos'!$D$3:$D$74=$B9)*ISNUMBER('Jogos - Grupos'!$F$3:$F$74)*'Jogos - Grupos'!$F$3:$F$74)+SUMPRODUCT(('Jogos - Grupos'!$C$3:$C$74=$A9)*('Jogos - Grupos'!$E$3:$E$74=$B9)*ISNUMBER('Jogos - Grupos'!$G$3:$G$74)*'Jogos - Grupos'!$G$3:$G$74)</f>
        <v>0</v>
      </c>
      <c r="F9" s="112">
        <f>SUMPRODUCT(('Jogos - Grupos'!$C$3:$C$74=$A9)*('Jogos - Grupos'!$D$3:$D$74=$B9)*ISNUMBER('Jogos - Grupos'!$G$3:$G$74)*'Jogos - Grupos'!$G$3:$G$74)+SUMPRODUCT(('Jogos - Grupos'!$C$3:$C$74=$A9)*('Jogos - Grupos'!$E$3:$E$74=$B9)*ISNUMBER('Jogos - Grupos'!$F$3:$F$74)*'Jogos - Grupos'!$F$3:$F$74)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v>38</v>
      </c>
    </row>
    <row r="10" spans="1:18">
      <c r="A10" s="111" t="s">
        <v>65</v>
      </c>
      <c r="B10" s="15" t="s">
        <v>70</v>
      </c>
      <c r="C10" s="112">
        <f>SUMPRODUCT(('Jogos - Grupos'!$C$3:$C$74=$A10)*('Jogos - Grupos'!$D$3:$D$74=$B10)*ISNUMBER('Jogos - Grupos'!$F$3:$F$74)*ISNUMBER('Jogos - Grupos'!$G$3:$G$74)*('Jogos - Grupos'!$F$3:$F$74&gt;'Jogos - Grupos'!$G$3:$G$74))+SUMPRODUCT(('Jogos - Grupos'!$C$3:$C$74=$A10)*('Jogos - Grupos'!$E$3:$E$74=$B10)*ISNUMBER('Jogos - Grupos'!$F$3:$F$74)*ISNUMBER('Jogos - Grupos'!$G$3:$G$74)*('Jogos - Grupos'!$G$3:$G$74&gt;'Jogos - Grupos'!$F$3:$F$74))</f>
        <v>0</v>
      </c>
      <c r="D10" s="112">
        <f>SUMPRODUCT(('Jogos - Grupos'!$C$3:$C$74=$A10)*(('Jogos - Grupos'!$D$3:$D$74=$B10)+('Jogos - Grupos'!$E$3:$E$74=$B10))*ISNUMBER('Jogos - Grupos'!$F$3:$F$74)*ISNUMBER('Jogos - Grupos'!$G$3:$G$74)*('Jogos - Grupos'!$F$3:$F$74='Jogos - Grupos'!$G$3:$G$74))</f>
        <v>0</v>
      </c>
      <c r="E10" s="112">
        <f>SUMPRODUCT(('Jogos - Grupos'!$C$3:$C$74=$A10)*('Jogos - Grupos'!$D$3:$D$74=$B10)*ISNUMBER('Jogos - Grupos'!$F$3:$F$74)*'Jogos - Grupos'!$F$3:$F$74)+SUMPRODUCT(('Jogos - Grupos'!$C$3:$C$74=$A10)*('Jogos - Grupos'!$E$3:$E$74=$B10)*ISNUMBER('Jogos - Grupos'!$G$3:$G$74)*'Jogos - Grupos'!$G$3:$G$74)</f>
        <v>0</v>
      </c>
      <c r="F10" s="112">
        <f>SUMPRODUCT(('Jogos - Grupos'!$C$3:$C$74=$A10)*('Jogos - Grupos'!$D$3:$D$74=$B10)*ISNUMBER('Jogos - Grupos'!$G$3:$G$74)*'Jogos - Grupos'!$G$3:$G$74)+SUMPRODUCT(('Jogos - Grupos'!$C$3:$C$74=$A10)*('Jogos - Grupos'!$E$3:$E$74=$B10)*ISNUMBER('Jogos - Grupos'!$F$3:$F$74)*'Jogos - Grupos'!$F$3:$F$74)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v>20</v>
      </c>
    </row>
    <row r="11" spans="1:18">
      <c r="A11" s="113" t="s">
        <v>76</v>
      </c>
      <c r="B11" s="20" t="s">
        <v>77</v>
      </c>
      <c r="C11" s="114">
        <f>SUMPRODUCT(('Jogos - Grupos'!$C$3:$C$74=$A11)*('Jogos - Grupos'!$D$3:$D$74=$B11)*ISNUMBER('Jogos - Grupos'!$F$3:$F$74)*ISNUMBER('Jogos - Grupos'!$G$3:$G$74)*('Jogos - Grupos'!$F$3:$F$74&gt;'Jogos - Grupos'!$G$3:$G$74))+SUMPRODUCT(('Jogos - Grupos'!$C$3:$C$74=$A11)*('Jogos - Grupos'!$E$3:$E$74=$B11)*ISNUMBER('Jogos - Grupos'!$F$3:$F$74)*ISNUMBER('Jogos - Grupos'!$G$3:$G$74)*('Jogos - Grupos'!$G$3:$G$74&gt;'Jogos - Grupos'!$F$3:$F$74))</f>
        <v>0</v>
      </c>
      <c r="D11" s="114">
        <f>SUMPRODUCT(('Jogos - Grupos'!$C$3:$C$74=$A11)*(('Jogos - Grupos'!$D$3:$D$74=$B11)+('Jogos - Grupos'!$E$3:$E$74=$B11))*ISNUMBER('Jogos - Grupos'!$F$3:$F$74)*ISNUMBER('Jogos - Grupos'!$G$3:$G$74)*('Jogos - Grupos'!$F$3:$F$74='Jogos - Grupos'!$G$3:$G$74))</f>
        <v>0</v>
      </c>
      <c r="E11" s="114">
        <f>SUMPRODUCT(('Jogos - Grupos'!$C$3:$C$74=$A11)*('Jogos - Grupos'!$D$3:$D$74=$B11)*ISNUMBER('Jogos - Grupos'!$F$3:$F$74)*'Jogos - Grupos'!$F$3:$F$74)+SUMPRODUCT(('Jogos - Grupos'!$C$3:$C$74=$A11)*('Jogos - Grupos'!$E$3:$E$74=$B11)*ISNUMBER('Jogos - Grupos'!$G$3:$G$74)*'Jogos - Grupos'!$G$3:$G$74)</f>
        <v>0</v>
      </c>
      <c r="F11" s="114">
        <f>SUMPRODUCT(('Jogos - Grupos'!$C$3:$C$74=$A11)*('Jogos - Grupos'!$D$3:$D$74=$B11)*ISNUMBER('Jogos - Grupos'!$G$3:$G$74)*'Jogos - Grupos'!$G$3:$G$74)+SUMPRODUCT(('Jogos - Grupos'!$C$3:$C$74=$A11)*('Jogos - Grupos'!$E$3:$E$74=$B11)*ISNUMBER('Jogos - Grupos'!$F$3:$F$74)*'Jogos - Grupos'!$F$3:$F$74)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v>5</v>
      </c>
    </row>
    <row r="12" spans="1:18">
      <c r="A12" s="113" t="s">
        <v>76</v>
      </c>
      <c r="B12" s="20" t="s">
        <v>78</v>
      </c>
      <c r="C12" s="114">
        <f>SUMPRODUCT(('Jogos - Grupos'!$C$3:$C$74=$A12)*('Jogos - Grupos'!$D$3:$D$74=$B12)*ISNUMBER('Jogos - Grupos'!$F$3:$F$74)*ISNUMBER('Jogos - Grupos'!$G$3:$G$74)*('Jogos - Grupos'!$F$3:$F$74&gt;'Jogos - Grupos'!$G$3:$G$74))+SUMPRODUCT(('Jogos - Grupos'!$C$3:$C$74=$A12)*('Jogos - Grupos'!$E$3:$E$74=$B12)*ISNUMBER('Jogos - Grupos'!$F$3:$F$74)*ISNUMBER('Jogos - Grupos'!$G$3:$G$74)*('Jogos - Grupos'!$G$3:$G$74&gt;'Jogos - Grupos'!$F$3:$F$74))</f>
        <v>0</v>
      </c>
      <c r="D12" s="114">
        <f>SUMPRODUCT(('Jogos - Grupos'!$C$3:$C$74=$A12)*(('Jogos - Grupos'!$D$3:$D$74=$B12)+('Jogos - Grupos'!$E$3:$E$74=$B12))*ISNUMBER('Jogos - Grupos'!$F$3:$F$74)*ISNUMBER('Jogos - Grupos'!$G$3:$G$74)*('Jogos - Grupos'!$F$3:$F$74='Jogos - Grupos'!$G$3:$G$74))</f>
        <v>0</v>
      </c>
      <c r="E12" s="114">
        <f>SUMPRODUCT(('Jogos - Grupos'!$C$3:$C$74=$A12)*('Jogos - Grupos'!$D$3:$D$74=$B12)*ISNUMBER('Jogos - Grupos'!$F$3:$F$74)*'Jogos - Grupos'!$F$3:$F$74)+SUMPRODUCT(('Jogos - Grupos'!$C$3:$C$74=$A12)*('Jogos - Grupos'!$E$3:$E$74=$B12)*ISNUMBER('Jogos - Grupos'!$G$3:$G$74)*'Jogos - Grupos'!$G$3:$G$74)</f>
        <v>0</v>
      </c>
      <c r="F12" s="114">
        <f>SUMPRODUCT(('Jogos - Grupos'!$C$3:$C$74=$A12)*('Jogos - Grupos'!$D$3:$D$74=$B12)*ISNUMBER('Jogos - Grupos'!$G$3:$G$74)*'Jogos - Grupos'!$G$3:$G$74)+SUMPRODUCT(('Jogos - Grupos'!$C$3:$C$74=$A12)*('Jogos - Grupos'!$E$3:$E$74=$B12)*ISNUMBER('Jogos - Grupos'!$F$3:$F$74)*'Jogos - Grupos'!$F$3:$F$74)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v>14</v>
      </c>
    </row>
    <row r="13" spans="1:18">
      <c r="A13" s="113" t="s">
        <v>76</v>
      </c>
      <c r="B13" s="20" t="s">
        <v>80</v>
      </c>
      <c r="C13" s="114">
        <f>SUMPRODUCT(('Jogos - Grupos'!$C$3:$C$74=$A13)*('Jogos - Grupos'!$D$3:$D$74=$B13)*ISNUMBER('Jogos - Grupos'!$F$3:$F$74)*ISNUMBER('Jogos - Grupos'!$G$3:$G$74)*('Jogos - Grupos'!$F$3:$F$74&gt;'Jogos - Grupos'!$G$3:$G$74))+SUMPRODUCT(('Jogos - Grupos'!$C$3:$C$74=$A13)*('Jogos - Grupos'!$E$3:$E$74=$B13)*ISNUMBER('Jogos - Grupos'!$F$3:$F$74)*ISNUMBER('Jogos - Grupos'!$G$3:$G$74)*('Jogos - Grupos'!$G$3:$G$74&gt;'Jogos - Grupos'!$F$3:$F$74))</f>
        <v>0</v>
      </c>
      <c r="D13" s="114">
        <f>SUMPRODUCT(('Jogos - Grupos'!$C$3:$C$74=$A13)*(('Jogos - Grupos'!$D$3:$D$74=$B13)+('Jogos - Grupos'!$E$3:$E$74=$B13))*ISNUMBER('Jogos - Grupos'!$F$3:$F$74)*ISNUMBER('Jogos - Grupos'!$G$3:$G$74)*('Jogos - Grupos'!$F$3:$F$74='Jogos - Grupos'!$G$3:$G$74))</f>
        <v>0</v>
      </c>
      <c r="E13" s="114">
        <f>SUMPRODUCT(('Jogos - Grupos'!$C$3:$C$74=$A13)*('Jogos - Grupos'!$D$3:$D$74=$B13)*ISNUMBER('Jogos - Grupos'!$F$3:$F$74)*'Jogos - Grupos'!$F$3:$F$74)+SUMPRODUCT(('Jogos - Grupos'!$C$3:$C$74=$A13)*('Jogos - Grupos'!$E$3:$E$74=$B13)*ISNUMBER('Jogos - Grupos'!$G$3:$G$74)*'Jogos - Grupos'!$G$3:$G$74)</f>
        <v>0</v>
      </c>
      <c r="F13" s="114">
        <f>SUMPRODUCT(('Jogos - Grupos'!$C$3:$C$74=$A13)*('Jogos - Grupos'!$D$3:$D$74=$B13)*ISNUMBER('Jogos - Grupos'!$G$3:$G$74)*'Jogos - Grupos'!$G$3:$G$74)+SUMPRODUCT(('Jogos - Grupos'!$C$3:$C$74=$A13)*('Jogos - Grupos'!$E$3:$E$74=$B13)*ISNUMBER('Jogos - Grupos'!$F$3:$F$74)*'Jogos - Grupos'!$F$3:$F$74)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v>86</v>
      </c>
    </row>
    <row r="14" spans="1:18">
      <c r="A14" s="113" t="s">
        <v>76</v>
      </c>
      <c r="B14" s="20" t="s">
        <v>81</v>
      </c>
      <c r="C14" s="114">
        <f>SUMPRODUCT(('Jogos - Grupos'!$C$3:$C$74=$A14)*('Jogos - Grupos'!$D$3:$D$74=$B14)*ISNUMBER('Jogos - Grupos'!$F$3:$F$74)*ISNUMBER('Jogos - Grupos'!$G$3:$G$74)*('Jogos - Grupos'!$F$3:$F$74&gt;'Jogos - Grupos'!$G$3:$G$74))+SUMPRODUCT(('Jogos - Grupos'!$C$3:$C$74=$A14)*('Jogos - Grupos'!$E$3:$E$74=$B14)*ISNUMBER('Jogos - Grupos'!$F$3:$F$74)*ISNUMBER('Jogos - Grupos'!$G$3:$G$74)*('Jogos - Grupos'!$G$3:$G$74&gt;'Jogos - Grupos'!$F$3:$F$74))</f>
        <v>0</v>
      </c>
      <c r="D14" s="114">
        <f>SUMPRODUCT(('Jogos - Grupos'!$C$3:$C$74=$A14)*(('Jogos - Grupos'!$D$3:$D$74=$B14)+('Jogos - Grupos'!$E$3:$E$74=$B14))*ISNUMBER('Jogos - Grupos'!$F$3:$F$74)*ISNUMBER('Jogos - Grupos'!$G$3:$G$74)*('Jogos - Grupos'!$F$3:$F$74='Jogos - Grupos'!$G$3:$G$74))</f>
        <v>0</v>
      </c>
      <c r="E14" s="114">
        <f>SUMPRODUCT(('Jogos - Grupos'!$C$3:$C$74=$A14)*('Jogos - Grupos'!$D$3:$D$74=$B14)*ISNUMBER('Jogos - Grupos'!$F$3:$F$74)*'Jogos - Grupos'!$F$3:$F$74)+SUMPRODUCT(('Jogos - Grupos'!$C$3:$C$74=$A14)*('Jogos - Grupos'!$E$3:$E$74=$B14)*ISNUMBER('Jogos - Grupos'!$G$3:$G$74)*'Jogos - Grupos'!$G$3:$G$74)</f>
        <v>0</v>
      </c>
      <c r="F14" s="114">
        <f>SUMPRODUCT(('Jogos - Grupos'!$C$3:$C$74=$A14)*('Jogos - Grupos'!$D$3:$D$74=$B14)*ISNUMBER('Jogos - Grupos'!$G$3:$G$74)*'Jogos - Grupos'!$G$3:$G$74)+SUMPRODUCT(('Jogos - Grupos'!$C$3:$C$74=$A14)*('Jogos - Grupos'!$E$3:$E$74=$B14)*ISNUMBER('Jogos - Grupos'!$F$3:$F$74)*'Jogos - Grupos'!$F$3:$F$74)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v>27</v>
      </c>
    </row>
    <row r="15" spans="1:18">
      <c r="A15" s="115" t="s">
        <v>87</v>
      </c>
      <c r="B15" s="25" t="s">
        <v>88</v>
      </c>
      <c r="C15" s="116">
        <f>SUMPRODUCT(('Jogos - Grupos'!$C$3:$C$74=$A15)*('Jogos - Grupos'!$D$3:$D$74=$B15)*ISNUMBER('Jogos - Grupos'!$F$3:$F$74)*ISNUMBER('Jogos - Grupos'!$G$3:$G$74)*('Jogos - Grupos'!$F$3:$F$74&gt;'Jogos - Grupos'!$G$3:$G$74))+SUMPRODUCT(('Jogos - Grupos'!$C$3:$C$74=$A15)*('Jogos - Grupos'!$E$3:$E$74=$B15)*ISNUMBER('Jogos - Grupos'!$F$3:$F$74)*ISNUMBER('Jogos - Grupos'!$G$3:$G$74)*('Jogos - Grupos'!$G$3:$G$74&gt;'Jogos - Grupos'!$F$3:$F$74))</f>
        <v>0</v>
      </c>
      <c r="D15" s="116">
        <f>SUMPRODUCT(('Jogos - Grupos'!$C$3:$C$74=$A15)*(('Jogos - Grupos'!$D$3:$D$74=$B15)+('Jogos - Grupos'!$E$3:$E$74=$B15))*ISNUMBER('Jogos - Grupos'!$F$3:$F$74)*ISNUMBER('Jogos - Grupos'!$G$3:$G$74)*('Jogos - Grupos'!$F$3:$F$74='Jogos - Grupos'!$G$3:$G$74))</f>
        <v>0</v>
      </c>
      <c r="E15" s="116">
        <f>SUMPRODUCT(('Jogos - Grupos'!$C$3:$C$74=$A15)*('Jogos - Grupos'!$D$3:$D$74=$B15)*ISNUMBER('Jogos - Grupos'!$F$3:$F$74)*'Jogos - Grupos'!$F$3:$F$74)+SUMPRODUCT(('Jogos - Grupos'!$C$3:$C$74=$A15)*('Jogos - Grupos'!$E$3:$E$74=$B15)*ISNUMBER('Jogos - Grupos'!$G$3:$G$74)*'Jogos - Grupos'!$G$3:$G$74)</f>
        <v>0</v>
      </c>
      <c r="F15" s="116">
        <f>SUMPRODUCT(('Jogos - Grupos'!$C$3:$C$74=$A15)*('Jogos - Grupos'!$D$3:$D$74=$B15)*ISNUMBER('Jogos - Grupos'!$G$3:$G$74)*'Jogos - Grupos'!$G$3:$G$74)+SUMPRODUCT(('Jogos - Grupos'!$C$3:$C$74=$A15)*('Jogos - Grupos'!$E$3:$E$74=$B15)*ISNUMBER('Jogos - Grupos'!$F$3:$F$74)*'Jogos - Grupos'!$F$3:$F$74)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v>11</v>
      </c>
    </row>
    <row r="16" spans="1:18">
      <c r="A16" s="115" t="s">
        <v>87</v>
      </c>
      <c r="B16" s="25" t="s">
        <v>89</v>
      </c>
      <c r="C16" s="116">
        <f>SUMPRODUCT(('Jogos - Grupos'!$C$3:$C$74=$A16)*('Jogos - Grupos'!$D$3:$D$74=$B16)*ISNUMBER('Jogos - Grupos'!$F$3:$F$74)*ISNUMBER('Jogos - Grupos'!$G$3:$G$74)*('Jogos - Grupos'!$F$3:$F$74&gt;'Jogos - Grupos'!$G$3:$G$74))+SUMPRODUCT(('Jogos - Grupos'!$C$3:$C$74=$A16)*('Jogos - Grupos'!$E$3:$E$74=$B16)*ISNUMBER('Jogos - Grupos'!$F$3:$F$74)*ISNUMBER('Jogos - Grupos'!$G$3:$G$74)*('Jogos - Grupos'!$G$3:$G$74&gt;'Jogos - Grupos'!$F$3:$F$74))</f>
        <v>0</v>
      </c>
      <c r="D16" s="116">
        <f>SUMPRODUCT(('Jogos - Grupos'!$C$3:$C$74=$A16)*(('Jogos - Grupos'!$D$3:$D$74=$B16)+('Jogos - Grupos'!$E$3:$E$74=$B16))*ISNUMBER('Jogos - Grupos'!$F$3:$F$74)*ISNUMBER('Jogos - Grupos'!$G$3:$G$74)*('Jogos - Grupos'!$F$3:$F$74='Jogos - Grupos'!$G$3:$G$74))</f>
        <v>0</v>
      </c>
      <c r="E16" s="116">
        <f>SUMPRODUCT(('Jogos - Grupos'!$C$3:$C$74=$A16)*('Jogos - Grupos'!$D$3:$D$74=$B16)*ISNUMBER('Jogos - Grupos'!$F$3:$F$74)*'Jogos - Grupos'!$F$3:$F$74)+SUMPRODUCT(('Jogos - Grupos'!$C$3:$C$74=$A16)*('Jogos - Grupos'!$E$3:$E$74=$B16)*ISNUMBER('Jogos - Grupos'!$G$3:$G$74)*'Jogos - Grupos'!$G$3:$G$74)</f>
        <v>0</v>
      </c>
      <c r="F16" s="116">
        <f>SUMPRODUCT(('Jogos - Grupos'!$C$3:$C$74=$A16)*('Jogos - Grupos'!$D$3:$D$74=$B16)*ISNUMBER('Jogos - Grupos'!$G$3:$G$74)*'Jogos - Grupos'!$G$3:$G$74)+SUMPRODUCT(('Jogos - Grupos'!$C$3:$C$74=$A16)*('Jogos - Grupos'!$E$3:$E$74=$B16)*ISNUMBER('Jogos - Grupos'!$F$3:$F$74)*'Jogos - Grupos'!$F$3:$F$74)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v>51</v>
      </c>
    </row>
    <row r="17" spans="1:11">
      <c r="A17" s="115" t="s">
        <v>87</v>
      </c>
      <c r="B17" s="25" t="s">
        <v>91</v>
      </c>
      <c r="C17" s="116">
        <f>SUMPRODUCT(('Jogos - Grupos'!$C$3:$C$74=$A17)*('Jogos - Grupos'!$D$3:$D$74=$B17)*ISNUMBER('Jogos - Grupos'!$F$3:$F$74)*ISNUMBER('Jogos - Grupos'!$G$3:$G$74)*('Jogos - Grupos'!$F$3:$F$74&gt;'Jogos - Grupos'!$G$3:$G$74))+SUMPRODUCT(('Jogos - Grupos'!$C$3:$C$74=$A17)*('Jogos - Grupos'!$E$3:$E$74=$B17)*ISNUMBER('Jogos - Grupos'!$F$3:$F$74)*ISNUMBER('Jogos - Grupos'!$G$3:$G$74)*('Jogos - Grupos'!$G$3:$G$74&gt;'Jogos - Grupos'!$F$3:$F$74))</f>
        <v>0</v>
      </c>
      <c r="D17" s="116">
        <f>SUMPRODUCT(('Jogos - Grupos'!$C$3:$C$74=$A17)*(('Jogos - Grupos'!$D$3:$D$74=$B17)+('Jogos - Grupos'!$E$3:$E$74=$B17))*ISNUMBER('Jogos - Grupos'!$F$3:$F$74)*ISNUMBER('Jogos - Grupos'!$G$3:$G$74)*('Jogos - Grupos'!$F$3:$F$74='Jogos - Grupos'!$G$3:$G$74))</f>
        <v>0</v>
      </c>
      <c r="E17" s="116">
        <f>SUMPRODUCT(('Jogos - Grupos'!$C$3:$C$74=$A17)*('Jogos - Grupos'!$D$3:$D$74=$B17)*ISNUMBER('Jogos - Grupos'!$F$3:$F$74)*'Jogos - Grupos'!$F$3:$F$74)+SUMPRODUCT(('Jogos - Grupos'!$C$3:$C$74=$A17)*('Jogos - Grupos'!$E$3:$E$74=$B17)*ISNUMBER('Jogos - Grupos'!$G$3:$G$74)*'Jogos - Grupos'!$G$3:$G$74)</f>
        <v>0</v>
      </c>
      <c r="F17" s="116">
        <f>SUMPRODUCT(('Jogos - Grupos'!$C$3:$C$74=$A17)*('Jogos - Grupos'!$D$3:$D$74=$B17)*ISNUMBER('Jogos - Grupos'!$G$3:$G$74)*'Jogos - Grupos'!$G$3:$G$74)+SUMPRODUCT(('Jogos - Grupos'!$C$3:$C$74=$A17)*('Jogos - Grupos'!$E$3:$E$74=$B17)*ISNUMBER('Jogos - Grupos'!$F$3:$F$74)*'Jogos - Grupos'!$F$3:$F$74)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v>23</v>
      </c>
    </row>
    <row r="18" spans="1:11">
      <c r="A18" s="115" t="s">
        <v>87</v>
      </c>
      <c r="B18" s="25" t="s">
        <v>92</v>
      </c>
      <c r="C18" s="116">
        <f>SUMPRODUCT(('Jogos - Grupos'!$C$3:$C$74=$A18)*('Jogos - Grupos'!$D$3:$D$74=$B18)*ISNUMBER('Jogos - Grupos'!$F$3:$F$74)*ISNUMBER('Jogos - Grupos'!$G$3:$G$74)*('Jogos - Grupos'!$F$3:$F$74&gt;'Jogos - Grupos'!$G$3:$G$74))+SUMPRODUCT(('Jogos - Grupos'!$C$3:$C$74=$A18)*('Jogos - Grupos'!$E$3:$E$74=$B18)*ISNUMBER('Jogos - Grupos'!$F$3:$F$74)*ISNUMBER('Jogos - Grupos'!$G$3:$G$74)*('Jogos - Grupos'!$G$3:$G$74&gt;'Jogos - Grupos'!$F$3:$F$74))</f>
        <v>0</v>
      </c>
      <c r="D18" s="116">
        <f>SUMPRODUCT(('Jogos - Grupos'!$C$3:$C$74=$A18)*(('Jogos - Grupos'!$D$3:$D$74=$B18)+('Jogos - Grupos'!$E$3:$E$74=$B18))*ISNUMBER('Jogos - Grupos'!$F$3:$F$74)*ISNUMBER('Jogos - Grupos'!$G$3:$G$74)*('Jogos - Grupos'!$F$3:$F$74='Jogos - Grupos'!$G$3:$G$74))</f>
        <v>0</v>
      </c>
      <c r="E18" s="116">
        <f>SUMPRODUCT(('Jogos - Grupos'!$C$3:$C$74=$A18)*('Jogos - Grupos'!$D$3:$D$74=$B18)*ISNUMBER('Jogos - Grupos'!$F$3:$F$74)*'Jogos - Grupos'!$F$3:$F$74)+SUMPRODUCT(('Jogos - Grupos'!$C$3:$C$74=$A18)*('Jogos - Grupos'!$E$3:$E$74=$B18)*ISNUMBER('Jogos - Grupos'!$G$3:$G$74)*'Jogos - Grupos'!$G$3:$G$74)</f>
        <v>0</v>
      </c>
      <c r="F18" s="116">
        <f>SUMPRODUCT(('Jogos - Grupos'!$C$3:$C$74=$A18)*('Jogos - Grupos'!$D$3:$D$74=$B18)*ISNUMBER('Jogos - Grupos'!$G$3:$G$74)*'Jogos - Grupos'!$G$3:$G$74)+SUMPRODUCT(('Jogos - Grupos'!$C$3:$C$74=$A18)*('Jogos - Grupos'!$E$3:$E$74=$B18)*ISNUMBER('Jogos - Grupos'!$F$3:$F$74)*'Jogos - Grupos'!$F$3:$F$74)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v>36</v>
      </c>
    </row>
    <row r="19" spans="1:11">
      <c r="A19" s="117" t="s">
        <v>98</v>
      </c>
      <c r="B19" s="30" t="s">
        <v>99</v>
      </c>
      <c r="C19" s="118">
        <f>SUMPRODUCT(('Jogos - Grupos'!$C$3:$C$74=$A19)*('Jogos - Grupos'!$D$3:$D$74=$B19)*ISNUMBER('Jogos - Grupos'!$F$3:$F$74)*ISNUMBER('Jogos - Grupos'!$G$3:$G$74)*('Jogos - Grupos'!$F$3:$F$74&gt;'Jogos - Grupos'!$G$3:$G$74))+SUMPRODUCT(('Jogos - Grupos'!$C$3:$C$74=$A19)*('Jogos - Grupos'!$E$3:$E$74=$B19)*ISNUMBER('Jogos - Grupos'!$F$3:$F$74)*ISNUMBER('Jogos - Grupos'!$G$3:$G$74)*('Jogos - Grupos'!$G$3:$G$74&gt;'Jogos - Grupos'!$F$3:$F$74))</f>
        <v>0</v>
      </c>
      <c r="D19" s="118">
        <f>SUMPRODUCT(('Jogos - Grupos'!$C$3:$C$74=$A19)*(('Jogos - Grupos'!$D$3:$D$74=$B19)+('Jogos - Grupos'!$E$3:$E$74=$B19))*ISNUMBER('Jogos - Grupos'!$F$3:$F$74)*ISNUMBER('Jogos - Grupos'!$G$3:$G$74)*('Jogos - Grupos'!$F$3:$F$74='Jogos - Grupos'!$G$3:$G$74))</f>
        <v>0</v>
      </c>
      <c r="E19" s="118">
        <f>SUMPRODUCT(('Jogos - Grupos'!$C$3:$C$74=$A19)*('Jogos - Grupos'!$D$3:$D$74=$B19)*ISNUMBER('Jogos - Grupos'!$F$3:$F$74)*'Jogos - Grupos'!$F$3:$F$74)+SUMPRODUCT(('Jogos - Grupos'!$C$3:$C$74=$A19)*('Jogos - Grupos'!$E$3:$E$74=$B19)*ISNUMBER('Jogos - Grupos'!$G$3:$G$74)*'Jogos - Grupos'!$G$3:$G$74)</f>
        <v>0</v>
      </c>
      <c r="F19" s="118">
        <f>SUMPRODUCT(('Jogos - Grupos'!$C$3:$C$74=$A19)*('Jogos - Grupos'!$D$3:$D$74=$B19)*ISNUMBER('Jogos - Grupos'!$G$3:$G$74)*'Jogos - Grupos'!$G$3:$G$74)+SUMPRODUCT(('Jogos - Grupos'!$C$3:$C$74=$A19)*('Jogos - Grupos'!$E$3:$E$74=$B19)*ISNUMBER('Jogos - Grupos'!$F$3:$F$74)*'Jogos - Grupos'!$F$3:$F$74)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v>12</v>
      </c>
    </row>
    <row r="20" spans="1:11">
      <c r="A20" s="117" t="s">
        <v>98</v>
      </c>
      <c r="B20" s="30" t="s">
        <v>100</v>
      </c>
      <c r="C20" s="118">
        <f>SUMPRODUCT(('Jogos - Grupos'!$C$3:$C$74=$A20)*('Jogos - Grupos'!$D$3:$D$74=$B20)*ISNUMBER('Jogos - Grupos'!$F$3:$F$74)*ISNUMBER('Jogos - Grupos'!$G$3:$G$74)*('Jogos - Grupos'!$F$3:$F$74&gt;'Jogos - Grupos'!$G$3:$G$74))+SUMPRODUCT(('Jogos - Grupos'!$C$3:$C$74=$A20)*('Jogos - Grupos'!$E$3:$E$74=$B20)*ISNUMBER('Jogos - Grupos'!$F$3:$F$74)*ISNUMBER('Jogos - Grupos'!$G$3:$G$74)*('Jogos - Grupos'!$G$3:$G$74&gt;'Jogos - Grupos'!$F$3:$F$74))</f>
        <v>0</v>
      </c>
      <c r="D20" s="118">
        <f>SUMPRODUCT(('Jogos - Grupos'!$C$3:$C$74=$A20)*(('Jogos - Grupos'!$D$3:$D$74=$B20)+('Jogos - Grupos'!$E$3:$E$74=$B20))*ISNUMBER('Jogos - Grupos'!$F$3:$F$74)*ISNUMBER('Jogos - Grupos'!$G$3:$G$74)*('Jogos - Grupos'!$F$3:$F$74='Jogos - Grupos'!$G$3:$G$74))</f>
        <v>0</v>
      </c>
      <c r="E20" s="118">
        <f>SUMPRODUCT(('Jogos - Grupos'!$C$3:$C$74=$A20)*('Jogos - Grupos'!$D$3:$D$74=$B20)*ISNUMBER('Jogos - Grupos'!$F$3:$F$74)*'Jogos - Grupos'!$F$3:$F$74)+SUMPRODUCT(('Jogos - Grupos'!$C$3:$C$74=$A20)*('Jogos - Grupos'!$E$3:$E$74=$B20)*ISNUMBER('Jogos - Grupos'!$G$3:$G$74)*'Jogos - Grupos'!$G$3:$G$74)</f>
        <v>0</v>
      </c>
      <c r="F20" s="118">
        <f>SUMPRODUCT(('Jogos - Grupos'!$C$3:$C$74=$A20)*('Jogos - Grupos'!$D$3:$D$74=$B20)*ISNUMBER('Jogos - Grupos'!$G$3:$G$74)*'Jogos - Grupos'!$G$3:$G$74)+SUMPRODUCT(('Jogos - Grupos'!$C$3:$C$74=$A20)*('Jogos - Grupos'!$E$3:$E$74=$B20)*ISNUMBER('Jogos - Grupos'!$F$3:$F$74)*'Jogos - Grupos'!$F$3:$F$74)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v>83</v>
      </c>
    </row>
    <row r="21" spans="1:11">
      <c r="A21" s="117" t="s">
        <v>98</v>
      </c>
      <c r="B21" s="30" t="s">
        <v>102</v>
      </c>
      <c r="C21" s="118">
        <f>SUMPRODUCT(('Jogos - Grupos'!$C$3:$C$74=$A21)*('Jogos - Grupos'!$D$3:$D$74=$B21)*ISNUMBER('Jogos - Grupos'!$F$3:$F$74)*ISNUMBER('Jogos - Grupos'!$G$3:$G$74)*('Jogos - Grupos'!$F$3:$F$74&gt;'Jogos - Grupos'!$G$3:$G$74))+SUMPRODUCT(('Jogos - Grupos'!$C$3:$C$74=$A21)*('Jogos - Grupos'!$E$3:$E$74=$B21)*ISNUMBER('Jogos - Grupos'!$F$3:$F$74)*ISNUMBER('Jogos - Grupos'!$G$3:$G$74)*('Jogos - Grupos'!$G$3:$G$74&gt;'Jogos - Grupos'!$F$3:$F$74))</f>
        <v>0</v>
      </c>
      <c r="D21" s="118">
        <f>SUMPRODUCT(('Jogos - Grupos'!$C$3:$C$74=$A21)*(('Jogos - Grupos'!$D$3:$D$74=$B21)+('Jogos - Grupos'!$E$3:$E$74=$B21))*ISNUMBER('Jogos - Grupos'!$F$3:$F$74)*ISNUMBER('Jogos - Grupos'!$G$3:$G$74)*('Jogos - Grupos'!$F$3:$F$74='Jogos - Grupos'!$G$3:$G$74))</f>
        <v>0</v>
      </c>
      <c r="E21" s="118">
        <f>SUMPRODUCT(('Jogos - Grupos'!$C$3:$C$74=$A21)*('Jogos - Grupos'!$D$3:$D$74=$B21)*ISNUMBER('Jogos - Grupos'!$F$3:$F$74)*'Jogos - Grupos'!$F$3:$F$74)+SUMPRODUCT(('Jogos - Grupos'!$C$3:$C$74=$A21)*('Jogos - Grupos'!$E$3:$E$74=$B21)*ISNUMBER('Jogos - Grupos'!$G$3:$G$74)*'Jogos - Grupos'!$G$3:$G$74)</f>
        <v>0</v>
      </c>
      <c r="F21" s="118">
        <f>SUMPRODUCT(('Jogos - Grupos'!$C$3:$C$74=$A21)*('Jogos - Grupos'!$D$3:$D$74=$B21)*ISNUMBER('Jogos - Grupos'!$G$3:$G$74)*'Jogos - Grupos'!$G$3:$G$74)+SUMPRODUCT(('Jogos - Grupos'!$C$3:$C$74=$A21)*('Jogos - Grupos'!$E$3:$E$74=$B21)*ISNUMBER('Jogos - Grupos'!$F$3:$F$74)*'Jogos - Grupos'!$F$3:$F$74)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v>41</v>
      </c>
    </row>
    <row r="22" spans="1:11">
      <c r="A22" s="117" t="s">
        <v>98</v>
      </c>
      <c r="B22" s="30" t="s">
        <v>103</v>
      </c>
      <c r="C22" s="118">
        <f>SUMPRODUCT(('Jogos - Grupos'!$C$3:$C$74=$A22)*('Jogos - Grupos'!$D$3:$D$74=$B22)*ISNUMBER('Jogos - Grupos'!$F$3:$F$74)*ISNUMBER('Jogos - Grupos'!$G$3:$G$74)*('Jogos - Grupos'!$F$3:$F$74&gt;'Jogos - Grupos'!$G$3:$G$74))+SUMPRODUCT(('Jogos - Grupos'!$C$3:$C$74=$A22)*('Jogos - Grupos'!$E$3:$E$74=$B22)*ISNUMBER('Jogos - Grupos'!$F$3:$F$74)*ISNUMBER('Jogos - Grupos'!$G$3:$G$74)*('Jogos - Grupos'!$G$3:$G$74&gt;'Jogos - Grupos'!$F$3:$F$74))</f>
        <v>0</v>
      </c>
      <c r="D22" s="118">
        <f>SUMPRODUCT(('Jogos - Grupos'!$C$3:$C$74=$A22)*(('Jogos - Grupos'!$D$3:$D$74=$B22)+('Jogos - Grupos'!$E$3:$E$74=$B22))*ISNUMBER('Jogos - Grupos'!$F$3:$F$74)*ISNUMBER('Jogos - Grupos'!$G$3:$G$74)*('Jogos - Grupos'!$F$3:$F$74='Jogos - Grupos'!$G$3:$G$74))</f>
        <v>0</v>
      </c>
      <c r="E22" s="118">
        <f>SUMPRODUCT(('Jogos - Grupos'!$C$3:$C$74=$A22)*('Jogos - Grupos'!$D$3:$D$74=$B22)*ISNUMBER('Jogos - Grupos'!$F$3:$F$74)*'Jogos - Grupos'!$F$3:$F$74)+SUMPRODUCT(('Jogos - Grupos'!$C$3:$C$74=$A22)*('Jogos - Grupos'!$E$3:$E$74=$B22)*ISNUMBER('Jogos - Grupos'!$G$3:$G$74)*'Jogos - Grupos'!$G$3:$G$74)</f>
        <v>0</v>
      </c>
      <c r="F22" s="118">
        <f>SUMPRODUCT(('Jogos - Grupos'!$C$3:$C$74=$A22)*('Jogos - Grupos'!$D$3:$D$74=$B22)*ISNUMBER('Jogos - Grupos'!$G$3:$G$74)*'Jogos - Grupos'!$G$3:$G$74)+SUMPRODUCT(('Jogos - Grupos'!$C$3:$C$74=$A22)*('Jogos - Grupos'!$E$3:$E$74=$B22)*ISNUMBER('Jogos - Grupos'!$F$3:$F$74)*'Jogos - Grupos'!$F$3:$F$74)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v>39</v>
      </c>
    </row>
    <row r="23" spans="1:11">
      <c r="A23" s="119" t="s">
        <v>109</v>
      </c>
      <c r="B23" s="35" t="s">
        <v>110</v>
      </c>
      <c r="C23" s="120">
        <f>SUMPRODUCT(('Jogos - Grupos'!$C$3:$C$74=$A23)*('Jogos - Grupos'!$D$3:$D$74=$B23)*ISNUMBER('Jogos - Grupos'!$F$3:$F$74)*ISNUMBER('Jogos - Grupos'!$G$3:$G$74)*('Jogos - Grupos'!$F$3:$F$74&gt;'Jogos - Grupos'!$G$3:$G$74))+SUMPRODUCT(('Jogos - Grupos'!$C$3:$C$74=$A23)*('Jogos - Grupos'!$E$3:$E$74=$B23)*ISNUMBER('Jogos - Grupos'!$F$3:$F$74)*ISNUMBER('Jogos - Grupos'!$G$3:$G$74)*('Jogos - Grupos'!$G$3:$G$74&gt;'Jogos - Grupos'!$F$3:$F$74))</f>
        <v>0</v>
      </c>
      <c r="D23" s="120">
        <f>SUMPRODUCT(('Jogos - Grupos'!$C$3:$C$74=$A23)*(('Jogos - Grupos'!$D$3:$D$74=$B23)+('Jogos - Grupos'!$E$3:$E$74=$B23))*ISNUMBER('Jogos - Grupos'!$F$3:$F$74)*ISNUMBER('Jogos - Grupos'!$G$3:$G$74)*('Jogos - Grupos'!$F$3:$F$74='Jogos - Grupos'!$G$3:$G$74))</f>
        <v>0</v>
      </c>
      <c r="E23" s="120">
        <f>SUMPRODUCT(('Jogos - Grupos'!$C$3:$C$74=$A23)*('Jogos - Grupos'!$D$3:$D$74=$B23)*ISNUMBER('Jogos - Grupos'!$F$3:$F$74)*'Jogos - Grupos'!$F$3:$F$74)+SUMPRODUCT(('Jogos - Grupos'!$C$3:$C$74=$A23)*('Jogos - Grupos'!$E$3:$E$74=$B23)*ISNUMBER('Jogos - Grupos'!$G$3:$G$74)*'Jogos - Grupos'!$G$3:$G$74)</f>
        <v>0</v>
      </c>
      <c r="F23" s="120">
        <f>SUMPRODUCT(('Jogos - Grupos'!$C$3:$C$74=$A23)*('Jogos - Grupos'!$D$3:$D$74=$B23)*ISNUMBER('Jogos - Grupos'!$G$3:$G$74)*'Jogos - Grupos'!$G$3:$G$74)+SUMPRODUCT(('Jogos - Grupos'!$C$3:$C$74=$A23)*('Jogos - Grupos'!$E$3:$E$74=$B23)*ISNUMBER('Jogos - Grupos'!$F$3:$F$74)*'Jogos - Grupos'!$F$3:$F$74)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v>8</v>
      </c>
    </row>
    <row r="24" spans="1:11">
      <c r="A24" s="119" t="s">
        <v>109</v>
      </c>
      <c r="B24" s="35" t="s">
        <v>111</v>
      </c>
      <c r="C24" s="120">
        <f>SUMPRODUCT(('Jogos - Grupos'!$C$3:$C$74=$A24)*('Jogos - Grupos'!$D$3:$D$74=$B24)*ISNUMBER('Jogos - Grupos'!$F$3:$F$74)*ISNUMBER('Jogos - Grupos'!$G$3:$G$74)*('Jogos - Grupos'!$F$3:$F$74&gt;'Jogos - Grupos'!$G$3:$G$74))+SUMPRODUCT(('Jogos - Grupos'!$C$3:$C$74=$A24)*('Jogos - Grupos'!$E$3:$E$74=$B24)*ISNUMBER('Jogos - Grupos'!$F$3:$F$74)*ISNUMBER('Jogos - Grupos'!$G$3:$G$74)*('Jogos - Grupos'!$G$3:$G$74&gt;'Jogos - Grupos'!$F$3:$F$74))</f>
        <v>0</v>
      </c>
      <c r="D24" s="120">
        <f>SUMPRODUCT(('Jogos - Grupos'!$C$3:$C$74=$A24)*(('Jogos - Grupos'!$D$3:$D$74=$B24)+('Jogos - Grupos'!$E$3:$E$74=$B24))*ISNUMBER('Jogos - Grupos'!$F$3:$F$74)*ISNUMBER('Jogos - Grupos'!$G$3:$G$74)*('Jogos - Grupos'!$F$3:$F$74='Jogos - Grupos'!$G$3:$G$74))</f>
        <v>0</v>
      </c>
      <c r="E24" s="120">
        <f>SUMPRODUCT(('Jogos - Grupos'!$C$3:$C$74=$A24)*('Jogos - Grupos'!$D$3:$D$74=$B24)*ISNUMBER('Jogos - Grupos'!$F$3:$F$74)*'Jogos - Grupos'!$F$3:$F$74)+SUMPRODUCT(('Jogos - Grupos'!$C$3:$C$74=$A24)*('Jogos - Grupos'!$E$3:$E$74=$B24)*ISNUMBER('Jogos - Grupos'!$G$3:$G$74)*'Jogos - Grupos'!$G$3:$G$74)</f>
        <v>0</v>
      </c>
      <c r="F24" s="120">
        <f>SUMPRODUCT(('Jogos - Grupos'!$C$3:$C$74=$A24)*('Jogos - Grupos'!$D$3:$D$74=$B24)*ISNUMBER('Jogos - Grupos'!$G$3:$G$74)*'Jogos - Grupos'!$G$3:$G$74)+SUMPRODUCT(('Jogos - Grupos'!$C$3:$C$74=$A24)*('Jogos - Grupos'!$E$3:$E$74=$B24)*ISNUMBER('Jogos - Grupos'!$F$3:$F$74)*'Jogos - Grupos'!$F$3:$F$74)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v>15</v>
      </c>
    </row>
    <row r="25" spans="1:11">
      <c r="A25" s="119" t="s">
        <v>109</v>
      </c>
      <c r="B25" s="35" t="s">
        <v>113</v>
      </c>
      <c r="C25" s="120">
        <f>SUMPRODUCT(('Jogos - Grupos'!$C$3:$C$74=$A25)*('Jogos - Grupos'!$D$3:$D$74=$B25)*ISNUMBER('Jogos - Grupos'!$F$3:$F$74)*ISNUMBER('Jogos - Grupos'!$G$3:$G$74)*('Jogos - Grupos'!$F$3:$F$74&gt;'Jogos - Grupos'!$G$3:$G$74))+SUMPRODUCT(('Jogos - Grupos'!$C$3:$C$74=$A25)*('Jogos - Grupos'!$E$3:$E$74=$B25)*ISNUMBER('Jogos - Grupos'!$F$3:$F$74)*ISNUMBER('Jogos - Grupos'!$G$3:$G$74)*('Jogos - Grupos'!$G$3:$G$74&gt;'Jogos - Grupos'!$F$3:$F$74))</f>
        <v>0</v>
      </c>
      <c r="D25" s="120">
        <f>SUMPRODUCT(('Jogos - Grupos'!$C$3:$C$74=$A25)*(('Jogos - Grupos'!$D$3:$D$74=$B25)+('Jogos - Grupos'!$E$3:$E$74=$B25))*ISNUMBER('Jogos - Grupos'!$F$3:$F$74)*ISNUMBER('Jogos - Grupos'!$G$3:$G$74)*('Jogos - Grupos'!$F$3:$F$74='Jogos - Grupos'!$G$3:$G$74))</f>
        <v>0</v>
      </c>
      <c r="E25" s="120">
        <f>SUMPRODUCT(('Jogos - Grupos'!$C$3:$C$74=$A25)*('Jogos - Grupos'!$D$3:$D$74=$B25)*ISNUMBER('Jogos - Grupos'!$F$3:$F$74)*'Jogos - Grupos'!$F$3:$F$74)+SUMPRODUCT(('Jogos - Grupos'!$C$3:$C$74=$A25)*('Jogos - Grupos'!$E$3:$E$74=$B25)*ISNUMBER('Jogos - Grupos'!$G$3:$G$74)*'Jogos - Grupos'!$G$3:$G$74)</f>
        <v>0</v>
      </c>
      <c r="F25" s="120">
        <f>SUMPRODUCT(('Jogos - Grupos'!$C$3:$C$74=$A25)*('Jogos - Grupos'!$D$3:$D$74=$B25)*ISNUMBER('Jogos - Grupos'!$G$3:$G$74)*'Jogos - Grupos'!$G$3:$G$74)+SUMPRODUCT(('Jogos - Grupos'!$C$3:$C$74=$A25)*('Jogos - Grupos'!$E$3:$E$74=$B25)*ISNUMBER('Jogos - Grupos'!$F$3:$F$74)*'Jogos - Grupos'!$F$3:$F$74)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v>26</v>
      </c>
    </row>
    <row r="26" spans="1:11">
      <c r="A26" s="119" t="s">
        <v>109</v>
      </c>
      <c r="B26" s="35" t="s">
        <v>114</v>
      </c>
      <c r="C26" s="120">
        <f>SUMPRODUCT(('Jogos - Grupos'!$C$3:$C$74=$A26)*('Jogos - Grupos'!$D$3:$D$74=$B26)*ISNUMBER('Jogos - Grupos'!$F$3:$F$74)*ISNUMBER('Jogos - Grupos'!$G$3:$G$74)*('Jogos - Grupos'!$F$3:$F$74&gt;'Jogos - Grupos'!$G$3:$G$74))+SUMPRODUCT(('Jogos - Grupos'!$C$3:$C$74=$A26)*('Jogos - Grupos'!$E$3:$E$74=$B26)*ISNUMBER('Jogos - Grupos'!$F$3:$F$74)*ISNUMBER('Jogos - Grupos'!$G$3:$G$74)*('Jogos - Grupos'!$G$3:$G$74&gt;'Jogos - Grupos'!$F$3:$F$74))</f>
        <v>0</v>
      </c>
      <c r="D26" s="120">
        <f>SUMPRODUCT(('Jogos - Grupos'!$C$3:$C$74=$A26)*(('Jogos - Grupos'!$D$3:$D$74=$B26)+('Jogos - Grupos'!$E$3:$E$74=$B26))*ISNUMBER('Jogos - Grupos'!$F$3:$F$74)*ISNUMBER('Jogos - Grupos'!$G$3:$G$74)*('Jogos - Grupos'!$F$3:$F$74='Jogos - Grupos'!$G$3:$G$74))</f>
        <v>0</v>
      </c>
      <c r="E26" s="120">
        <f>SUMPRODUCT(('Jogos - Grupos'!$C$3:$C$74=$A26)*('Jogos - Grupos'!$D$3:$D$74=$B26)*ISNUMBER('Jogos - Grupos'!$F$3:$F$74)*'Jogos - Grupos'!$F$3:$F$74)+SUMPRODUCT(('Jogos - Grupos'!$C$3:$C$74=$A26)*('Jogos - Grupos'!$E$3:$E$74=$B26)*ISNUMBER('Jogos - Grupos'!$G$3:$G$74)*'Jogos - Grupos'!$G$3:$G$74)</f>
        <v>0</v>
      </c>
      <c r="F26" s="120">
        <f>SUMPRODUCT(('Jogos - Grupos'!$C$3:$C$74=$A26)*('Jogos - Grupos'!$D$3:$D$74=$B26)*ISNUMBER('Jogos - Grupos'!$G$3:$G$74)*'Jogos - Grupos'!$G$3:$G$74)+SUMPRODUCT(('Jogos - Grupos'!$C$3:$C$74=$A26)*('Jogos - Grupos'!$E$3:$E$74=$B26)*ISNUMBER('Jogos - Grupos'!$F$3:$F$74)*'Jogos - Grupos'!$F$3:$F$74)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v>30</v>
      </c>
    </row>
    <row r="27" spans="1:11">
      <c r="A27" s="121" t="s">
        <v>120</v>
      </c>
      <c r="B27" s="40" t="s">
        <v>121</v>
      </c>
      <c r="C27" s="122">
        <f>SUMPRODUCT(('Jogos - Grupos'!$C$3:$C$74=$A27)*('Jogos - Grupos'!$D$3:$D$74=$B27)*ISNUMBER('Jogos - Grupos'!$F$3:$F$74)*ISNUMBER('Jogos - Grupos'!$G$3:$G$74)*('Jogos - Grupos'!$F$3:$F$74&gt;'Jogos - Grupos'!$G$3:$G$74))+SUMPRODUCT(('Jogos - Grupos'!$C$3:$C$74=$A27)*('Jogos - Grupos'!$E$3:$E$74=$B27)*ISNUMBER('Jogos - Grupos'!$F$3:$F$74)*ISNUMBER('Jogos - Grupos'!$G$3:$G$74)*('Jogos - Grupos'!$G$3:$G$74&gt;'Jogos - Grupos'!$F$3:$F$74))</f>
        <v>0</v>
      </c>
      <c r="D27" s="122">
        <f>SUMPRODUCT(('Jogos - Grupos'!$C$3:$C$74=$A27)*(('Jogos - Grupos'!$D$3:$D$74=$B27)+('Jogos - Grupos'!$E$3:$E$74=$B27))*ISNUMBER('Jogos - Grupos'!$F$3:$F$74)*ISNUMBER('Jogos - Grupos'!$G$3:$G$74)*('Jogos - Grupos'!$F$3:$F$74='Jogos - Grupos'!$G$3:$G$74))</f>
        <v>0</v>
      </c>
      <c r="E27" s="122">
        <f>SUMPRODUCT(('Jogos - Grupos'!$C$3:$C$74=$A27)*('Jogos - Grupos'!$D$3:$D$74=$B27)*ISNUMBER('Jogos - Grupos'!$F$3:$F$74)*'Jogos - Grupos'!$F$3:$F$74)+SUMPRODUCT(('Jogos - Grupos'!$C$3:$C$74=$A27)*('Jogos - Grupos'!$E$3:$E$74=$B27)*ISNUMBER('Jogos - Grupos'!$G$3:$G$74)*'Jogos - Grupos'!$G$3:$G$74)</f>
        <v>0</v>
      </c>
      <c r="F27" s="122">
        <f>SUMPRODUCT(('Jogos - Grupos'!$C$3:$C$74=$A27)*('Jogos - Grupos'!$D$3:$D$74=$B27)*ISNUMBER('Jogos - Grupos'!$G$3:$G$74)*'Jogos - Grupos'!$G$3:$G$74)+SUMPRODUCT(('Jogos - Grupos'!$C$3:$C$74=$A27)*('Jogos - Grupos'!$E$3:$E$74=$B27)*ISNUMBER('Jogos - Grupos'!$F$3:$F$74)*'Jogos - Grupos'!$F$3:$F$74)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v>3</v>
      </c>
    </row>
    <row r="28" spans="1:11">
      <c r="A28" s="121" t="s">
        <v>120</v>
      </c>
      <c r="B28" s="40" t="s">
        <v>122</v>
      </c>
      <c r="C28" s="122">
        <f>SUMPRODUCT(('Jogos - Grupos'!$C$3:$C$74=$A28)*('Jogos - Grupos'!$D$3:$D$74=$B28)*ISNUMBER('Jogos - Grupos'!$F$3:$F$74)*ISNUMBER('Jogos - Grupos'!$G$3:$G$74)*('Jogos - Grupos'!$F$3:$F$74&gt;'Jogos - Grupos'!$G$3:$G$74))+SUMPRODUCT(('Jogos - Grupos'!$C$3:$C$74=$A28)*('Jogos - Grupos'!$E$3:$E$74=$B28)*ISNUMBER('Jogos - Grupos'!$F$3:$F$74)*ISNUMBER('Jogos - Grupos'!$G$3:$G$74)*('Jogos - Grupos'!$G$3:$G$74&gt;'Jogos - Grupos'!$F$3:$F$74))</f>
        <v>0</v>
      </c>
      <c r="D28" s="122">
        <f>SUMPRODUCT(('Jogos - Grupos'!$C$3:$C$74=$A28)*(('Jogos - Grupos'!$D$3:$D$74=$B28)+('Jogos - Grupos'!$E$3:$E$74=$B28))*ISNUMBER('Jogos - Grupos'!$F$3:$F$74)*ISNUMBER('Jogos - Grupos'!$G$3:$G$74)*('Jogos - Grupos'!$F$3:$F$74='Jogos - Grupos'!$G$3:$G$74))</f>
        <v>0</v>
      </c>
      <c r="E28" s="122">
        <f>SUMPRODUCT(('Jogos - Grupos'!$C$3:$C$74=$A28)*('Jogos - Grupos'!$D$3:$D$74=$B28)*ISNUMBER('Jogos - Grupos'!$F$3:$F$74)*'Jogos - Grupos'!$F$3:$F$74)+SUMPRODUCT(('Jogos - Grupos'!$C$3:$C$74=$A28)*('Jogos - Grupos'!$E$3:$E$74=$B28)*ISNUMBER('Jogos - Grupos'!$G$3:$G$74)*'Jogos - Grupos'!$G$3:$G$74)</f>
        <v>0</v>
      </c>
      <c r="F28" s="122">
        <f>SUMPRODUCT(('Jogos - Grupos'!$C$3:$C$74=$A28)*('Jogos - Grupos'!$D$3:$D$74=$B28)*ISNUMBER('Jogos - Grupos'!$G$3:$G$74)*'Jogos - Grupos'!$G$3:$G$74)+SUMPRODUCT(('Jogos - Grupos'!$C$3:$C$74=$A28)*('Jogos - Grupos'!$E$3:$E$74=$B28)*ISNUMBER('Jogos - Grupos'!$F$3:$F$74)*'Jogos - Grupos'!$F$3:$F$74)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v>36</v>
      </c>
    </row>
    <row r="29" spans="1:11">
      <c r="A29" s="121" t="s">
        <v>120</v>
      </c>
      <c r="B29" s="40" t="s">
        <v>124</v>
      </c>
      <c r="C29" s="122">
        <f>SUMPRODUCT(('Jogos - Grupos'!$C$3:$C$74=$A29)*('Jogos - Grupos'!$D$3:$D$74=$B29)*ISNUMBER('Jogos - Grupos'!$F$3:$F$74)*ISNUMBER('Jogos - Grupos'!$G$3:$G$74)*('Jogos - Grupos'!$F$3:$F$74&gt;'Jogos - Grupos'!$G$3:$G$74))+SUMPRODUCT(('Jogos - Grupos'!$C$3:$C$74=$A29)*('Jogos - Grupos'!$E$3:$E$74=$B29)*ISNUMBER('Jogos - Grupos'!$F$3:$F$74)*ISNUMBER('Jogos - Grupos'!$G$3:$G$74)*('Jogos - Grupos'!$G$3:$G$74&gt;'Jogos - Grupos'!$F$3:$F$74))</f>
        <v>0</v>
      </c>
      <c r="D29" s="122">
        <f>SUMPRODUCT(('Jogos - Grupos'!$C$3:$C$74=$A29)*(('Jogos - Grupos'!$D$3:$D$74=$B29)+('Jogos - Grupos'!$E$3:$E$74=$B29))*ISNUMBER('Jogos - Grupos'!$F$3:$F$74)*ISNUMBER('Jogos - Grupos'!$G$3:$G$74)*('Jogos - Grupos'!$F$3:$F$74='Jogos - Grupos'!$G$3:$G$74))</f>
        <v>0</v>
      </c>
      <c r="E29" s="122">
        <f>SUMPRODUCT(('Jogos - Grupos'!$C$3:$C$74=$A29)*('Jogos - Grupos'!$D$3:$D$74=$B29)*ISNUMBER('Jogos - Grupos'!$F$3:$F$74)*'Jogos - Grupos'!$F$3:$F$74)+SUMPRODUCT(('Jogos - Grupos'!$C$3:$C$74=$A29)*('Jogos - Grupos'!$E$3:$E$74=$B29)*ISNUMBER('Jogos - Grupos'!$G$3:$G$74)*'Jogos - Grupos'!$G$3:$G$74)</f>
        <v>0</v>
      </c>
      <c r="F29" s="122">
        <f>SUMPRODUCT(('Jogos - Grupos'!$C$3:$C$74=$A29)*('Jogos - Grupos'!$D$3:$D$74=$B29)*ISNUMBER('Jogos - Grupos'!$G$3:$G$74)*'Jogos - Grupos'!$G$3:$G$74)+SUMPRODUCT(('Jogos - Grupos'!$C$3:$C$74=$A29)*('Jogos - Grupos'!$E$3:$E$74=$B29)*ISNUMBER('Jogos - Grupos'!$F$3:$F$74)*'Jogos - Grupos'!$F$3:$F$74)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v>25</v>
      </c>
    </row>
    <row r="30" spans="1:11">
      <c r="A30" s="121" t="s">
        <v>120</v>
      </c>
      <c r="B30" s="40" t="s">
        <v>125</v>
      </c>
      <c r="C30" s="122">
        <f>SUMPRODUCT(('Jogos - Grupos'!$C$3:$C$74=$A30)*('Jogos - Grupos'!$D$3:$D$74=$B30)*ISNUMBER('Jogos - Grupos'!$F$3:$F$74)*ISNUMBER('Jogos - Grupos'!$G$3:$G$74)*('Jogos - Grupos'!$F$3:$F$74&gt;'Jogos - Grupos'!$G$3:$G$74))+SUMPRODUCT(('Jogos - Grupos'!$C$3:$C$74=$A30)*('Jogos - Grupos'!$E$3:$E$74=$B30)*ISNUMBER('Jogos - Grupos'!$F$3:$F$74)*ISNUMBER('Jogos - Grupos'!$G$3:$G$74)*('Jogos - Grupos'!$G$3:$G$74&gt;'Jogos - Grupos'!$F$3:$F$74))</f>
        <v>0</v>
      </c>
      <c r="D30" s="122">
        <f>SUMPRODUCT(('Jogos - Grupos'!$C$3:$C$74=$A30)*(('Jogos - Grupos'!$D$3:$D$74=$B30)+('Jogos - Grupos'!$E$3:$E$74=$B30))*ISNUMBER('Jogos - Grupos'!$F$3:$F$74)*ISNUMBER('Jogos - Grupos'!$G$3:$G$74)*('Jogos - Grupos'!$F$3:$F$74='Jogos - Grupos'!$G$3:$G$74))</f>
        <v>0</v>
      </c>
      <c r="E30" s="122">
        <f>SUMPRODUCT(('Jogos - Grupos'!$C$3:$C$74=$A30)*('Jogos - Grupos'!$D$3:$D$74=$B30)*ISNUMBER('Jogos - Grupos'!$F$3:$F$74)*'Jogos - Grupos'!$F$3:$F$74)+SUMPRODUCT(('Jogos - Grupos'!$C$3:$C$74=$A30)*('Jogos - Grupos'!$E$3:$E$74=$B30)*ISNUMBER('Jogos - Grupos'!$G$3:$G$74)*'Jogos - Grupos'!$G$3:$G$74)</f>
        <v>0</v>
      </c>
      <c r="F30" s="122">
        <f>SUMPRODUCT(('Jogos - Grupos'!$C$3:$C$74=$A30)*('Jogos - Grupos'!$D$3:$D$74=$B30)*ISNUMBER('Jogos - Grupos'!$G$3:$G$74)*'Jogos - Grupos'!$G$3:$G$74)+SUMPRODUCT(('Jogos - Grupos'!$C$3:$C$74=$A30)*('Jogos - Grupos'!$E$3:$E$74=$B30)*ISNUMBER('Jogos - Grupos'!$F$3:$F$74)*'Jogos - Grupos'!$F$3:$F$74)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v>98</v>
      </c>
    </row>
    <row r="31" spans="1:11">
      <c r="A31" s="123" t="s">
        <v>131</v>
      </c>
      <c r="B31" s="45" t="s">
        <v>132</v>
      </c>
      <c r="C31" s="124">
        <f>SUMPRODUCT(('Jogos - Grupos'!$C$3:$C$74=$A31)*('Jogos - Grupos'!$D$3:$D$74=$B31)*ISNUMBER('Jogos - Grupos'!$F$3:$F$74)*ISNUMBER('Jogos - Grupos'!$G$3:$G$74)*('Jogos - Grupos'!$F$3:$F$74&gt;'Jogos - Grupos'!$G$3:$G$74))+SUMPRODUCT(('Jogos - Grupos'!$C$3:$C$74=$A31)*('Jogos - Grupos'!$E$3:$E$74=$B31)*ISNUMBER('Jogos - Grupos'!$F$3:$F$74)*ISNUMBER('Jogos - Grupos'!$G$3:$G$74)*('Jogos - Grupos'!$G$3:$G$74&gt;'Jogos - Grupos'!$F$3:$F$74))</f>
        <v>0</v>
      </c>
      <c r="D31" s="124">
        <f>SUMPRODUCT(('Jogos - Grupos'!$C$3:$C$74=$A31)*(('Jogos - Grupos'!$D$3:$D$74=$B31)+('Jogos - Grupos'!$E$3:$E$74=$B31))*ISNUMBER('Jogos - Grupos'!$F$3:$F$74)*ISNUMBER('Jogos - Grupos'!$G$3:$G$74)*('Jogos - Grupos'!$F$3:$F$74='Jogos - Grupos'!$G$3:$G$74))</f>
        <v>0</v>
      </c>
      <c r="E31" s="124">
        <f>SUMPRODUCT(('Jogos - Grupos'!$C$3:$C$74=$A31)*('Jogos - Grupos'!$D$3:$D$74=$B31)*ISNUMBER('Jogos - Grupos'!$F$3:$F$74)*'Jogos - Grupos'!$F$3:$F$74)+SUMPRODUCT(('Jogos - Grupos'!$C$3:$C$74=$A31)*('Jogos - Grupos'!$E$3:$E$74=$B31)*ISNUMBER('Jogos - Grupos'!$G$3:$G$74)*'Jogos - Grupos'!$G$3:$G$74)</f>
        <v>0</v>
      </c>
      <c r="F31" s="124">
        <f>SUMPRODUCT(('Jogos - Grupos'!$C$3:$C$74=$A31)*('Jogos - Grupos'!$D$3:$D$74=$B31)*ISNUMBER('Jogos - Grupos'!$G$3:$G$74)*'Jogos - Grupos'!$G$3:$G$74)+SUMPRODUCT(('Jogos - Grupos'!$C$3:$C$74=$A31)*('Jogos - Grupos'!$E$3:$E$74=$B31)*ISNUMBER('Jogos - Grupos'!$F$3:$F$74)*'Jogos - Grupos'!$F$3:$F$74)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v>4</v>
      </c>
    </row>
    <row r="32" spans="1:11">
      <c r="A32" s="123" t="s">
        <v>131</v>
      </c>
      <c r="B32" s="45" t="s">
        <v>133</v>
      </c>
      <c r="C32" s="124">
        <f>SUMPRODUCT(('Jogos - Grupos'!$C$3:$C$74=$A32)*('Jogos - Grupos'!$D$3:$D$74=$B32)*ISNUMBER('Jogos - Grupos'!$F$3:$F$74)*ISNUMBER('Jogos - Grupos'!$G$3:$G$74)*('Jogos - Grupos'!$F$3:$F$74&gt;'Jogos - Grupos'!$G$3:$G$74))+SUMPRODUCT(('Jogos - Grupos'!$C$3:$C$74=$A32)*('Jogos - Grupos'!$E$3:$E$74=$B32)*ISNUMBER('Jogos - Grupos'!$F$3:$F$74)*ISNUMBER('Jogos - Grupos'!$G$3:$G$74)*('Jogos - Grupos'!$G$3:$G$74&gt;'Jogos - Grupos'!$F$3:$F$74))</f>
        <v>0</v>
      </c>
      <c r="D32" s="124">
        <f>SUMPRODUCT(('Jogos - Grupos'!$C$3:$C$74=$A32)*(('Jogos - Grupos'!$D$3:$D$74=$B32)+('Jogos - Grupos'!$E$3:$E$74=$B32))*ISNUMBER('Jogos - Grupos'!$F$3:$F$74)*ISNUMBER('Jogos - Grupos'!$G$3:$G$74)*('Jogos - Grupos'!$F$3:$F$74='Jogos - Grupos'!$G$3:$G$74))</f>
        <v>0</v>
      </c>
      <c r="E32" s="124">
        <f>SUMPRODUCT(('Jogos - Grupos'!$C$3:$C$74=$A32)*('Jogos - Grupos'!$D$3:$D$74=$B32)*ISNUMBER('Jogos - Grupos'!$F$3:$F$74)*'Jogos - Grupos'!$F$3:$F$74)+SUMPRODUCT(('Jogos - Grupos'!$C$3:$C$74=$A32)*('Jogos - Grupos'!$E$3:$E$74=$B32)*ISNUMBER('Jogos - Grupos'!$G$3:$G$74)*'Jogos - Grupos'!$G$3:$G$74)</f>
        <v>0</v>
      </c>
      <c r="F32" s="124">
        <f>SUMPRODUCT(('Jogos - Grupos'!$C$3:$C$74=$A32)*('Jogos - Grupos'!$D$3:$D$74=$B32)*ISNUMBER('Jogos - Grupos'!$G$3:$G$74)*'Jogos - Grupos'!$G$3:$G$74)+SUMPRODUCT(('Jogos - Grupos'!$C$3:$C$74=$A32)*('Jogos - Grupos'!$E$3:$E$74=$B32)*ISNUMBER('Jogos - Grupos'!$F$3:$F$74)*'Jogos - Grupos'!$F$3:$F$74)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v>88</v>
      </c>
    </row>
    <row r="33" spans="1:11">
      <c r="A33" s="123" t="s">
        <v>131</v>
      </c>
      <c r="B33" s="45" t="s">
        <v>135</v>
      </c>
      <c r="C33" s="124">
        <f>SUMPRODUCT(('Jogos - Grupos'!$C$3:$C$74=$A33)*('Jogos - Grupos'!$D$3:$D$74=$B33)*ISNUMBER('Jogos - Grupos'!$F$3:$F$74)*ISNUMBER('Jogos - Grupos'!$G$3:$G$74)*('Jogos - Grupos'!$F$3:$F$74&gt;'Jogos - Grupos'!$G$3:$G$74))+SUMPRODUCT(('Jogos - Grupos'!$C$3:$C$74=$A33)*('Jogos - Grupos'!$E$3:$E$74=$B33)*ISNUMBER('Jogos - Grupos'!$F$3:$F$74)*ISNUMBER('Jogos - Grupos'!$G$3:$G$74)*('Jogos - Grupos'!$G$3:$G$74&gt;'Jogos - Grupos'!$F$3:$F$74))</f>
        <v>0</v>
      </c>
      <c r="D33" s="124">
        <f>SUMPRODUCT(('Jogos - Grupos'!$C$3:$C$74=$A33)*(('Jogos - Grupos'!$D$3:$D$74=$B33)+('Jogos - Grupos'!$E$3:$E$74=$B33))*ISNUMBER('Jogos - Grupos'!$F$3:$F$74)*ISNUMBER('Jogos - Grupos'!$G$3:$G$74)*('Jogos - Grupos'!$F$3:$F$74='Jogos - Grupos'!$G$3:$G$74))</f>
        <v>0</v>
      </c>
      <c r="E33" s="124">
        <f>SUMPRODUCT(('Jogos - Grupos'!$C$3:$C$74=$A33)*('Jogos - Grupos'!$D$3:$D$74=$B33)*ISNUMBER('Jogos - Grupos'!$F$3:$F$74)*'Jogos - Grupos'!$F$3:$F$74)+SUMPRODUCT(('Jogos - Grupos'!$C$3:$C$74=$A33)*('Jogos - Grupos'!$E$3:$E$74=$B33)*ISNUMBER('Jogos - Grupos'!$G$3:$G$74)*'Jogos - Grupos'!$G$3:$G$74)</f>
        <v>0</v>
      </c>
      <c r="F33" s="124">
        <f>SUMPRODUCT(('Jogos - Grupos'!$C$3:$C$74=$A33)*('Jogos - Grupos'!$D$3:$D$74=$B33)*ISNUMBER('Jogos - Grupos'!$G$3:$G$74)*'Jogos - Grupos'!$G$3:$G$74)+SUMPRODUCT(('Jogos - Grupos'!$C$3:$C$74=$A33)*('Jogos - Grupos'!$E$3:$E$74=$B33)*ISNUMBER('Jogos - Grupos'!$F$3:$F$74)*'Jogos - Grupos'!$F$3:$F$74)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v>57</v>
      </c>
    </row>
    <row r="34" spans="1:11">
      <c r="A34" s="123" t="s">
        <v>131</v>
      </c>
      <c r="B34" s="45" t="s">
        <v>136</v>
      </c>
      <c r="C34" s="124">
        <f>SUMPRODUCT(('Jogos - Grupos'!$C$3:$C$74=$A34)*('Jogos - Grupos'!$D$3:$D$74=$B34)*ISNUMBER('Jogos - Grupos'!$F$3:$F$74)*ISNUMBER('Jogos - Grupos'!$G$3:$G$74)*('Jogos - Grupos'!$F$3:$F$74&gt;'Jogos - Grupos'!$G$3:$G$74))+SUMPRODUCT(('Jogos - Grupos'!$C$3:$C$74=$A34)*('Jogos - Grupos'!$E$3:$E$74=$B34)*ISNUMBER('Jogos - Grupos'!$F$3:$F$74)*ISNUMBER('Jogos - Grupos'!$G$3:$G$74)*('Jogos - Grupos'!$G$3:$G$74&gt;'Jogos - Grupos'!$F$3:$F$74))</f>
        <v>0</v>
      </c>
      <c r="D34" s="124">
        <f>SUMPRODUCT(('Jogos - Grupos'!$C$3:$C$74=$A34)*(('Jogos - Grupos'!$D$3:$D$74=$B34)+('Jogos - Grupos'!$E$3:$E$74=$B34))*ISNUMBER('Jogos - Grupos'!$F$3:$F$74)*ISNUMBER('Jogos - Grupos'!$G$3:$G$74)*('Jogos - Grupos'!$F$3:$F$74='Jogos - Grupos'!$G$3:$G$74))</f>
        <v>0</v>
      </c>
      <c r="E34" s="124">
        <f>SUMPRODUCT(('Jogos - Grupos'!$C$3:$C$74=$A34)*('Jogos - Grupos'!$D$3:$D$74=$B34)*ISNUMBER('Jogos - Grupos'!$F$3:$F$74)*'Jogos - Grupos'!$F$3:$F$74)+SUMPRODUCT(('Jogos - Grupos'!$C$3:$C$74=$A34)*('Jogos - Grupos'!$E$3:$E$74=$B34)*ISNUMBER('Jogos - Grupos'!$G$3:$G$74)*'Jogos - Grupos'!$G$3:$G$74)</f>
        <v>0</v>
      </c>
      <c r="F34" s="124">
        <f>SUMPRODUCT(('Jogos - Grupos'!$C$3:$C$74=$A34)*('Jogos - Grupos'!$D$3:$D$74=$B34)*ISNUMBER('Jogos - Grupos'!$G$3:$G$74)*'Jogos - Grupos'!$G$3:$G$74)+SUMPRODUCT(('Jogos - Grupos'!$C$3:$C$74=$A34)*('Jogos - Grupos'!$E$3:$E$74=$B34)*ISNUMBER('Jogos - Grupos'!$F$3:$F$74)*'Jogos - Grupos'!$F$3:$F$74)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v>17</v>
      </c>
    </row>
    <row r="35" spans="1:11">
      <c r="A35" s="125" t="s">
        <v>142</v>
      </c>
      <c r="B35" s="50" t="s">
        <v>143</v>
      </c>
      <c r="C35" s="126">
        <f>SUMPRODUCT(('Jogos - Grupos'!$C$3:$C$74=$A35)*('Jogos - Grupos'!$D$3:$D$74=$B35)*ISNUMBER('Jogos - Grupos'!$F$3:$F$74)*ISNUMBER('Jogos - Grupos'!$G$3:$G$74)*('Jogos - Grupos'!$F$3:$F$74&gt;'Jogos - Grupos'!$G$3:$G$74))+SUMPRODUCT(('Jogos - Grupos'!$C$3:$C$74=$A35)*('Jogos - Grupos'!$E$3:$E$74=$B35)*ISNUMBER('Jogos - Grupos'!$F$3:$F$74)*ISNUMBER('Jogos - Grupos'!$G$3:$G$74)*('Jogos - Grupos'!$G$3:$G$74&gt;'Jogos - Grupos'!$F$3:$F$74))</f>
        <v>0</v>
      </c>
      <c r="D35" s="126">
        <f>SUMPRODUCT(('Jogos - Grupos'!$C$3:$C$74=$A35)*(('Jogos - Grupos'!$D$3:$D$74=$B35)+('Jogos - Grupos'!$E$3:$E$74=$B35))*ISNUMBER('Jogos - Grupos'!$F$3:$F$74)*ISNUMBER('Jogos - Grupos'!$G$3:$G$74)*('Jogos - Grupos'!$F$3:$F$74='Jogos - Grupos'!$G$3:$G$74))</f>
        <v>0</v>
      </c>
      <c r="E35" s="126">
        <f>SUMPRODUCT(('Jogos - Grupos'!$C$3:$C$74=$A35)*('Jogos - Grupos'!$D$3:$D$74=$B35)*ISNUMBER('Jogos - Grupos'!$F$3:$F$74)*'Jogos - Grupos'!$F$3:$F$74)+SUMPRODUCT(('Jogos - Grupos'!$C$3:$C$74=$A35)*('Jogos - Grupos'!$E$3:$E$74=$B35)*ISNUMBER('Jogos - Grupos'!$G$3:$G$74)*'Jogos - Grupos'!$G$3:$G$74)</f>
        <v>0</v>
      </c>
      <c r="F35" s="126">
        <f>SUMPRODUCT(('Jogos - Grupos'!$C$3:$C$74=$A35)*('Jogos - Grupos'!$D$3:$D$74=$B35)*ISNUMBER('Jogos - Grupos'!$G$3:$G$74)*'Jogos - Grupos'!$G$3:$G$74)+SUMPRODUCT(('Jogos - Grupos'!$C$3:$C$74=$A35)*('Jogos - Grupos'!$E$3:$E$74=$B35)*ISNUMBER('Jogos - Grupos'!$F$3:$F$74)*'Jogos - Grupos'!$F$3:$F$74)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v>2</v>
      </c>
    </row>
    <row r="36" spans="1:11">
      <c r="A36" s="125" t="s">
        <v>142</v>
      </c>
      <c r="B36" s="50" t="s">
        <v>144</v>
      </c>
      <c r="C36" s="126">
        <f>SUMPRODUCT(('Jogos - Grupos'!$C$3:$C$74=$A36)*('Jogos - Grupos'!$D$3:$D$74=$B36)*ISNUMBER('Jogos - Grupos'!$F$3:$F$74)*ISNUMBER('Jogos - Grupos'!$G$3:$G$74)*('Jogos - Grupos'!$F$3:$F$74&gt;'Jogos - Grupos'!$G$3:$G$74))+SUMPRODUCT(('Jogos - Grupos'!$C$3:$C$74=$A36)*('Jogos - Grupos'!$E$3:$E$74=$B36)*ISNUMBER('Jogos - Grupos'!$F$3:$F$74)*ISNUMBER('Jogos - Grupos'!$G$3:$G$74)*('Jogos - Grupos'!$G$3:$G$74&gt;'Jogos - Grupos'!$F$3:$F$74))</f>
        <v>0</v>
      </c>
      <c r="D36" s="126">
        <f>SUMPRODUCT(('Jogos - Grupos'!$C$3:$C$74=$A36)*(('Jogos - Grupos'!$D$3:$D$74=$B36)+('Jogos - Grupos'!$E$3:$E$74=$B36))*ISNUMBER('Jogos - Grupos'!$F$3:$F$74)*ISNUMBER('Jogos - Grupos'!$G$3:$G$74)*('Jogos - Grupos'!$F$3:$F$74='Jogos - Grupos'!$G$3:$G$74))</f>
        <v>0</v>
      </c>
      <c r="E36" s="126">
        <f>SUMPRODUCT(('Jogos - Grupos'!$C$3:$C$74=$A36)*('Jogos - Grupos'!$D$3:$D$74=$B36)*ISNUMBER('Jogos - Grupos'!$F$3:$F$74)*'Jogos - Grupos'!$F$3:$F$74)+SUMPRODUCT(('Jogos - Grupos'!$C$3:$C$74=$A36)*('Jogos - Grupos'!$E$3:$E$74=$B36)*ISNUMBER('Jogos - Grupos'!$G$3:$G$74)*'Jogos - Grupos'!$G$3:$G$74)</f>
        <v>0</v>
      </c>
      <c r="F36" s="126">
        <f>SUMPRODUCT(('Jogos - Grupos'!$C$3:$C$74=$A36)*('Jogos - Grupos'!$D$3:$D$74=$B36)*ISNUMBER('Jogos - Grupos'!$G$3:$G$74)*'Jogos - Grupos'!$G$3:$G$74)+SUMPRODUCT(('Jogos - Grupos'!$C$3:$C$74=$A36)*('Jogos - Grupos'!$E$3:$E$74=$B36)*ISNUMBER('Jogos - Grupos'!$F$3:$F$74)*'Jogos - Grupos'!$F$3:$F$74)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v>21</v>
      </c>
    </row>
    <row r="37" spans="1:11">
      <c r="A37" s="125" t="s">
        <v>142</v>
      </c>
      <c r="B37" s="50" t="s">
        <v>146</v>
      </c>
      <c r="C37" s="126">
        <f>SUMPRODUCT(('Jogos - Grupos'!$C$3:$C$74=$A37)*('Jogos - Grupos'!$D$3:$D$74=$B37)*ISNUMBER('Jogos - Grupos'!$F$3:$F$74)*ISNUMBER('Jogos - Grupos'!$G$3:$G$74)*('Jogos - Grupos'!$F$3:$F$74&gt;'Jogos - Grupos'!$G$3:$G$74))+SUMPRODUCT(('Jogos - Grupos'!$C$3:$C$74=$A37)*('Jogos - Grupos'!$E$3:$E$74=$B37)*ISNUMBER('Jogos - Grupos'!$F$3:$F$74)*ISNUMBER('Jogos - Grupos'!$G$3:$G$74)*('Jogos - Grupos'!$G$3:$G$74&gt;'Jogos - Grupos'!$F$3:$F$74))</f>
        <v>0</v>
      </c>
      <c r="D37" s="126">
        <f>SUMPRODUCT(('Jogos - Grupos'!$C$3:$C$74=$A37)*(('Jogos - Grupos'!$D$3:$D$74=$B37)+('Jogos - Grupos'!$E$3:$E$74=$B37))*ISNUMBER('Jogos - Grupos'!$F$3:$F$74)*ISNUMBER('Jogos - Grupos'!$G$3:$G$74)*('Jogos - Grupos'!$F$3:$F$74='Jogos - Grupos'!$G$3:$G$74))</f>
        <v>0</v>
      </c>
      <c r="E37" s="126">
        <f>SUMPRODUCT(('Jogos - Grupos'!$C$3:$C$74=$A37)*('Jogos - Grupos'!$D$3:$D$74=$B37)*ISNUMBER('Jogos - Grupos'!$F$3:$F$74)*'Jogos - Grupos'!$F$3:$F$74)+SUMPRODUCT(('Jogos - Grupos'!$C$3:$C$74=$A37)*('Jogos - Grupos'!$E$3:$E$74=$B37)*ISNUMBER('Jogos - Grupos'!$G$3:$G$74)*'Jogos - Grupos'!$G$3:$G$74)</f>
        <v>0</v>
      </c>
      <c r="F37" s="126">
        <f>SUMPRODUCT(('Jogos - Grupos'!$C$3:$C$74=$A37)*('Jogos - Grupos'!$D$3:$D$74=$B37)*ISNUMBER('Jogos - Grupos'!$G$3:$G$74)*'Jogos - Grupos'!$G$3:$G$74)+SUMPRODUCT(('Jogos - Grupos'!$C$3:$C$74=$A37)*('Jogos - Grupos'!$E$3:$E$74=$B37)*ISNUMBER('Jogos - Grupos'!$F$3:$F$74)*'Jogos - Grupos'!$F$3:$F$74)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v>65</v>
      </c>
    </row>
    <row r="38" spans="1:11">
      <c r="A38" s="125" t="s">
        <v>142</v>
      </c>
      <c r="B38" s="50" t="s">
        <v>147</v>
      </c>
      <c r="C38" s="126">
        <f>SUMPRODUCT(('Jogos - Grupos'!$C$3:$C$74=$A38)*('Jogos - Grupos'!$D$3:$D$74=$B38)*ISNUMBER('Jogos - Grupos'!$F$3:$F$74)*ISNUMBER('Jogos - Grupos'!$G$3:$G$74)*('Jogos - Grupos'!$F$3:$F$74&gt;'Jogos - Grupos'!$G$3:$G$74))+SUMPRODUCT(('Jogos - Grupos'!$C$3:$C$74=$A38)*('Jogos - Grupos'!$E$3:$E$74=$B38)*ISNUMBER('Jogos - Grupos'!$F$3:$F$74)*ISNUMBER('Jogos - Grupos'!$G$3:$G$74)*('Jogos - Grupos'!$G$3:$G$74&gt;'Jogos - Grupos'!$F$3:$F$74))</f>
        <v>0</v>
      </c>
      <c r="D38" s="126">
        <f>SUMPRODUCT(('Jogos - Grupos'!$C$3:$C$74=$A38)*(('Jogos - Grupos'!$D$3:$D$74=$B38)+('Jogos - Grupos'!$E$3:$E$74=$B38))*ISNUMBER('Jogos - Grupos'!$F$3:$F$74)*ISNUMBER('Jogos - Grupos'!$G$3:$G$74)*('Jogos - Grupos'!$F$3:$F$74='Jogos - Grupos'!$G$3:$G$74))</f>
        <v>0</v>
      </c>
      <c r="E38" s="126">
        <f>SUMPRODUCT(('Jogos - Grupos'!$C$3:$C$74=$A38)*('Jogos - Grupos'!$D$3:$D$74=$B38)*ISNUMBER('Jogos - Grupos'!$F$3:$F$74)*'Jogos - Grupos'!$F$3:$F$74)+SUMPRODUCT(('Jogos - Grupos'!$C$3:$C$74=$A38)*('Jogos - Grupos'!$E$3:$E$74=$B38)*ISNUMBER('Jogos - Grupos'!$G$3:$G$74)*'Jogos - Grupos'!$G$3:$G$74)</f>
        <v>0</v>
      </c>
      <c r="F38" s="126">
        <f>SUMPRODUCT(('Jogos - Grupos'!$C$3:$C$74=$A38)*('Jogos - Grupos'!$D$3:$D$74=$B38)*ISNUMBER('Jogos - Grupos'!$G$3:$G$74)*'Jogos - Grupos'!$G$3:$G$74)+SUMPRODUCT(('Jogos - Grupos'!$C$3:$C$74=$A38)*('Jogos - Grupos'!$E$3:$E$74=$B38)*ISNUMBER('Jogos - Grupos'!$F$3:$F$74)*'Jogos - Grupos'!$F$3:$F$74)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v>28</v>
      </c>
    </row>
    <row r="39" spans="1:11">
      <c r="A39" s="127" t="s">
        <v>153</v>
      </c>
      <c r="B39" s="55" t="s">
        <v>154</v>
      </c>
      <c r="C39" s="128">
        <f>SUMPRODUCT(('Jogos - Grupos'!$C$3:$C$74=$A39)*('Jogos - Grupos'!$D$3:$D$74=$B39)*ISNUMBER('Jogos - Grupos'!$F$3:$F$74)*ISNUMBER('Jogos - Grupos'!$G$3:$G$74)*('Jogos - Grupos'!$F$3:$F$74&gt;'Jogos - Grupos'!$G$3:$G$74))+SUMPRODUCT(('Jogos - Grupos'!$C$3:$C$74=$A39)*('Jogos - Grupos'!$E$3:$E$74=$B39)*ISNUMBER('Jogos - Grupos'!$F$3:$F$74)*ISNUMBER('Jogos - Grupos'!$G$3:$G$74)*('Jogos - Grupos'!$G$3:$G$74&gt;'Jogos - Grupos'!$F$3:$F$74))</f>
        <v>0</v>
      </c>
      <c r="D39" s="128">
        <f>SUMPRODUCT(('Jogos - Grupos'!$C$3:$C$74=$A39)*(('Jogos - Grupos'!$D$3:$D$74=$B39)+('Jogos - Grupos'!$E$3:$E$74=$B39))*ISNUMBER('Jogos - Grupos'!$F$3:$F$74)*ISNUMBER('Jogos - Grupos'!$G$3:$G$74)*('Jogos - Grupos'!$F$3:$F$74='Jogos - Grupos'!$G$3:$G$74))</f>
        <v>0</v>
      </c>
      <c r="E39" s="128">
        <f>SUMPRODUCT(('Jogos - Grupos'!$C$3:$C$74=$A39)*('Jogos - Grupos'!$D$3:$D$74=$B39)*ISNUMBER('Jogos - Grupos'!$F$3:$F$74)*'Jogos - Grupos'!$F$3:$F$74)+SUMPRODUCT(('Jogos - Grupos'!$C$3:$C$74=$A39)*('Jogos - Grupos'!$E$3:$E$74=$B39)*ISNUMBER('Jogos - Grupos'!$G$3:$G$74)*'Jogos - Grupos'!$G$3:$G$74)</f>
        <v>0</v>
      </c>
      <c r="F39" s="128">
        <f>SUMPRODUCT(('Jogos - Grupos'!$C$3:$C$74=$A39)*('Jogos - Grupos'!$D$3:$D$74=$B39)*ISNUMBER('Jogos - Grupos'!$G$3:$G$74)*'Jogos - Grupos'!$G$3:$G$74)+SUMPRODUCT(('Jogos - Grupos'!$C$3:$C$74=$A39)*('Jogos - Grupos'!$E$3:$E$74=$B39)*ISNUMBER('Jogos - Grupos'!$F$3:$F$74)*'Jogos - Grupos'!$F$3:$F$74)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v>1</v>
      </c>
    </row>
    <row r="40" spans="1:11">
      <c r="A40" s="127" t="s">
        <v>153</v>
      </c>
      <c r="B40" s="55" t="s">
        <v>155</v>
      </c>
      <c r="C40" s="128">
        <f>SUMPRODUCT(('Jogos - Grupos'!$C$3:$C$74=$A40)*('Jogos - Grupos'!$D$3:$D$74=$B40)*ISNUMBER('Jogos - Grupos'!$F$3:$F$74)*ISNUMBER('Jogos - Grupos'!$G$3:$G$74)*('Jogos - Grupos'!$F$3:$F$74&gt;'Jogos - Grupos'!$G$3:$G$74))+SUMPRODUCT(('Jogos - Grupos'!$C$3:$C$74=$A40)*('Jogos - Grupos'!$E$3:$E$74=$B40)*ISNUMBER('Jogos - Grupos'!$F$3:$F$74)*ISNUMBER('Jogos - Grupos'!$G$3:$G$74)*('Jogos - Grupos'!$G$3:$G$74&gt;'Jogos - Grupos'!$F$3:$F$74))</f>
        <v>0</v>
      </c>
      <c r="D40" s="128">
        <f>SUMPRODUCT(('Jogos - Grupos'!$C$3:$C$74=$A40)*(('Jogos - Grupos'!$D$3:$D$74=$B40)+('Jogos - Grupos'!$E$3:$E$74=$B40))*ISNUMBER('Jogos - Grupos'!$F$3:$F$74)*ISNUMBER('Jogos - Grupos'!$G$3:$G$74)*('Jogos - Grupos'!$F$3:$F$74='Jogos - Grupos'!$G$3:$G$74))</f>
        <v>0</v>
      </c>
      <c r="E40" s="128">
        <f>SUMPRODUCT(('Jogos - Grupos'!$C$3:$C$74=$A40)*('Jogos - Grupos'!$D$3:$D$74=$B40)*ISNUMBER('Jogos - Grupos'!$F$3:$F$74)*'Jogos - Grupos'!$F$3:$F$74)+SUMPRODUCT(('Jogos - Grupos'!$C$3:$C$74=$A40)*('Jogos - Grupos'!$E$3:$E$74=$B40)*ISNUMBER('Jogos - Grupos'!$G$3:$G$74)*'Jogos - Grupos'!$G$3:$G$74)</f>
        <v>0</v>
      </c>
      <c r="F40" s="128">
        <f>SUMPRODUCT(('Jogos - Grupos'!$C$3:$C$74=$A40)*('Jogos - Grupos'!$D$3:$D$74=$B40)*ISNUMBER('Jogos - Grupos'!$G$3:$G$74)*'Jogos - Grupos'!$G$3:$G$74)+SUMPRODUCT(('Jogos - Grupos'!$C$3:$C$74=$A40)*('Jogos - Grupos'!$E$3:$E$74=$B40)*ISNUMBER('Jogos - Grupos'!$F$3:$F$74)*'Jogos - Grupos'!$F$3:$F$74)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v>32</v>
      </c>
    </row>
    <row r="41" spans="1:11">
      <c r="A41" s="127" t="s">
        <v>153</v>
      </c>
      <c r="B41" s="55" t="s">
        <v>157</v>
      </c>
      <c r="C41" s="128">
        <f>SUMPRODUCT(('Jogos - Grupos'!$C$3:$C$74=$A41)*('Jogos - Grupos'!$D$3:$D$74=$B41)*ISNUMBER('Jogos - Grupos'!$F$3:$F$74)*ISNUMBER('Jogos - Grupos'!$G$3:$G$74)*('Jogos - Grupos'!$F$3:$F$74&gt;'Jogos - Grupos'!$G$3:$G$74))+SUMPRODUCT(('Jogos - Grupos'!$C$3:$C$74=$A41)*('Jogos - Grupos'!$E$3:$E$74=$B41)*ISNUMBER('Jogos - Grupos'!$F$3:$F$74)*ISNUMBER('Jogos - Grupos'!$G$3:$G$74)*('Jogos - Grupos'!$G$3:$G$74&gt;'Jogos - Grupos'!$F$3:$F$74))</f>
        <v>0</v>
      </c>
      <c r="D41" s="128">
        <f>SUMPRODUCT(('Jogos - Grupos'!$C$3:$C$74=$A41)*(('Jogos - Grupos'!$D$3:$D$74=$B41)+('Jogos - Grupos'!$E$3:$E$74=$B41))*ISNUMBER('Jogos - Grupos'!$F$3:$F$74)*ISNUMBER('Jogos - Grupos'!$G$3:$G$74)*('Jogos - Grupos'!$F$3:$F$74='Jogos - Grupos'!$G$3:$G$74))</f>
        <v>0</v>
      </c>
      <c r="E41" s="128">
        <f>SUMPRODUCT(('Jogos - Grupos'!$C$3:$C$74=$A41)*('Jogos - Grupos'!$D$3:$D$74=$B41)*ISNUMBER('Jogos - Grupos'!$F$3:$F$74)*'Jogos - Grupos'!$F$3:$F$74)+SUMPRODUCT(('Jogos - Grupos'!$C$3:$C$74=$A41)*('Jogos - Grupos'!$E$3:$E$74=$B41)*ISNUMBER('Jogos - Grupos'!$G$3:$G$74)*'Jogos - Grupos'!$G$3:$G$74)</f>
        <v>0</v>
      </c>
      <c r="F41" s="128">
        <f>SUMPRODUCT(('Jogos - Grupos'!$C$3:$C$74=$A41)*('Jogos - Grupos'!$D$3:$D$74=$B41)*ISNUMBER('Jogos - Grupos'!$G$3:$G$74)*'Jogos - Grupos'!$G$3:$G$74)+SUMPRODUCT(('Jogos - Grupos'!$C$3:$C$74=$A41)*('Jogos - Grupos'!$E$3:$E$74=$B41)*ISNUMBER('Jogos - Grupos'!$F$3:$F$74)*'Jogos - Grupos'!$F$3:$F$74)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v>24</v>
      </c>
    </row>
    <row r="42" spans="1:11">
      <c r="A42" s="127" t="s">
        <v>153</v>
      </c>
      <c r="B42" s="55" t="s">
        <v>158</v>
      </c>
      <c r="C42" s="128">
        <f>SUMPRODUCT(('Jogos - Grupos'!$C$3:$C$74=$A42)*('Jogos - Grupos'!$D$3:$D$74=$B42)*ISNUMBER('Jogos - Grupos'!$F$3:$F$74)*ISNUMBER('Jogos - Grupos'!$G$3:$G$74)*('Jogos - Grupos'!$F$3:$F$74&gt;'Jogos - Grupos'!$G$3:$G$74))+SUMPRODUCT(('Jogos - Grupos'!$C$3:$C$74=$A42)*('Jogos - Grupos'!$E$3:$E$74=$B42)*ISNUMBER('Jogos - Grupos'!$F$3:$F$74)*ISNUMBER('Jogos - Grupos'!$G$3:$G$74)*('Jogos - Grupos'!$G$3:$G$74&gt;'Jogos - Grupos'!$F$3:$F$74))</f>
        <v>0</v>
      </c>
      <c r="D42" s="128">
        <f>SUMPRODUCT(('Jogos - Grupos'!$C$3:$C$74=$A42)*(('Jogos - Grupos'!$D$3:$D$74=$B42)+('Jogos - Grupos'!$E$3:$E$74=$B42))*ISNUMBER('Jogos - Grupos'!$F$3:$F$74)*ISNUMBER('Jogos - Grupos'!$G$3:$G$74)*('Jogos - Grupos'!$F$3:$F$74='Jogos - Grupos'!$G$3:$G$74))</f>
        <v>0</v>
      </c>
      <c r="E42" s="128">
        <f>SUMPRODUCT(('Jogos - Grupos'!$C$3:$C$74=$A42)*('Jogos - Grupos'!$D$3:$D$74=$B42)*ISNUMBER('Jogos - Grupos'!$F$3:$F$74)*'Jogos - Grupos'!$F$3:$F$74)+SUMPRODUCT(('Jogos - Grupos'!$C$3:$C$74=$A42)*('Jogos - Grupos'!$E$3:$E$74=$B42)*ISNUMBER('Jogos - Grupos'!$G$3:$G$74)*'Jogos - Grupos'!$G$3:$G$74)</f>
        <v>0</v>
      </c>
      <c r="F42" s="128">
        <f>SUMPRODUCT(('Jogos - Grupos'!$C$3:$C$74=$A42)*('Jogos - Grupos'!$D$3:$D$74=$B42)*ISNUMBER('Jogos - Grupos'!$G$3:$G$74)*'Jogos - Grupos'!$G$3:$G$74)+SUMPRODUCT(('Jogos - Grupos'!$C$3:$C$74=$A42)*('Jogos - Grupos'!$E$3:$E$74=$B42)*ISNUMBER('Jogos - Grupos'!$F$3:$F$74)*'Jogos - Grupos'!$F$3:$F$74)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v>86</v>
      </c>
    </row>
    <row r="43" spans="1:11">
      <c r="A43" s="129" t="s">
        <v>164</v>
      </c>
      <c r="B43" s="60" t="s">
        <v>165</v>
      </c>
      <c r="C43" s="130">
        <f>SUMPRODUCT(('Jogos - Grupos'!$C$3:$C$74=$A43)*('Jogos - Grupos'!$D$3:$D$74=$B43)*ISNUMBER('Jogos - Grupos'!$F$3:$F$74)*ISNUMBER('Jogos - Grupos'!$G$3:$G$74)*('Jogos - Grupos'!$F$3:$F$74&gt;'Jogos - Grupos'!$G$3:$G$74))+SUMPRODUCT(('Jogos - Grupos'!$C$3:$C$74=$A43)*('Jogos - Grupos'!$E$3:$E$74=$B43)*ISNUMBER('Jogos - Grupos'!$F$3:$F$74)*ISNUMBER('Jogos - Grupos'!$G$3:$G$74)*('Jogos - Grupos'!$G$3:$G$74&gt;'Jogos - Grupos'!$F$3:$F$74))</f>
        <v>0</v>
      </c>
      <c r="D43" s="130">
        <f>SUMPRODUCT(('Jogos - Grupos'!$C$3:$C$74=$A43)*(('Jogos - Grupos'!$D$3:$D$74=$B43)+('Jogos - Grupos'!$E$3:$E$74=$B43))*ISNUMBER('Jogos - Grupos'!$F$3:$F$74)*ISNUMBER('Jogos - Grupos'!$G$3:$G$74)*('Jogos - Grupos'!$F$3:$F$74='Jogos - Grupos'!$G$3:$G$74))</f>
        <v>0</v>
      </c>
      <c r="E43" s="130">
        <f>SUMPRODUCT(('Jogos - Grupos'!$C$3:$C$74=$A43)*('Jogos - Grupos'!$D$3:$D$74=$B43)*ISNUMBER('Jogos - Grupos'!$F$3:$F$74)*'Jogos - Grupos'!$F$3:$F$74)+SUMPRODUCT(('Jogos - Grupos'!$C$3:$C$74=$A43)*('Jogos - Grupos'!$E$3:$E$74=$B43)*ISNUMBER('Jogos - Grupos'!$G$3:$G$74)*'Jogos - Grupos'!$G$3:$G$74)</f>
        <v>0</v>
      </c>
      <c r="F43" s="130">
        <f>SUMPRODUCT(('Jogos - Grupos'!$C$3:$C$74=$A43)*('Jogos - Grupos'!$D$3:$D$74=$B43)*ISNUMBER('Jogos - Grupos'!$G$3:$G$74)*'Jogos - Grupos'!$G$3:$G$74)+SUMPRODUCT(('Jogos - Grupos'!$C$3:$C$74=$A43)*('Jogos - Grupos'!$E$3:$E$74=$B43)*ISNUMBER('Jogos - Grupos'!$F$3:$F$74)*'Jogos - Grupos'!$F$3:$F$74)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v>6</v>
      </c>
    </row>
    <row r="44" spans="1:11">
      <c r="A44" s="129" t="s">
        <v>164</v>
      </c>
      <c r="B44" s="60" t="s">
        <v>166</v>
      </c>
      <c r="C44" s="130">
        <f>SUMPRODUCT(('Jogos - Grupos'!$C$3:$C$74=$A44)*('Jogos - Grupos'!$D$3:$D$74=$B44)*ISNUMBER('Jogos - Grupos'!$F$3:$F$74)*ISNUMBER('Jogos - Grupos'!$G$3:$G$74)*('Jogos - Grupos'!$F$3:$F$74&gt;'Jogos - Grupos'!$G$3:$G$74))+SUMPRODUCT(('Jogos - Grupos'!$C$3:$C$74=$A44)*('Jogos - Grupos'!$E$3:$E$74=$B44)*ISNUMBER('Jogos - Grupos'!$F$3:$F$74)*ISNUMBER('Jogos - Grupos'!$G$3:$G$74)*('Jogos - Grupos'!$G$3:$G$74&gt;'Jogos - Grupos'!$F$3:$F$74))</f>
        <v>0</v>
      </c>
      <c r="D44" s="130">
        <f>SUMPRODUCT(('Jogos - Grupos'!$C$3:$C$74=$A44)*(('Jogos - Grupos'!$D$3:$D$74=$B44)+('Jogos - Grupos'!$E$3:$E$74=$B44))*ISNUMBER('Jogos - Grupos'!$F$3:$F$74)*ISNUMBER('Jogos - Grupos'!$G$3:$G$74)*('Jogos - Grupos'!$F$3:$F$74='Jogos - Grupos'!$G$3:$G$74))</f>
        <v>0</v>
      </c>
      <c r="E44" s="130">
        <f>SUMPRODUCT(('Jogos - Grupos'!$C$3:$C$74=$A44)*('Jogos - Grupos'!$D$3:$D$74=$B44)*ISNUMBER('Jogos - Grupos'!$F$3:$F$74)*'Jogos - Grupos'!$F$3:$F$74)+SUMPRODUCT(('Jogos - Grupos'!$C$3:$C$74=$A44)*('Jogos - Grupos'!$E$3:$E$74=$B44)*ISNUMBER('Jogos - Grupos'!$G$3:$G$74)*'Jogos - Grupos'!$G$3:$G$74)</f>
        <v>0</v>
      </c>
      <c r="F44" s="130">
        <f>SUMPRODUCT(('Jogos - Grupos'!$C$3:$C$74=$A44)*('Jogos - Grupos'!$D$3:$D$74=$B44)*ISNUMBER('Jogos - Grupos'!$G$3:$G$74)*'Jogos - Grupos'!$G$3:$G$74)+SUMPRODUCT(('Jogos - Grupos'!$C$3:$C$74=$A44)*('Jogos - Grupos'!$E$3:$E$74=$B44)*ISNUMBER('Jogos - Grupos'!$F$3:$F$74)*'Jogos - Grupos'!$F$3:$F$74)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v>57</v>
      </c>
    </row>
    <row r="45" spans="1:11">
      <c r="A45" s="129" t="s">
        <v>164</v>
      </c>
      <c r="B45" s="60" t="s">
        <v>168</v>
      </c>
      <c r="C45" s="130">
        <f>SUMPRODUCT(('Jogos - Grupos'!$C$3:$C$74=$A45)*('Jogos - Grupos'!$D$3:$D$74=$B45)*ISNUMBER('Jogos - Grupos'!$F$3:$F$74)*ISNUMBER('Jogos - Grupos'!$G$3:$G$74)*('Jogos - Grupos'!$F$3:$F$74&gt;'Jogos - Grupos'!$G$3:$G$74))+SUMPRODUCT(('Jogos - Grupos'!$C$3:$C$74=$A45)*('Jogos - Grupos'!$E$3:$E$74=$B45)*ISNUMBER('Jogos - Grupos'!$F$3:$F$74)*ISNUMBER('Jogos - Grupos'!$G$3:$G$74)*('Jogos - Grupos'!$G$3:$G$74&gt;'Jogos - Grupos'!$F$3:$F$74))</f>
        <v>0</v>
      </c>
      <c r="D45" s="130">
        <f>SUMPRODUCT(('Jogos - Grupos'!$C$3:$C$74=$A45)*(('Jogos - Grupos'!$D$3:$D$74=$B45)+('Jogos - Grupos'!$E$3:$E$74=$B45))*ISNUMBER('Jogos - Grupos'!$F$3:$F$74)*ISNUMBER('Jogos - Grupos'!$G$3:$G$74)*('Jogos - Grupos'!$F$3:$F$74='Jogos - Grupos'!$G$3:$G$74))</f>
        <v>0</v>
      </c>
      <c r="E45" s="130">
        <f>SUMPRODUCT(('Jogos - Grupos'!$C$3:$C$74=$A45)*('Jogos - Grupos'!$D$3:$D$74=$B45)*ISNUMBER('Jogos - Grupos'!$F$3:$F$74)*'Jogos - Grupos'!$F$3:$F$74)+SUMPRODUCT(('Jogos - Grupos'!$C$3:$C$74=$A45)*('Jogos - Grupos'!$E$3:$E$74=$B45)*ISNUMBER('Jogos - Grupos'!$G$3:$G$74)*'Jogos - Grupos'!$G$3:$G$74)</f>
        <v>0</v>
      </c>
      <c r="F45" s="130">
        <f>SUMPRODUCT(('Jogos - Grupos'!$C$3:$C$74=$A45)*('Jogos - Grupos'!$D$3:$D$74=$B45)*ISNUMBER('Jogos - Grupos'!$G$3:$G$74)*'Jogos - Grupos'!$G$3:$G$74)+SUMPRODUCT(('Jogos - Grupos'!$C$3:$C$74=$A45)*('Jogos - Grupos'!$E$3:$E$74=$B45)*ISNUMBER('Jogos - Grupos'!$F$3:$F$74)*'Jogos - Grupos'!$F$3:$F$74)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v>74</v>
      </c>
    </row>
    <row r="46" spans="1:11">
      <c r="A46" s="129" t="s">
        <v>164</v>
      </c>
      <c r="B46" s="60" t="s">
        <v>169</v>
      </c>
      <c r="C46" s="130">
        <f>SUMPRODUCT(('Jogos - Grupos'!$C$3:$C$74=$A46)*('Jogos - Grupos'!$D$3:$D$74=$B46)*ISNUMBER('Jogos - Grupos'!$F$3:$F$74)*ISNUMBER('Jogos - Grupos'!$G$3:$G$74)*('Jogos - Grupos'!$F$3:$F$74&gt;'Jogos - Grupos'!$G$3:$G$74))+SUMPRODUCT(('Jogos - Grupos'!$C$3:$C$74=$A46)*('Jogos - Grupos'!$E$3:$E$74=$B46)*ISNUMBER('Jogos - Grupos'!$F$3:$F$74)*ISNUMBER('Jogos - Grupos'!$G$3:$G$74)*('Jogos - Grupos'!$G$3:$G$74&gt;'Jogos - Grupos'!$F$3:$F$74))</f>
        <v>0</v>
      </c>
      <c r="D46" s="130">
        <f>SUMPRODUCT(('Jogos - Grupos'!$C$3:$C$74=$A46)*(('Jogos - Grupos'!$D$3:$D$74=$B46)+('Jogos - Grupos'!$E$3:$E$74=$B46))*ISNUMBER('Jogos - Grupos'!$F$3:$F$74)*ISNUMBER('Jogos - Grupos'!$G$3:$G$74)*('Jogos - Grupos'!$F$3:$F$74='Jogos - Grupos'!$G$3:$G$74))</f>
        <v>0</v>
      </c>
      <c r="E46" s="130">
        <f>SUMPRODUCT(('Jogos - Grupos'!$C$3:$C$74=$A46)*('Jogos - Grupos'!$D$3:$D$74=$B46)*ISNUMBER('Jogos - Grupos'!$F$3:$F$74)*'Jogos - Grupos'!$F$3:$F$74)+SUMPRODUCT(('Jogos - Grupos'!$C$3:$C$74=$A46)*('Jogos - Grupos'!$E$3:$E$74=$B46)*ISNUMBER('Jogos - Grupos'!$G$3:$G$74)*'Jogos - Grupos'!$G$3:$G$74)</f>
        <v>0</v>
      </c>
      <c r="F46" s="130">
        <f>SUMPRODUCT(('Jogos - Grupos'!$C$3:$C$74=$A46)*('Jogos - Grupos'!$D$3:$D$74=$B46)*ISNUMBER('Jogos - Grupos'!$G$3:$G$74)*'Jogos - Grupos'!$G$3:$G$74)+SUMPRODUCT(('Jogos - Grupos'!$C$3:$C$74=$A46)*('Jogos - Grupos'!$E$3:$E$74=$B46)*ISNUMBER('Jogos - Grupos'!$F$3:$F$74)*'Jogos - Grupos'!$F$3:$F$74)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v>18</v>
      </c>
    </row>
    <row r="47" spans="1:11">
      <c r="A47" s="131" t="s">
        <v>175</v>
      </c>
      <c r="B47" s="65" t="s">
        <v>176</v>
      </c>
      <c r="C47" s="132">
        <f>SUMPRODUCT(('Jogos - Grupos'!$C$3:$C$74=$A47)*('Jogos - Grupos'!$D$3:$D$74=$B47)*ISNUMBER('Jogos - Grupos'!$F$3:$F$74)*ISNUMBER('Jogos - Grupos'!$G$3:$G$74)*('Jogos - Grupos'!$F$3:$F$74&gt;'Jogos - Grupos'!$G$3:$G$74))+SUMPRODUCT(('Jogos - Grupos'!$C$3:$C$74=$A47)*('Jogos - Grupos'!$E$3:$E$74=$B47)*ISNUMBER('Jogos - Grupos'!$F$3:$F$74)*ISNUMBER('Jogos - Grupos'!$G$3:$G$74)*('Jogos - Grupos'!$G$3:$G$74&gt;'Jogos - Grupos'!$F$3:$F$74))</f>
        <v>0</v>
      </c>
      <c r="D47" s="132">
        <f>SUMPRODUCT(('Jogos - Grupos'!$C$3:$C$74=$A47)*(('Jogos - Grupos'!$D$3:$D$74=$B47)+('Jogos - Grupos'!$E$3:$E$74=$B47))*ISNUMBER('Jogos - Grupos'!$F$3:$F$74)*ISNUMBER('Jogos - Grupos'!$G$3:$G$74)*('Jogos - Grupos'!$F$3:$F$74='Jogos - Grupos'!$G$3:$G$74))</f>
        <v>0</v>
      </c>
      <c r="E47" s="132">
        <f>SUMPRODUCT(('Jogos - Grupos'!$C$3:$C$74=$A47)*('Jogos - Grupos'!$D$3:$D$74=$B47)*ISNUMBER('Jogos - Grupos'!$F$3:$F$74)*'Jogos - Grupos'!$F$3:$F$74)+SUMPRODUCT(('Jogos - Grupos'!$C$3:$C$74=$A47)*('Jogos - Grupos'!$E$3:$E$74=$B47)*ISNUMBER('Jogos - Grupos'!$G$3:$G$74)*'Jogos - Grupos'!$G$3:$G$74)</f>
        <v>0</v>
      </c>
      <c r="F47" s="132">
        <f>SUMPRODUCT(('Jogos - Grupos'!$C$3:$C$74=$A47)*('Jogos - Grupos'!$D$3:$D$74=$B47)*ISNUMBER('Jogos - Grupos'!$G$3:$G$74)*'Jogos - Grupos'!$G$3:$G$74)+SUMPRODUCT(('Jogos - Grupos'!$C$3:$C$74=$A47)*('Jogos - Grupos'!$E$3:$E$74=$B47)*ISNUMBER('Jogos - Grupos'!$F$3:$F$74)*'Jogos - Grupos'!$F$3:$F$74)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v>9</v>
      </c>
    </row>
    <row r="48" spans="1:11">
      <c r="A48" s="131" t="s">
        <v>175</v>
      </c>
      <c r="B48" s="65" t="s">
        <v>177</v>
      </c>
      <c r="C48" s="132">
        <f>SUMPRODUCT(('Jogos - Grupos'!$C$3:$C$74=$A48)*('Jogos - Grupos'!$D$3:$D$74=$B48)*ISNUMBER('Jogos - Grupos'!$F$3:$F$74)*ISNUMBER('Jogos - Grupos'!$G$3:$G$74)*('Jogos - Grupos'!$F$3:$F$74&gt;'Jogos - Grupos'!$G$3:$G$74))+SUMPRODUCT(('Jogos - Grupos'!$C$3:$C$74=$A48)*('Jogos - Grupos'!$E$3:$E$74=$B48)*ISNUMBER('Jogos - Grupos'!$F$3:$F$74)*ISNUMBER('Jogos - Grupos'!$G$3:$G$74)*('Jogos - Grupos'!$G$3:$G$74&gt;'Jogos - Grupos'!$F$3:$F$74))</f>
        <v>0</v>
      </c>
      <c r="D48" s="132">
        <f>SUMPRODUCT(('Jogos - Grupos'!$C$3:$C$74=$A48)*(('Jogos - Grupos'!$D$3:$D$74=$B48)+('Jogos - Grupos'!$E$3:$E$74=$B48))*ISNUMBER('Jogos - Grupos'!$F$3:$F$74)*ISNUMBER('Jogos - Grupos'!$G$3:$G$74)*('Jogos - Grupos'!$F$3:$F$74='Jogos - Grupos'!$G$3:$G$74))</f>
        <v>0</v>
      </c>
      <c r="E48" s="132">
        <f>SUMPRODUCT(('Jogos - Grupos'!$C$3:$C$74=$A48)*('Jogos - Grupos'!$D$3:$D$74=$B48)*ISNUMBER('Jogos - Grupos'!$F$3:$F$74)*'Jogos - Grupos'!$F$3:$F$74)+SUMPRODUCT(('Jogos - Grupos'!$C$3:$C$74=$A48)*('Jogos - Grupos'!$E$3:$E$74=$B48)*ISNUMBER('Jogos - Grupos'!$G$3:$G$74)*'Jogos - Grupos'!$G$3:$G$74)</f>
        <v>0</v>
      </c>
      <c r="F48" s="132">
        <f>SUMPRODUCT(('Jogos - Grupos'!$C$3:$C$74=$A48)*('Jogos - Grupos'!$D$3:$D$74=$B48)*ISNUMBER('Jogos - Grupos'!$G$3:$G$74)*'Jogos - Grupos'!$G$3:$G$74)+SUMPRODUCT(('Jogos - Grupos'!$C$3:$C$74=$A48)*('Jogos - Grupos'!$E$3:$E$74=$B48)*ISNUMBER('Jogos - Grupos'!$F$3:$F$74)*'Jogos - Grupos'!$F$3:$F$74)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v>10</v>
      </c>
    </row>
    <row r="49" spans="1:11">
      <c r="A49" s="131" t="s">
        <v>175</v>
      </c>
      <c r="B49" s="65" t="s">
        <v>179</v>
      </c>
      <c r="C49" s="132">
        <f>SUMPRODUCT(('Jogos - Grupos'!$C$3:$C$74=$A49)*('Jogos - Grupos'!$D$3:$D$74=$B49)*ISNUMBER('Jogos - Grupos'!$F$3:$F$74)*ISNUMBER('Jogos - Grupos'!$G$3:$G$74)*('Jogos - Grupos'!$F$3:$F$74&gt;'Jogos - Grupos'!$G$3:$G$74))+SUMPRODUCT(('Jogos - Grupos'!$C$3:$C$74=$A49)*('Jogos - Grupos'!$E$3:$E$74=$B49)*ISNUMBER('Jogos - Grupos'!$F$3:$F$74)*ISNUMBER('Jogos - Grupos'!$G$3:$G$74)*('Jogos - Grupos'!$G$3:$G$74&gt;'Jogos - Grupos'!$F$3:$F$74))</f>
        <v>0</v>
      </c>
      <c r="D49" s="132">
        <f>SUMPRODUCT(('Jogos - Grupos'!$C$3:$C$74=$A49)*(('Jogos - Grupos'!$D$3:$D$74=$B49)+('Jogos - Grupos'!$E$3:$E$74=$B49))*ISNUMBER('Jogos - Grupos'!$F$3:$F$74)*ISNUMBER('Jogos - Grupos'!$G$3:$G$74)*('Jogos - Grupos'!$F$3:$F$74='Jogos - Grupos'!$G$3:$G$74))</f>
        <v>0</v>
      </c>
      <c r="E49" s="132">
        <f>SUMPRODUCT(('Jogos - Grupos'!$C$3:$C$74=$A49)*('Jogos - Grupos'!$D$3:$D$74=$B49)*ISNUMBER('Jogos - Grupos'!$F$3:$F$74)*'Jogos - Grupos'!$F$3:$F$74)+SUMPRODUCT(('Jogos - Grupos'!$C$3:$C$74=$A49)*('Jogos - Grupos'!$E$3:$E$74=$B49)*ISNUMBER('Jogos - Grupos'!$G$3:$G$74)*'Jogos - Grupos'!$G$3:$G$74)</f>
        <v>0</v>
      </c>
      <c r="F49" s="132">
        <f>SUMPRODUCT(('Jogos - Grupos'!$C$3:$C$74=$A49)*('Jogos - Grupos'!$D$3:$D$74=$B49)*ISNUMBER('Jogos - Grupos'!$G$3:$G$74)*'Jogos - Grupos'!$G$3:$G$74)+SUMPRODUCT(('Jogos - Grupos'!$C$3:$C$74=$A49)*('Jogos - Grupos'!$E$3:$E$74=$B49)*ISNUMBER('Jogos - Grupos'!$F$3:$F$74)*'Jogos - Grupos'!$F$3:$F$74)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v>52</v>
      </c>
    </row>
    <row r="50" spans="1:11">
      <c r="A50" s="131" t="s">
        <v>175</v>
      </c>
      <c r="B50" s="65" t="s">
        <v>180</v>
      </c>
      <c r="C50" s="132">
        <f>SUMPRODUCT(('Jogos - Grupos'!$C$3:$C$74=$A50)*('Jogos - Grupos'!$D$3:$D$74=$B50)*ISNUMBER('Jogos - Grupos'!$F$3:$F$74)*ISNUMBER('Jogos - Grupos'!$G$3:$G$74)*('Jogos - Grupos'!$F$3:$F$74&gt;'Jogos - Grupos'!$G$3:$G$74))+SUMPRODUCT(('Jogos - Grupos'!$C$3:$C$74=$A50)*('Jogos - Grupos'!$E$3:$E$74=$B50)*ISNUMBER('Jogos - Grupos'!$F$3:$F$74)*ISNUMBER('Jogos - Grupos'!$G$3:$G$74)*('Jogos - Grupos'!$G$3:$G$74&gt;'Jogos - Grupos'!$F$3:$F$74))</f>
        <v>0</v>
      </c>
      <c r="D50" s="132">
        <f>SUMPRODUCT(('Jogos - Grupos'!$C$3:$C$74=$A50)*(('Jogos - Grupos'!$D$3:$D$74=$B50)+('Jogos - Grupos'!$E$3:$E$74=$B50))*ISNUMBER('Jogos - Grupos'!$F$3:$F$74)*ISNUMBER('Jogos - Grupos'!$G$3:$G$74)*('Jogos - Grupos'!$F$3:$F$74='Jogos - Grupos'!$G$3:$G$74))</f>
        <v>0</v>
      </c>
      <c r="E50" s="132">
        <f>SUMPRODUCT(('Jogos - Grupos'!$C$3:$C$74=$A50)*('Jogos - Grupos'!$D$3:$D$74=$B50)*ISNUMBER('Jogos - Grupos'!$F$3:$F$74)*'Jogos - Grupos'!$F$3:$F$74)+SUMPRODUCT(('Jogos - Grupos'!$C$3:$C$74=$A50)*('Jogos - Grupos'!$E$3:$E$74=$B50)*ISNUMBER('Jogos - Grupos'!$G$3:$G$74)*'Jogos - Grupos'!$G$3:$G$74)</f>
        <v>0</v>
      </c>
      <c r="F50" s="132">
        <f>SUMPRODUCT(('Jogos - Grupos'!$C$3:$C$74=$A50)*('Jogos - Grupos'!$D$3:$D$74=$B50)*ISNUMBER('Jogos - Grupos'!$G$3:$G$74)*'Jogos - Grupos'!$G$3:$G$74)+SUMPRODUCT(('Jogos - Grupos'!$C$3:$C$74=$A50)*('Jogos - Grupos'!$E$3:$E$74=$B50)*ISNUMBER('Jogos - Grupos'!$F$3:$F$74)*'Jogos - Grupos'!$F$3:$F$74)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v>72</v>
      </c>
    </row>
    <row r="52" spans="1:11">
      <c r="A52" s="133" t="s">
        <v>47</v>
      </c>
      <c r="B52" s="133" t="s">
        <v>427</v>
      </c>
      <c r="C52" s="133" t="s">
        <v>428</v>
      </c>
      <c r="D52" s="133" t="s">
        <v>429</v>
      </c>
      <c r="E52" s="133" t="s">
        <v>430</v>
      </c>
    </row>
    <row r="53" spans="1:11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1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1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1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1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1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1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1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1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1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1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1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>
      <c r="A66" s="147" t="s">
        <v>47</v>
      </c>
      <c r="B66" s="147" t="s">
        <v>429</v>
      </c>
      <c r="C66" s="147" t="s">
        <v>431</v>
      </c>
      <c r="D66" s="147" t="s">
        <v>432</v>
      </c>
    </row>
    <row r="68" spans="1:4">
      <c r="A68" s="148" t="s">
        <v>54</v>
      </c>
      <c r="B68" s="149" t="str">
        <f>IFERROR(INDEX($B$3:$B$6,MATCH(3,$J$3:$J$6,0)),"?")</f>
        <v>Tchequia</v>
      </c>
      <c r="C68" s="149">
        <f>IFERROR(INDEX($I$3:$I$6,MATCH(3,$J$3:$J$6,0)),0)</f>
        <v>199001462</v>
      </c>
      <c r="D68" s="150">
        <f t="shared" ref="D68:D79" si="3">RANK(C68,$C$68:$C$79,0)</f>
        <v>12</v>
      </c>
    </row>
    <row r="69" spans="1:4">
      <c r="A69" s="151" t="s">
        <v>65</v>
      </c>
      <c r="B69" s="149" t="str">
        <f>IFERROR(INDEX($B$7:$B$10,MATCH(3,$J$7:$J$10,0)),"?")</f>
        <v>Canada</v>
      </c>
      <c r="C69" s="149">
        <f>IFERROR(INDEX($I$7:$I$10,MATCH(3,$J$7:$J$10,0)),0)</f>
        <v>200000456</v>
      </c>
      <c r="D69" s="150">
        <f t="shared" si="3"/>
        <v>8</v>
      </c>
    </row>
    <row r="70" spans="1:4">
      <c r="A70" s="152" t="s">
        <v>76</v>
      </c>
      <c r="B70" s="149" t="str">
        <f>IFERROR(INDEX($B$11:$B$14,MATCH(3,$J$11:$J$14,0)),"?")</f>
        <v>Escocia</v>
      </c>
      <c r="C70" s="149">
        <f>IFERROR(INDEX($I$11:$I$14,MATCH(3,$J$11:$J$14,0)),0)</f>
        <v>200000473</v>
      </c>
      <c r="D70" s="150">
        <f t="shared" si="3"/>
        <v>2</v>
      </c>
    </row>
    <row r="71" spans="1:4">
      <c r="A71" s="153" t="s">
        <v>87</v>
      </c>
      <c r="B71" s="149" t="str">
        <f>IFERROR(INDEX($B$15:$B$18,MATCH(3,$J$15:$J$18,0)),"?")</f>
        <v>Turquia</v>
      </c>
      <c r="C71" s="149">
        <f>IFERROR(INDEX($I$15:$I$18,MATCH(3,$J$15:$J$18,0)),0)</f>
        <v>200000464</v>
      </c>
      <c r="D71" s="150">
        <f t="shared" si="3"/>
        <v>5</v>
      </c>
    </row>
    <row r="72" spans="1:4">
      <c r="A72" s="154" t="s">
        <v>98</v>
      </c>
      <c r="B72" s="149" t="str">
        <f>IFERROR(INDEX($B$19:$B$22,MATCH(3,$J$19:$J$22,0)),"?")</f>
        <v>Costa do Marfim</v>
      </c>
      <c r="C72" s="149">
        <f>IFERROR(INDEX($I$19:$I$22,MATCH(3,$J$19:$J$22,0)),0)</f>
        <v>200000459</v>
      </c>
      <c r="D72" s="150">
        <f t="shared" si="3"/>
        <v>7</v>
      </c>
    </row>
    <row r="73" spans="1:4">
      <c r="A73" s="155" t="s">
        <v>109</v>
      </c>
      <c r="B73" s="149" t="str">
        <f>IFERROR(INDEX($B$23:$B$26,MATCH(3,$J$23:$J$26,0)),"?")</f>
        <v>Suecia</v>
      </c>
      <c r="C73" s="149">
        <f>IFERROR(INDEX($I$23:$I$26,MATCH(3,$J$23:$J$26,0)),0)</f>
        <v>200000474</v>
      </c>
      <c r="D73" s="150">
        <f t="shared" si="3"/>
        <v>1</v>
      </c>
    </row>
    <row r="74" spans="1:4">
      <c r="A74" s="156" t="s">
        <v>120</v>
      </c>
      <c r="B74" s="149" t="str">
        <f>IFERROR(INDEX($B$27:$B$30,MATCH(3,$J$27:$J$30,0)),"?")</f>
        <v>Egito</v>
      </c>
      <c r="C74" s="149">
        <f>IFERROR(INDEX($I$27:$I$30,MATCH(3,$J$27:$J$30,0)),0)</f>
        <v>200000464</v>
      </c>
      <c r="D74" s="150">
        <f t="shared" si="3"/>
        <v>5</v>
      </c>
    </row>
    <row r="75" spans="1:4">
      <c r="A75" s="157" t="s">
        <v>131</v>
      </c>
      <c r="B75" s="149" t="str">
        <f>IFERROR(INDEX($B$31:$B$34,MATCH(3,$J$31:$J$34,0)),"?")</f>
        <v>Arabia Saudita</v>
      </c>
      <c r="C75" s="149">
        <f>IFERROR(INDEX($I$31:$I$34,MATCH(3,$J$31:$J$34,0)),0)</f>
        <v>200000443</v>
      </c>
      <c r="D75" s="150">
        <f t="shared" si="3"/>
        <v>10</v>
      </c>
    </row>
    <row r="76" spans="1:4">
      <c r="A76" s="158" t="s">
        <v>142</v>
      </c>
      <c r="B76" s="149" t="str">
        <f>IFERROR(INDEX($B$35:$B$38,MATCH(3,$J$35:$J$38,0)),"?")</f>
        <v>Noruega</v>
      </c>
      <c r="C76" s="149">
        <f>IFERROR(INDEX($I$35:$I$38,MATCH(3,$J$35:$J$38,0)),0)</f>
        <v>200000472</v>
      </c>
      <c r="D76" s="150">
        <f t="shared" si="3"/>
        <v>3</v>
      </c>
    </row>
    <row r="77" spans="1:4">
      <c r="A77" s="159" t="s">
        <v>153</v>
      </c>
      <c r="B77" s="149" t="str">
        <f>IFERROR(INDEX($B$39:$B$42,MATCH(3,$J$39:$J$42,0)),"?")</f>
        <v>Argelia</v>
      </c>
      <c r="C77" s="149">
        <f>IFERROR(INDEX($I$39:$I$42,MATCH(3,$J$39:$J$42,0)),0)</f>
        <v>200000468</v>
      </c>
      <c r="D77" s="150">
        <f t="shared" si="3"/>
        <v>4</v>
      </c>
    </row>
    <row r="78" spans="1:4">
      <c r="A78" s="160" t="s">
        <v>164</v>
      </c>
      <c r="B78" s="149" t="str">
        <f>IFERROR(INDEX($B$43:$B$46,MATCH(3,$J$43:$J$46,0)),"?")</f>
        <v>RD Congo</v>
      </c>
      <c r="C78" s="149">
        <f>IFERROR(INDEX($I$43:$I$46,MATCH(3,$J$43:$J$46,0)),0)</f>
        <v>200000443</v>
      </c>
      <c r="D78" s="150">
        <f t="shared" si="3"/>
        <v>10</v>
      </c>
    </row>
    <row r="79" spans="1:4">
      <c r="A79" s="161" t="s">
        <v>175</v>
      </c>
      <c r="B79" s="149" t="str">
        <f>IFERROR(INDEX($B$47:$B$50,MATCH(3,$J$47:$J$50,0)),"?")</f>
        <v>Gana</v>
      </c>
      <c r="C79" s="149">
        <f>IFERROR(INDEX($I$47:$I$50,MATCH(3,$J$47:$J$50,0)),0)</f>
        <v>200000448</v>
      </c>
      <c r="D79" s="150">
        <f t="shared" si="3"/>
        <v>9</v>
      </c>
    </row>
    <row r="81" spans="1:2">
      <c r="A81" s="162" t="s">
        <v>432</v>
      </c>
      <c r="B81" s="162" t="s">
        <v>433</v>
      </c>
    </row>
    <row r="82" spans="1:2">
      <c r="A82" s="163">
        <v>1</v>
      </c>
      <c r="B82" s="164" t="str">
        <f>IFERROR(INDEX($B$68:$B$79,MATCH(1,$D$68:$D$79,0)),"?")</f>
        <v>Suecia</v>
      </c>
    </row>
    <row r="83" spans="1:2">
      <c r="A83" s="163">
        <v>2</v>
      </c>
      <c r="B83" s="164" t="str">
        <f>IFERROR(INDEX($B$68:$B$79,MATCH(2,$D$68:$D$79,0)),"?")</f>
        <v>Escocia</v>
      </c>
    </row>
    <row r="84" spans="1:2">
      <c r="A84" s="163">
        <v>3</v>
      </c>
      <c r="B84" s="164" t="str">
        <f>IFERROR(INDEX($B$68:$B$79,MATCH(3,$D$68:$D$79,0)),"?")</f>
        <v>Noruega</v>
      </c>
    </row>
    <row r="85" spans="1:2">
      <c r="A85" s="163">
        <v>4</v>
      </c>
      <c r="B85" s="164" t="str">
        <f>IFERROR(INDEX($B$68:$B$79,MATCH(4,$D$68:$D$79,0)),"?")</f>
        <v>Argelia</v>
      </c>
    </row>
    <row r="86" spans="1:2">
      <c r="A86" s="163">
        <v>5</v>
      </c>
      <c r="B86" s="164" t="str">
        <f>IFERROR(INDEX($B$68:$B$79,MATCH(5,$D$68:$D$79,0)),"?")</f>
        <v>Turquia</v>
      </c>
    </row>
    <row r="87" spans="1:2">
      <c r="A87" s="163">
        <v>6</v>
      </c>
      <c r="B87" s="164" t="str">
        <f>IFERROR(INDEX($B$68:$B$79,MATCH(6,$D$68:$D$79,0)),"?")</f>
        <v>?</v>
      </c>
    </row>
    <row r="88" spans="1:2">
      <c r="A88" s="163">
        <v>7</v>
      </c>
      <c r="B88" s="164" t="str">
        <f>IFERROR(INDEX($B$68:$B$79,MATCH(7,$D$68:$D$79,0)),"?")</f>
        <v>Costa do Marfim</v>
      </c>
    </row>
    <row r="89" spans="1:2">
      <c r="A89" s="163">
        <v>8</v>
      </c>
      <c r="B89" s="164" t="str">
        <f>IFERROR(INDEX($B$68:$B$79,MATCH(8,$D$68:$D$79,0)),"?")</f>
        <v>Canada</v>
      </c>
    </row>
    <row r="92" spans="1:2">
      <c r="A92" s="165" t="s">
        <v>434</v>
      </c>
      <c r="B92" s="166" t="str">
        <f>IF(D68&lt;=8,"A","")&amp;IF(D69&lt;=8,"B","")&amp;IF(D70&lt;=8,"C","")&amp;IF(D71&lt;=8,"D","")&amp;IF(D72&lt;=8,"E","")&amp;IF(D73&lt;=8,"F","")&amp;IF(D74&lt;=8,"G","")&amp;IF(D75&lt;=8,"H","")&amp;IF(D76&lt;=8,"I","")&amp;IF(D77&lt;=8,"J","")&amp;IF(D78&lt;=8,"K","")&amp;IF(D79&lt;=8,"L","")</f>
        <v>BCDEFGIJ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3.95" customHeight="1">
      <c r="A1" s="255" t="s">
        <v>435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22.2" customHeight="1">
      <c r="A2" s="167" t="s">
        <v>436</v>
      </c>
      <c r="B2" s="167" t="s">
        <v>437</v>
      </c>
      <c r="C2" s="167" t="s">
        <v>438</v>
      </c>
      <c r="D2" s="167" t="s">
        <v>439</v>
      </c>
      <c r="E2" s="167" t="s">
        <v>440</v>
      </c>
      <c r="F2" s="167" t="s">
        <v>441</v>
      </c>
      <c r="G2" s="167" t="s">
        <v>442</v>
      </c>
      <c r="H2" s="167" t="s">
        <v>443</v>
      </c>
      <c r="I2" s="167" t="s">
        <v>444</v>
      </c>
    </row>
    <row r="3" spans="1:10">
      <c r="A3" s="168" t="s">
        <v>445</v>
      </c>
      <c r="B3" s="169" t="s">
        <v>446</v>
      </c>
      <c r="C3" s="169" t="s">
        <v>447</v>
      </c>
      <c r="D3" s="169" t="s">
        <v>448</v>
      </c>
      <c r="E3" s="169" t="s">
        <v>449</v>
      </c>
      <c r="F3" s="169" t="s">
        <v>450</v>
      </c>
      <c r="G3" s="169" t="s">
        <v>451</v>
      </c>
      <c r="H3" s="169" t="s">
        <v>452</v>
      </c>
      <c r="I3" s="169" t="s">
        <v>453</v>
      </c>
    </row>
    <row r="4" spans="1:10">
      <c r="A4" s="170" t="s">
        <v>454</v>
      </c>
      <c r="B4" s="108" t="s">
        <v>446</v>
      </c>
      <c r="C4" s="108" t="s">
        <v>447</v>
      </c>
      <c r="D4" s="108" t="s">
        <v>448</v>
      </c>
      <c r="E4" s="108" t="s">
        <v>449</v>
      </c>
      <c r="F4" s="108" t="s">
        <v>450</v>
      </c>
      <c r="G4" s="108" t="s">
        <v>451</v>
      </c>
      <c r="H4" s="108" t="s">
        <v>452</v>
      </c>
      <c r="I4" s="108" t="s">
        <v>453</v>
      </c>
    </row>
    <row r="5" spans="1:10">
      <c r="A5" s="168" t="s">
        <v>455</v>
      </c>
      <c r="B5" s="169" t="s">
        <v>446</v>
      </c>
      <c r="C5" s="169" t="s">
        <v>447</v>
      </c>
      <c r="D5" s="169" t="s">
        <v>448</v>
      </c>
      <c r="E5" s="169" t="s">
        <v>449</v>
      </c>
      <c r="F5" s="169" t="s">
        <v>450</v>
      </c>
      <c r="G5" s="169" t="s">
        <v>451</v>
      </c>
      <c r="H5" s="169" t="s">
        <v>452</v>
      </c>
      <c r="I5" s="169" t="s">
        <v>453</v>
      </c>
    </row>
    <row r="6" spans="1:10">
      <c r="A6" s="170" t="s">
        <v>456</v>
      </c>
      <c r="B6" s="108" t="s">
        <v>446</v>
      </c>
      <c r="C6" s="108" t="s">
        <v>447</v>
      </c>
      <c r="D6" s="108" t="s">
        <v>448</v>
      </c>
      <c r="E6" s="108" t="s">
        <v>449</v>
      </c>
      <c r="F6" s="108" t="s">
        <v>450</v>
      </c>
      <c r="G6" s="108" t="s">
        <v>451</v>
      </c>
      <c r="H6" s="108" t="s">
        <v>452</v>
      </c>
      <c r="I6" s="108" t="s">
        <v>453</v>
      </c>
    </row>
    <row r="7" spans="1:10">
      <c r="A7" s="168" t="s">
        <v>457</v>
      </c>
      <c r="B7" s="169" t="s">
        <v>446</v>
      </c>
      <c r="C7" s="169" t="s">
        <v>447</v>
      </c>
      <c r="D7" s="169" t="s">
        <v>448</v>
      </c>
      <c r="E7" s="169" t="s">
        <v>449</v>
      </c>
      <c r="F7" s="169" t="s">
        <v>450</v>
      </c>
      <c r="G7" s="169" t="s">
        <v>451</v>
      </c>
      <c r="H7" s="169" t="s">
        <v>452</v>
      </c>
      <c r="I7" s="169" t="s">
        <v>453</v>
      </c>
    </row>
    <row r="8" spans="1:10">
      <c r="A8" s="170" t="s">
        <v>458</v>
      </c>
      <c r="B8" s="108" t="s">
        <v>446</v>
      </c>
      <c r="C8" s="108" t="s">
        <v>447</v>
      </c>
      <c r="D8" s="108" t="s">
        <v>448</v>
      </c>
      <c r="E8" s="108" t="s">
        <v>449</v>
      </c>
      <c r="F8" s="108" t="s">
        <v>450</v>
      </c>
      <c r="G8" s="108" t="s">
        <v>451</v>
      </c>
      <c r="H8" s="108" t="s">
        <v>452</v>
      </c>
      <c r="I8" s="108" t="s">
        <v>453</v>
      </c>
    </row>
    <row r="9" spans="1:10">
      <c r="A9" s="168" t="s">
        <v>459</v>
      </c>
      <c r="B9" s="169" t="s">
        <v>446</v>
      </c>
      <c r="C9" s="169" t="s">
        <v>447</v>
      </c>
      <c r="D9" s="169" t="s">
        <v>448</v>
      </c>
      <c r="E9" s="169" t="s">
        <v>449</v>
      </c>
      <c r="F9" s="169" t="s">
        <v>450</v>
      </c>
      <c r="G9" s="169" t="s">
        <v>451</v>
      </c>
      <c r="H9" s="169" t="s">
        <v>452</v>
      </c>
      <c r="I9" s="169" t="s">
        <v>453</v>
      </c>
    </row>
    <row r="10" spans="1:10">
      <c r="A10" s="170" t="s">
        <v>460</v>
      </c>
      <c r="B10" s="108" t="s">
        <v>446</v>
      </c>
      <c r="C10" s="108" t="s">
        <v>447</v>
      </c>
      <c r="D10" s="108" t="s">
        <v>448</v>
      </c>
      <c r="E10" s="108" t="s">
        <v>449</v>
      </c>
      <c r="F10" s="108" t="s">
        <v>450</v>
      </c>
      <c r="G10" s="108" t="s">
        <v>451</v>
      </c>
      <c r="H10" s="108" t="s">
        <v>452</v>
      </c>
      <c r="I10" s="108" t="s">
        <v>453</v>
      </c>
    </row>
    <row r="11" spans="1:10">
      <c r="A11" s="168" t="s">
        <v>461</v>
      </c>
      <c r="B11" s="169" t="s">
        <v>446</v>
      </c>
      <c r="C11" s="169" t="s">
        <v>447</v>
      </c>
      <c r="D11" s="169" t="s">
        <v>448</v>
      </c>
      <c r="E11" s="169" t="s">
        <v>449</v>
      </c>
      <c r="F11" s="169" t="s">
        <v>450</v>
      </c>
      <c r="G11" s="169" t="s">
        <v>451</v>
      </c>
      <c r="H11" s="169" t="s">
        <v>452</v>
      </c>
      <c r="I11" s="169" t="s">
        <v>453</v>
      </c>
    </row>
    <row r="12" spans="1:10">
      <c r="A12" s="170" t="s">
        <v>462</v>
      </c>
      <c r="B12" s="108" t="s">
        <v>449</v>
      </c>
      <c r="C12" s="108" t="s">
        <v>463</v>
      </c>
      <c r="D12" s="108" t="s">
        <v>448</v>
      </c>
      <c r="E12" s="108" t="s">
        <v>452</v>
      </c>
      <c r="F12" s="108" t="s">
        <v>450</v>
      </c>
      <c r="G12" s="108" t="s">
        <v>451</v>
      </c>
      <c r="H12" s="108" t="s">
        <v>453</v>
      </c>
      <c r="I12" s="108" t="s">
        <v>464</v>
      </c>
    </row>
    <row r="13" spans="1:10">
      <c r="A13" s="168" t="s">
        <v>465</v>
      </c>
      <c r="B13" s="169" t="s">
        <v>446</v>
      </c>
      <c r="C13" s="169" t="s">
        <v>447</v>
      </c>
      <c r="D13" s="169" t="s">
        <v>448</v>
      </c>
      <c r="E13" s="169" t="s">
        <v>449</v>
      </c>
      <c r="F13" s="169" t="s">
        <v>450</v>
      </c>
      <c r="G13" s="169" t="s">
        <v>451</v>
      </c>
      <c r="H13" s="169" t="s">
        <v>452</v>
      </c>
      <c r="I13" s="169" t="s">
        <v>453</v>
      </c>
    </row>
    <row r="14" spans="1:10">
      <c r="A14" s="170" t="s">
        <v>466</v>
      </c>
      <c r="B14" s="108" t="s">
        <v>446</v>
      </c>
      <c r="C14" s="108" t="s">
        <v>447</v>
      </c>
      <c r="D14" s="108" t="s">
        <v>448</v>
      </c>
      <c r="E14" s="108" t="s">
        <v>449</v>
      </c>
      <c r="F14" s="108" t="s">
        <v>450</v>
      </c>
      <c r="G14" s="108" t="s">
        <v>451</v>
      </c>
      <c r="H14" s="108" t="s">
        <v>452</v>
      </c>
      <c r="I14" s="108" t="s">
        <v>453</v>
      </c>
    </row>
    <row r="15" spans="1:10">
      <c r="A15" s="168" t="s">
        <v>467</v>
      </c>
      <c r="B15" s="169" t="s">
        <v>449</v>
      </c>
      <c r="C15" s="169" t="s">
        <v>463</v>
      </c>
      <c r="D15" s="169" t="s">
        <v>448</v>
      </c>
      <c r="E15" s="169" t="s">
        <v>452</v>
      </c>
      <c r="F15" s="169" t="s">
        <v>450</v>
      </c>
      <c r="G15" s="169" t="s">
        <v>451</v>
      </c>
      <c r="H15" s="169" t="s">
        <v>453</v>
      </c>
      <c r="I15" s="169" t="s">
        <v>468</v>
      </c>
    </row>
    <row r="16" spans="1:10">
      <c r="A16" s="170" t="s">
        <v>469</v>
      </c>
      <c r="B16" s="108" t="s">
        <v>449</v>
      </c>
      <c r="C16" s="108" t="s">
        <v>463</v>
      </c>
      <c r="D16" s="108" t="s">
        <v>448</v>
      </c>
      <c r="E16" s="108" t="s">
        <v>452</v>
      </c>
      <c r="F16" s="108" t="s">
        <v>450</v>
      </c>
      <c r="G16" s="108" t="s">
        <v>451</v>
      </c>
      <c r="H16" s="108" t="s">
        <v>470</v>
      </c>
      <c r="I16" s="108" t="s">
        <v>453</v>
      </c>
    </row>
    <row r="17" spans="1:9">
      <c r="A17" s="168" t="s">
        <v>471</v>
      </c>
      <c r="B17" s="169" t="s">
        <v>446</v>
      </c>
      <c r="C17" s="169" t="s">
        <v>447</v>
      </c>
      <c r="D17" s="169" t="s">
        <v>448</v>
      </c>
      <c r="E17" s="169" t="s">
        <v>449</v>
      </c>
      <c r="F17" s="169" t="s">
        <v>450</v>
      </c>
      <c r="G17" s="169" t="s">
        <v>451</v>
      </c>
      <c r="H17" s="169" t="s">
        <v>452</v>
      </c>
      <c r="I17" s="169" t="s">
        <v>453</v>
      </c>
    </row>
    <row r="18" spans="1:9">
      <c r="A18" s="170" t="s">
        <v>472</v>
      </c>
      <c r="B18" s="108" t="s">
        <v>446</v>
      </c>
      <c r="C18" s="108" t="s">
        <v>447</v>
      </c>
      <c r="D18" s="108" t="s">
        <v>448</v>
      </c>
      <c r="E18" s="108" t="s">
        <v>449</v>
      </c>
      <c r="F18" s="108" t="s">
        <v>450</v>
      </c>
      <c r="G18" s="108" t="s">
        <v>452</v>
      </c>
      <c r="H18" s="108" t="s">
        <v>453</v>
      </c>
      <c r="I18" s="108" t="s">
        <v>464</v>
      </c>
    </row>
    <row r="19" spans="1:9">
      <c r="A19" s="168" t="s">
        <v>473</v>
      </c>
      <c r="B19" s="169" t="s">
        <v>446</v>
      </c>
      <c r="C19" s="169" t="s">
        <v>447</v>
      </c>
      <c r="D19" s="169" t="s">
        <v>448</v>
      </c>
      <c r="E19" s="169" t="s">
        <v>449</v>
      </c>
      <c r="F19" s="169" t="s">
        <v>450</v>
      </c>
      <c r="G19" s="169" t="s">
        <v>451</v>
      </c>
      <c r="H19" s="169" t="s">
        <v>452</v>
      </c>
      <c r="I19" s="169" t="s">
        <v>453</v>
      </c>
    </row>
    <row r="20" spans="1:9">
      <c r="A20" s="170" t="s">
        <v>474</v>
      </c>
      <c r="B20" s="108" t="s">
        <v>446</v>
      </c>
      <c r="C20" s="108" t="s">
        <v>447</v>
      </c>
      <c r="D20" s="108" t="s">
        <v>448</v>
      </c>
      <c r="E20" s="108" t="s">
        <v>449</v>
      </c>
      <c r="F20" s="108" t="s">
        <v>450</v>
      </c>
      <c r="G20" s="108" t="s">
        <v>451</v>
      </c>
      <c r="H20" s="108" t="s">
        <v>452</v>
      </c>
      <c r="I20" s="108" t="s">
        <v>453</v>
      </c>
    </row>
    <row r="21" spans="1:9">
      <c r="A21" s="168" t="s">
        <v>475</v>
      </c>
      <c r="B21" s="169" t="s">
        <v>446</v>
      </c>
      <c r="C21" s="169" t="s">
        <v>447</v>
      </c>
      <c r="D21" s="169" t="s">
        <v>448</v>
      </c>
      <c r="E21" s="169" t="s">
        <v>449</v>
      </c>
      <c r="F21" s="169" t="s">
        <v>450</v>
      </c>
      <c r="G21" s="169" t="s">
        <v>451</v>
      </c>
      <c r="H21" s="169" t="s">
        <v>452</v>
      </c>
      <c r="I21" s="169" t="s">
        <v>453</v>
      </c>
    </row>
    <row r="22" spans="1:9">
      <c r="A22" s="170" t="s">
        <v>476</v>
      </c>
      <c r="B22" s="108" t="s">
        <v>453</v>
      </c>
      <c r="C22" s="108" t="s">
        <v>447</v>
      </c>
      <c r="D22" s="108" t="s">
        <v>448</v>
      </c>
      <c r="E22" s="108" t="s">
        <v>449</v>
      </c>
      <c r="F22" s="108" t="s">
        <v>450</v>
      </c>
      <c r="G22" s="108" t="s">
        <v>452</v>
      </c>
      <c r="H22" s="108" t="s">
        <v>464</v>
      </c>
      <c r="I22" s="108" t="s">
        <v>463</v>
      </c>
    </row>
    <row r="23" spans="1:9">
      <c r="A23" s="168" t="s">
        <v>477</v>
      </c>
      <c r="B23" s="169" t="s">
        <v>446</v>
      </c>
      <c r="C23" s="169" t="s">
        <v>447</v>
      </c>
      <c r="D23" s="169" t="s">
        <v>448</v>
      </c>
      <c r="E23" s="169" t="s">
        <v>449</v>
      </c>
      <c r="F23" s="169" t="s">
        <v>450</v>
      </c>
      <c r="G23" s="169" t="s">
        <v>451</v>
      </c>
      <c r="H23" s="169" t="s">
        <v>452</v>
      </c>
      <c r="I23" s="169" t="s">
        <v>453</v>
      </c>
    </row>
    <row r="24" spans="1:9">
      <c r="A24" s="170" t="s">
        <v>478</v>
      </c>
      <c r="B24" s="108" t="s">
        <v>446</v>
      </c>
      <c r="C24" s="108" t="s">
        <v>447</v>
      </c>
      <c r="D24" s="108" t="s">
        <v>448</v>
      </c>
      <c r="E24" s="108" t="s">
        <v>449</v>
      </c>
      <c r="F24" s="108" t="s">
        <v>450</v>
      </c>
      <c r="G24" s="108" t="s">
        <v>451</v>
      </c>
      <c r="H24" s="108" t="s">
        <v>452</v>
      </c>
      <c r="I24" s="108" t="s">
        <v>453</v>
      </c>
    </row>
    <row r="25" spans="1:9">
      <c r="A25" s="168" t="s">
        <v>479</v>
      </c>
      <c r="B25" s="169" t="s">
        <v>446</v>
      </c>
      <c r="C25" s="169" t="s">
        <v>447</v>
      </c>
      <c r="D25" s="169" t="s">
        <v>448</v>
      </c>
      <c r="E25" s="169" t="s">
        <v>449</v>
      </c>
      <c r="F25" s="169" t="s">
        <v>450</v>
      </c>
      <c r="G25" s="169" t="s">
        <v>451</v>
      </c>
      <c r="H25" s="169" t="s">
        <v>452</v>
      </c>
      <c r="I25" s="169" t="s">
        <v>453</v>
      </c>
    </row>
    <row r="26" spans="1:9">
      <c r="A26" s="170" t="s">
        <v>480</v>
      </c>
      <c r="B26" s="108" t="s">
        <v>446</v>
      </c>
      <c r="C26" s="108" t="s">
        <v>447</v>
      </c>
      <c r="D26" s="108" t="s">
        <v>448</v>
      </c>
      <c r="E26" s="108" t="s">
        <v>449</v>
      </c>
      <c r="F26" s="108" t="s">
        <v>450</v>
      </c>
      <c r="G26" s="108" t="s">
        <v>451</v>
      </c>
      <c r="H26" s="108" t="s">
        <v>452</v>
      </c>
      <c r="I26" s="108" t="s">
        <v>453</v>
      </c>
    </row>
    <row r="27" spans="1:9">
      <c r="A27" s="168" t="s">
        <v>481</v>
      </c>
      <c r="B27" s="169" t="s">
        <v>446</v>
      </c>
      <c r="C27" s="169" t="s">
        <v>447</v>
      </c>
      <c r="D27" s="169" t="s">
        <v>448</v>
      </c>
      <c r="E27" s="169" t="s">
        <v>449</v>
      </c>
      <c r="F27" s="169" t="s">
        <v>450</v>
      </c>
      <c r="G27" s="169" t="s">
        <v>451</v>
      </c>
      <c r="H27" s="169" t="s">
        <v>452</v>
      </c>
      <c r="I27" s="169" t="s">
        <v>453</v>
      </c>
    </row>
    <row r="28" spans="1:9">
      <c r="A28" s="170" t="s">
        <v>482</v>
      </c>
      <c r="B28" s="108" t="s">
        <v>446</v>
      </c>
      <c r="C28" s="108" t="s">
        <v>447</v>
      </c>
      <c r="D28" s="108" t="s">
        <v>448</v>
      </c>
      <c r="E28" s="108" t="s">
        <v>449</v>
      </c>
      <c r="F28" s="108" t="s">
        <v>450</v>
      </c>
      <c r="G28" s="108" t="s">
        <v>451</v>
      </c>
      <c r="H28" s="108" t="s">
        <v>452</v>
      </c>
      <c r="I28" s="108" t="s">
        <v>453</v>
      </c>
    </row>
    <row r="29" spans="1:9">
      <c r="A29" s="168" t="s">
        <v>483</v>
      </c>
      <c r="B29" s="169" t="s">
        <v>446</v>
      </c>
      <c r="C29" s="169" t="s">
        <v>453</v>
      </c>
      <c r="D29" s="169" t="s">
        <v>448</v>
      </c>
      <c r="E29" s="169" t="s">
        <v>449</v>
      </c>
      <c r="F29" s="169" t="s">
        <v>450</v>
      </c>
      <c r="G29" s="169" t="s">
        <v>452</v>
      </c>
      <c r="H29" s="169" t="s">
        <v>464</v>
      </c>
      <c r="I29" s="169" t="s">
        <v>468</v>
      </c>
    </row>
    <row r="30" spans="1:9">
      <c r="A30" s="170" t="s">
        <v>484</v>
      </c>
      <c r="B30" s="108" t="s">
        <v>446</v>
      </c>
      <c r="C30" s="108" t="s">
        <v>453</v>
      </c>
      <c r="D30" s="108" t="s">
        <v>448</v>
      </c>
      <c r="E30" s="108" t="s">
        <v>449</v>
      </c>
      <c r="F30" s="108" t="s">
        <v>450</v>
      </c>
      <c r="G30" s="108" t="s">
        <v>452</v>
      </c>
      <c r="H30" s="108" t="s">
        <v>470</v>
      </c>
      <c r="I30" s="108" t="s">
        <v>464</v>
      </c>
    </row>
    <row r="31" spans="1:9">
      <c r="A31" s="168" t="s">
        <v>485</v>
      </c>
      <c r="B31" s="169" t="s">
        <v>446</v>
      </c>
      <c r="C31" s="169" t="s">
        <v>463</v>
      </c>
      <c r="D31" s="169" t="s">
        <v>448</v>
      </c>
      <c r="E31" s="169" t="s">
        <v>449</v>
      </c>
      <c r="F31" s="169" t="s">
        <v>450</v>
      </c>
      <c r="G31" s="169" t="s">
        <v>452</v>
      </c>
      <c r="H31" s="169" t="s">
        <v>453</v>
      </c>
      <c r="I31" s="169" t="s">
        <v>468</v>
      </c>
    </row>
    <row r="32" spans="1:9">
      <c r="A32" s="170" t="s">
        <v>486</v>
      </c>
      <c r="B32" s="108" t="s">
        <v>446</v>
      </c>
      <c r="C32" s="108" t="s">
        <v>463</v>
      </c>
      <c r="D32" s="108" t="s">
        <v>448</v>
      </c>
      <c r="E32" s="108" t="s">
        <v>449</v>
      </c>
      <c r="F32" s="108" t="s">
        <v>450</v>
      </c>
      <c r="G32" s="108" t="s">
        <v>452</v>
      </c>
      <c r="H32" s="108" t="s">
        <v>470</v>
      </c>
      <c r="I32" s="108" t="s">
        <v>453</v>
      </c>
    </row>
    <row r="33" spans="1:9">
      <c r="A33" s="168" t="s">
        <v>487</v>
      </c>
      <c r="B33" s="169" t="s">
        <v>446</v>
      </c>
      <c r="C33" s="169" t="s">
        <v>453</v>
      </c>
      <c r="D33" s="169" t="s">
        <v>448</v>
      </c>
      <c r="E33" s="169" t="s">
        <v>449</v>
      </c>
      <c r="F33" s="169" t="s">
        <v>450</v>
      </c>
      <c r="G33" s="169" t="s">
        <v>452</v>
      </c>
      <c r="H33" s="169" t="s">
        <v>470</v>
      </c>
      <c r="I33" s="169" t="s">
        <v>468</v>
      </c>
    </row>
    <row r="34" spans="1:9">
      <c r="A34" s="170" t="s">
        <v>488</v>
      </c>
      <c r="B34" s="108" t="s">
        <v>446</v>
      </c>
      <c r="C34" s="108" t="s">
        <v>447</v>
      </c>
      <c r="D34" s="108" t="s">
        <v>448</v>
      </c>
      <c r="E34" s="108" t="s">
        <v>449</v>
      </c>
      <c r="F34" s="108" t="s">
        <v>450</v>
      </c>
      <c r="G34" s="108" t="s">
        <v>451</v>
      </c>
      <c r="H34" s="108" t="s">
        <v>452</v>
      </c>
      <c r="I34" s="108" t="s">
        <v>453</v>
      </c>
    </row>
    <row r="35" spans="1:9">
      <c r="A35" s="168" t="s">
        <v>489</v>
      </c>
      <c r="B35" s="169" t="s">
        <v>446</v>
      </c>
      <c r="C35" s="169" t="s">
        <v>447</v>
      </c>
      <c r="D35" s="169" t="s">
        <v>448</v>
      </c>
      <c r="E35" s="169" t="s">
        <v>449</v>
      </c>
      <c r="F35" s="169" t="s">
        <v>450</v>
      </c>
      <c r="G35" s="169" t="s">
        <v>451</v>
      </c>
      <c r="H35" s="169" t="s">
        <v>452</v>
      </c>
      <c r="I35" s="169" t="s">
        <v>453</v>
      </c>
    </row>
    <row r="36" spans="1:9">
      <c r="A36" s="170" t="s">
        <v>490</v>
      </c>
      <c r="B36" s="108" t="s">
        <v>446</v>
      </c>
      <c r="C36" s="108" t="s">
        <v>447</v>
      </c>
      <c r="D36" s="108" t="s">
        <v>448</v>
      </c>
      <c r="E36" s="108" t="s">
        <v>449</v>
      </c>
      <c r="F36" s="108" t="s">
        <v>450</v>
      </c>
      <c r="G36" s="108" t="s">
        <v>451</v>
      </c>
      <c r="H36" s="108" t="s">
        <v>452</v>
      </c>
      <c r="I36" s="108" t="s">
        <v>453</v>
      </c>
    </row>
    <row r="37" spans="1:9">
      <c r="A37" s="168" t="s">
        <v>491</v>
      </c>
      <c r="B37" s="169" t="s">
        <v>446</v>
      </c>
      <c r="C37" s="169" t="s">
        <v>447</v>
      </c>
      <c r="D37" s="169" t="s">
        <v>448</v>
      </c>
      <c r="E37" s="169" t="s">
        <v>449</v>
      </c>
      <c r="F37" s="169" t="s">
        <v>450</v>
      </c>
      <c r="G37" s="169" t="s">
        <v>451</v>
      </c>
      <c r="H37" s="169" t="s">
        <v>452</v>
      </c>
      <c r="I37" s="169" t="s">
        <v>453</v>
      </c>
    </row>
    <row r="38" spans="1:9">
      <c r="A38" s="170" t="s">
        <v>492</v>
      </c>
      <c r="B38" s="108" t="s">
        <v>446</v>
      </c>
      <c r="C38" s="108" t="s">
        <v>447</v>
      </c>
      <c r="D38" s="108" t="s">
        <v>448</v>
      </c>
      <c r="E38" s="108" t="s">
        <v>449</v>
      </c>
      <c r="F38" s="108" t="s">
        <v>450</v>
      </c>
      <c r="G38" s="108" t="s">
        <v>451</v>
      </c>
      <c r="H38" s="108" t="s">
        <v>452</v>
      </c>
      <c r="I38" s="108" t="s">
        <v>464</v>
      </c>
    </row>
    <row r="39" spans="1:9">
      <c r="A39" s="168" t="s">
        <v>493</v>
      </c>
      <c r="B39" s="169" t="s">
        <v>446</v>
      </c>
      <c r="C39" s="169" t="s">
        <v>447</v>
      </c>
      <c r="D39" s="169" t="s">
        <v>448</v>
      </c>
      <c r="E39" s="169" t="s">
        <v>449</v>
      </c>
      <c r="F39" s="169" t="s">
        <v>450</v>
      </c>
      <c r="G39" s="169" t="s">
        <v>451</v>
      </c>
      <c r="H39" s="169" t="s">
        <v>452</v>
      </c>
      <c r="I39" s="169" t="s">
        <v>463</v>
      </c>
    </row>
    <row r="40" spans="1:9">
      <c r="A40" s="170" t="s">
        <v>494</v>
      </c>
      <c r="B40" s="108" t="s">
        <v>446</v>
      </c>
      <c r="C40" s="108" t="s">
        <v>447</v>
      </c>
      <c r="D40" s="108" t="s">
        <v>448</v>
      </c>
      <c r="E40" s="108" t="s">
        <v>449</v>
      </c>
      <c r="F40" s="108" t="s">
        <v>450</v>
      </c>
      <c r="G40" s="108" t="s">
        <v>451</v>
      </c>
      <c r="H40" s="108" t="s">
        <v>452</v>
      </c>
      <c r="I40" s="108" t="s">
        <v>468</v>
      </c>
    </row>
    <row r="41" spans="1:9">
      <c r="A41" s="168" t="s">
        <v>495</v>
      </c>
      <c r="B41" s="169" t="s">
        <v>446</v>
      </c>
      <c r="C41" s="169" t="s">
        <v>447</v>
      </c>
      <c r="D41" s="169" t="s">
        <v>448</v>
      </c>
      <c r="E41" s="169" t="s">
        <v>449</v>
      </c>
      <c r="F41" s="169" t="s">
        <v>450</v>
      </c>
      <c r="G41" s="169" t="s">
        <v>451</v>
      </c>
      <c r="H41" s="169" t="s">
        <v>452</v>
      </c>
      <c r="I41" s="169" t="s">
        <v>470</v>
      </c>
    </row>
    <row r="42" spans="1:9">
      <c r="A42" s="170" t="s">
        <v>496</v>
      </c>
      <c r="B42" s="108" t="s">
        <v>449</v>
      </c>
      <c r="C42" s="108" t="s">
        <v>447</v>
      </c>
      <c r="D42" s="108" t="s">
        <v>448</v>
      </c>
      <c r="E42" s="108" t="s">
        <v>452</v>
      </c>
      <c r="F42" s="108" t="s">
        <v>450</v>
      </c>
      <c r="G42" s="108" t="s">
        <v>451</v>
      </c>
      <c r="H42" s="108" t="s">
        <v>464</v>
      </c>
      <c r="I42" s="108" t="s">
        <v>463</v>
      </c>
    </row>
    <row r="43" spans="1:9">
      <c r="A43" s="168" t="s">
        <v>497</v>
      </c>
      <c r="B43" s="169" t="s">
        <v>449</v>
      </c>
      <c r="C43" s="169" t="s">
        <v>447</v>
      </c>
      <c r="D43" s="169" t="s">
        <v>448</v>
      </c>
      <c r="E43" s="169" t="s">
        <v>452</v>
      </c>
      <c r="F43" s="169" t="s">
        <v>450</v>
      </c>
      <c r="G43" s="169" t="s">
        <v>451</v>
      </c>
      <c r="H43" s="169" t="s">
        <v>464</v>
      </c>
      <c r="I43" s="169" t="s">
        <v>468</v>
      </c>
    </row>
    <row r="44" spans="1:9">
      <c r="A44" s="170" t="s">
        <v>498</v>
      </c>
      <c r="B44" s="108" t="s">
        <v>449</v>
      </c>
      <c r="C44" s="108" t="s">
        <v>447</v>
      </c>
      <c r="D44" s="108" t="s">
        <v>448</v>
      </c>
      <c r="E44" s="108" t="s">
        <v>452</v>
      </c>
      <c r="F44" s="108" t="s">
        <v>450</v>
      </c>
      <c r="G44" s="108" t="s">
        <v>451</v>
      </c>
      <c r="H44" s="108" t="s">
        <v>470</v>
      </c>
      <c r="I44" s="108" t="s">
        <v>464</v>
      </c>
    </row>
    <row r="45" spans="1:9">
      <c r="A45" s="168" t="s">
        <v>499</v>
      </c>
      <c r="B45" s="169" t="s">
        <v>449</v>
      </c>
      <c r="C45" s="169" t="s">
        <v>447</v>
      </c>
      <c r="D45" s="169" t="s">
        <v>448</v>
      </c>
      <c r="E45" s="169" t="s">
        <v>452</v>
      </c>
      <c r="F45" s="169" t="s">
        <v>450</v>
      </c>
      <c r="G45" s="169" t="s">
        <v>451</v>
      </c>
      <c r="H45" s="169" t="s">
        <v>463</v>
      </c>
      <c r="I45" s="169" t="s">
        <v>468</v>
      </c>
    </row>
    <row r="46" spans="1:9">
      <c r="A46" s="170" t="s">
        <v>500</v>
      </c>
      <c r="B46" s="108" t="s">
        <v>449</v>
      </c>
      <c r="C46" s="108" t="s">
        <v>447</v>
      </c>
      <c r="D46" s="108" t="s">
        <v>448</v>
      </c>
      <c r="E46" s="108" t="s">
        <v>452</v>
      </c>
      <c r="F46" s="108" t="s">
        <v>450</v>
      </c>
      <c r="G46" s="108" t="s">
        <v>451</v>
      </c>
      <c r="H46" s="108" t="s">
        <v>470</v>
      </c>
      <c r="I46" s="108" t="s">
        <v>463</v>
      </c>
    </row>
    <row r="47" spans="1:9">
      <c r="A47" s="168" t="s">
        <v>501</v>
      </c>
      <c r="B47" s="169" t="s">
        <v>449</v>
      </c>
      <c r="C47" s="169" t="s">
        <v>447</v>
      </c>
      <c r="D47" s="169" t="s">
        <v>448</v>
      </c>
      <c r="E47" s="169" t="s">
        <v>452</v>
      </c>
      <c r="F47" s="169" t="s">
        <v>450</v>
      </c>
      <c r="G47" s="169" t="s">
        <v>451</v>
      </c>
      <c r="H47" s="169" t="s">
        <v>470</v>
      </c>
      <c r="I47" s="169" t="s">
        <v>468</v>
      </c>
    </row>
    <row r="48" spans="1:9">
      <c r="A48" s="170" t="s">
        <v>502</v>
      </c>
      <c r="B48" s="108" t="s">
        <v>446</v>
      </c>
      <c r="C48" s="108" t="s">
        <v>463</v>
      </c>
      <c r="D48" s="108" t="s">
        <v>448</v>
      </c>
      <c r="E48" s="108" t="s">
        <v>449</v>
      </c>
      <c r="F48" s="108" t="s">
        <v>450</v>
      </c>
      <c r="G48" s="108" t="s">
        <v>451</v>
      </c>
      <c r="H48" s="108" t="s">
        <v>452</v>
      </c>
      <c r="I48" s="108" t="s">
        <v>464</v>
      </c>
    </row>
    <row r="49" spans="1:9">
      <c r="A49" s="168" t="s">
        <v>503</v>
      </c>
      <c r="B49" s="169" t="s">
        <v>446</v>
      </c>
      <c r="C49" s="169" t="s">
        <v>451</v>
      </c>
      <c r="D49" s="169" t="s">
        <v>448</v>
      </c>
      <c r="E49" s="169" t="s">
        <v>449</v>
      </c>
      <c r="F49" s="169" t="s">
        <v>450</v>
      </c>
      <c r="G49" s="169" t="s">
        <v>452</v>
      </c>
      <c r="H49" s="169" t="s">
        <v>464</v>
      </c>
      <c r="I49" s="169" t="s">
        <v>468</v>
      </c>
    </row>
    <row r="50" spans="1:9">
      <c r="A50" s="170" t="s">
        <v>504</v>
      </c>
      <c r="B50" s="108" t="s">
        <v>446</v>
      </c>
      <c r="C50" s="108" t="s">
        <v>451</v>
      </c>
      <c r="D50" s="108" t="s">
        <v>448</v>
      </c>
      <c r="E50" s="108" t="s">
        <v>449</v>
      </c>
      <c r="F50" s="108" t="s">
        <v>450</v>
      </c>
      <c r="G50" s="108" t="s">
        <v>452</v>
      </c>
      <c r="H50" s="108" t="s">
        <v>470</v>
      </c>
      <c r="I50" s="108" t="s">
        <v>464</v>
      </c>
    </row>
    <row r="51" spans="1:9">
      <c r="A51" s="168" t="s">
        <v>505</v>
      </c>
      <c r="B51" s="169" t="s">
        <v>446</v>
      </c>
      <c r="C51" s="169" t="s">
        <v>463</v>
      </c>
      <c r="D51" s="169" t="s">
        <v>448</v>
      </c>
      <c r="E51" s="169" t="s">
        <v>449</v>
      </c>
      <c r="F51" s="169" t="s">
        <v>450</v>
      </c>
      <c r="G51" s="169" t="s">
        <v>451</v>
      </c>
      <c r="H51" s="169" t="s">
        <v>452</v>
      </c>
      <c r="I51" s="169" t="s">
        <v>468</v>
      </c>
    </row>
    <row r="52" spans="1:9">
      <c r="A52" s="170" t="s">
        <v>506</v>
      </c>
      <c r="B52" s="108" t="s">
        <v>446</v>
      </c>
      <c r="C52" s="108" t="s">
        <v>463</v>
      </c>
      <c r="D52" s="108" t="s">
        <v>448</v>
      </c>
      <c r="E52" s="108" t="s">
        <v>449</v>
      </c>
      <c r="F52" s="108" t="s">
        <v>450</v>
      </c>
      <c r="G52" s="108" t="s">
        <v>452</v>
      </c>
      <c r="H52" s="108" t="s">
        <v>470</v>
      </c>
      <c r="I52" s="108" t="s">
        <v>451</v>
      </c>
    </row>
    <row r="53" spans="1:9">
      <c r="A53" s="168" t="s">
        <v>507</v>
      </c>
      <c r="B53" s="169" t="s">
        <v>446</v>
      </c>
      <c r="C53" s="169" t="s">
        <v>451</v>
      </c>
      <c r="D53" s="169" t="s">
        <v>448</v>
      </c>
      <c r="E53" s="169" t="s">
        <v>449</v>
      </c>
      <c r="F53" s="169" t="s">
        <v>450</v>
      </c>
      <c r="G53" s="169" t="s">
        <v>452</v>
      </c>
      <c r="H53" s="169" t="s">
        <v>470</v>
      </c>
      <c r="I53" s="169" t="s">
        <v>468</v>
      </c>
    </row>
    <row r="54" spans="1:9">
      <c r="A54" s="170" t="s">
        <v>508</v>
      </c>
      <c r="B54" s="108" t="s">
        <v>449</v>
      </c>
      <c r="C54" s="108" t="s">
        <v>463</v>
      </c>
      <c r="D54" s="108" t="s">
        <v>448</v>
      </c>
      <c r="E54" s="108" t="s">
        <v>452</v>
      </c>
      <c r="F54" s="108" t="s">
        <v>450</v>
      </c>
      <c r="G54" s="108" t="s">
        <v>451</v>
      </c>
      <c r="H54" s="108" t="s">
        <v>464</v>
      </c>
      <c r="I54" s="108" t="s">
        <v>468</v>
      </c>
    </row>
    <row r="55" spans="1:9">
      <c r="A55" s="168" t="s">
        <v>509</v>
      </c>
      <c r="B55" s="169" t="s">
        <v>449</v>
      </c>
      <c r="C55" s="169" t="s">
        <v>463</v>
      </c>
      <c r="D55" s="169" t="s">
        <v>448</v>
      </c>
      <c r="E55" s="169" t="s">
        <v>452</v>
      </c>
      <c r="F55" s="169" t="s">
        <v>450</v>
      </c>
      <c r="G55" s="169" t="s">
        <v>451</v>
      </c>
      <c r="H55" s="169" t="s">
        <v>470</v>
      </c>
      <c r="I55" s="169" t="s">
        <v>464</v>
      </c>
    </row>
    <row r="56" spans="1:9">
      <c r="A56" s="170" t="s">
        <v>510</v>
      </c>
      <c r="B56" s="108" t="s">
        <v>449</v>
      </c>
      <c r="C56" s="108" t="s">
        <v>464</v>
      </c>
      <c r="D56" s="108" t="s">
        <v>448</v>
      </c>
      <c r="E56" s="108" t="s">
        <v>452</v>
      </c>
      <c r="F56" s="108" t="s">
        <v>450</v>
      </c>
      <c r="G56" s="108" t="s">
        <v>451</v>
      </c>
      <c r="H56" s="108" t="s">
        <v>470</v>
      </c>
      <c r="I56" s="108" t="s">
        <v>468</v>
      </c>
    </row>
    <row r="57" spans="1:9">
      <c r="A57" s="168" t="s">
        <v>511</v>
      </c>
      <c r="B57" s="169" t="s">
        <v>446</v>
      </c>
      <c r="C57" s="169" t="s">
        <v>447</v>
      </c>
      <c r="D57" s="169" t="s">
        <v>448</v>
      </c>
      <c r="E57" s="169" t="s">
        <v>449</v>
      </c>
      <c r="F57" s="169" t="s">
        <v>450</v>
      </c>
      <c r="G57" s="169" t="s">
        <v>451</v>
      </c>
      <c r="H57" s="169" t="s">
        <v>452</v>
      </c>
      <c r="I57" s="169" t="s">
        <v>453</v>
      </c>
    </row>
    <row r="58" spans="1:9">
      <c r="A58" s="170" t="s">
        <v>512</v>
      </c>
      <c r="B58" s="108" t="s">
        <v>446</v>
      </c>
      <c r="C58" s="108" t="s">
        <v>447</v>
      </c>
      <c r="D58" s="108" t="s">
        <v>448</v>
      </c>
      <c r="E58" s="108" t="s">
        <v>449</v>
      </c>
      <c r="F58" s="108" t="s">
        <v>450</v>
      </c>
      <c r="G58" s="108" t="s">
        <v>452</v>
      </c>
      <c r="H58" s="108" t="s">
        <v>464</v>
      </c>
      <c r="I58" s="108" t="s">
        <v>463</v>
      </c>
    </row>
    <row r="59" spans="1:9">
      <c r="A59" s="168" t="s">
        <v>513</v>
      </c>
      <c r="B59" s="169" t="s">
        <v>446</v>
      </c>
      <c r="C59" s="169" t="s">
        <v>447</v>
      </c>
      <c r="D59" s="169" t="s">
        <v>448</v>
      </c>
      <c r="E59" s="169" t="s">
        <v>449</v>
      </c>
      <c r="F59" s="169" t="s">
        <v>450</v>
      </c>
      <c r="G59" s="169" t="s">
        <v>452</v>
      </c>
      <c r="H59" s="169" t="s">
        <v>464</v>
      </c>
      <c r="I59" s="169" t="s">
        <v>468</v>
      </c>
    </row>
    <row r="60" spans="1:9">
      <c r="A60" s="170" t="s">
        <v>514</v>
      </c>
      <c r="B60" s="108" t="s">
        <v>446</v>
      </c>
      <c r="C60" s="108" t="s">
        <v>447</v>
      </c>
      <c r="D60" s="108" t="s">
        <v>448</v>
      </c>
      <c r="E60" s="108" t="s">
        <v>449</v>
      </c>
      <c r="F60" s="108" t="s">
        <v>450</v>
      </c>
      <c r="G60" s="108" t="s">
        <v>452</v>
      </c>
      <c r="H60" s="108" t="s">
        <v>470</v>
      </c>
      <c r="I60" s="108" t="s">
        <v>464</v>
      </c>
    </row>
    <row r="61" spans="1:9">
      <c r="A61" s="168" t="s">
        <v>515</v>
      </c>
      <c r="B61" s="169" t="s">
        <v>446</v>
      </c>
      <c r="C61" s="169" t="s">
        <v>447</v>
      </c>
      <c r="D61" s="169" t="s">
        <v>448</v>
      </c>
      <c r="E61" s="169" t="s">
        <v>449</v>
      </c>
      <c r="F61" s="169" t="s">
        <v>450</v>
      </c>
      <c r="G61" s="169" t="s">
        <v>452</v>
      </c>
      <c r="H61" s="169" t="s">
        <v>463</v>
      </c>
      <c r="I61" s="169" t="s">
        <v>468</v>
      </c>
    </row>
    <row r="62" spans="1:9">
      <c r="A62" s="170" t="s">
        <v>516</v>
      </c>
      <c r="B62" s="108" t="s">
        <v>446</v>
      </c>
      <c r="C62" s="108" t="s">
        <v>447</v>
      </c>
      <c r="D62" s="108" t="s">
        <v>448</v>
      </c>
      <c r="E62" s="108" t="s">
        <v>449</v>
      </c>
      <c r="F62" s="108" t="s">
        <v>450</v>
      </c>
      <c r="G62" s="108" t="s">
        <v>452</v>
      </c>
      <c r="H62" s="108" t="s">
        <v>470</v>
      </c>
      <c r="I62" s="108" t="s">
        <v>463</v>
      </c>
    </row>
    <row r="63" spans="1:9">
      <c r="A63" s="168" t="s">
        <v>517</v>
      </c>
      <c r="B63" s="169" t="s">
        <v>446</v>
      </c>
      <c r="C63" s="169" t="s">
        <v>447</v>
      </c>
      <c r="D63" s="169" t="s">
        <v>448</v>
      </c>
      <c r="E63" s="169" t="s">
        <v>449</v>
      </c>
      <c r="F63" s="169" t="s">
        <v>450</v>
      </c>
      <c r="G63" s="169" t="s">
        <v>452</v>
      </c>
      <c r="H63" s="169" t="s">
        <v>470</v>
      </c>
      <c r="I63" s="169" t="s">
        <v>468</v>
      </c>
    </row>
    <row r="64" spans="1:9">
      <c r="A64" s="170" t="s">
        <v>518</v>
      </c>
      <c r="B64" s="108" t="s">
        <v>446</v>
      </c>
      <c r="C64" s="108" t="s">
        <v>447</v>
      </c>
      <c r="D64" s="108" t="s">
        <v>448</v>
      </c>
      <c r="E64" s="108" t="s">
        <v>449</v>
      </c>
      <c r="F64" s="108" t="s">
        <v>450</v>
      </c>
      <c r="G64" s="108" t="s">
        <v>451</v>
      </c>
      <c r="H64" s="108" t="s">
        <v>452</v>
      </c>
      <c r="I64" s="108" t="s">
        <v>453</v>
      </c>
    </row>
    <row r="65" spans="1:9">
      <c r="A65" s="168" t="s">
        <v>519</v>
      </c>
      <c r="B65" s="169" t="s">
        <v>446</v>
      </c>
      <c r="C65" s="169" t="s">
        <v>447</v>
      </c>
      <c r="D65" s="169" t="s">
        <v>448</v>
      </c>
      <c r="E65" s="169" t="s">
        <v>449</v>
      </c>
      <c r="F65" s="169" t="s">
        <v>450</v>
      </c>
      <c r="G65" s="169" t="s">
        <v>451</v>
      </c>
      <c r="H65" s="169" t="s">
        <v>452</v>
      </c>
      <c r="I65" s="169" t="s">
        <v>453</v>
      </c>
    </row>
    <row r="66" spans="1:9">
      <c r="A66" s="170" t="s">
        <v>520</v>
      </c>
      <c r="B66" s="108" t="s">
        <v>464</v>
      </c>
      <c r="C66" s="108" t="s">
        <v>447</v>
      </c>
      <c r="D66" s="108" t="s">
        <v>448</v>
      </c>
      <c r="E66" s="108" t="s">
        <v>449</v>
      </c>
      <c r="F66" s="108" t="s">
        <v>450</v>
      </c>
      <c r="G66" s="108" t="s">
        <v>452</v>
      </c>
      <c r="H66" s="108" t="s">
        <v>470</v>
      </c>
      <c r="I66" s="108" t="s">
        <v>468</v>
      </c>
    </row>
    <row r="67" spans="1:9">
      <c r="A67" s="168" t="s">
        <v>521</v>
      </c>
      <c r="B67" s="169" t="s">
        <v>449</v>
      </c>
      <c r="C67" s="169" t="s">
        <v>463</v>
      </c>
      <c r="D67" s="169" t="s">
        <v>448</v>
      </c>
      <c r="E67" s="169" t="s">
        <v>452</v>
      </c>
      <c r="F67" s="169" t="s">
        <v>450</v>
      </c>
      <c r="G67" s="169" t="s">
        <v>447</v>
      </c>
      <c r="H67" s="169" t="s">
        <v>470</v>
      </c>
      <c r="I67" s="169" t="s">
        <v>468</v>
      </c>
    </row>
    <row r="68" spans="1:9">
      <c r="A68" s="170" t="s">
        <v>522</v>
      </c>
      <c r="B68" s="108" t="s">
        <v>446</v>
      </c>
      <c r="C68" s="108" t="s">
        <v>463</v>
      </c>
      <c r="D68" s="108" t="s">
        <v>448</v>
      </c>
      <c r="E68" s="108" t="s">
        <v>449</v>
      </c>
      <c r="F68" s="108" t="s">
        <v>450</v>
      </c>
      <c r="G68" s="108" t="s">
        <v>452</v>
      </c>
      <c r="H68" s="108" t="s">
        <v>464</v>
      </c>
      <c r="I68" s="108" t="s">
        <v>468</v>
      </c>
    </row>
    <row r="69" spans="1:9">
      <c r="A69" s="168" t="s">
        <v>523</v>
      </c>
      <c r="B69" s="169" t="s">
        <v>464</v>
      </c>
      <c r="C69" s="169" t="s">
        <v>463</v>
      </c>
      <c r="D69" s="169" t="s">
        <v>448</v>
      </c>
      <c r="E69" s="169" t="s">
        <v>449</v>
      </c>
      <c r="F69" s="169" t="s">
        <v>450</v>
      </c>
      <c r="G69" s="169" t="s">
        <v>452</v>
      </c>
      <c r="H69" s="169" t="s">
        <v>470</v>
      </c>
      <c r="I69" s="169" t="s">
        <v>468</v>
      </c>
    </row>
    <row r="70" spans="1:9">
      <c r="A70" s="170" t="s">
        <v>524</v>
      </c>
      <c r="B70" s="108" t="s">
        <v>446</v>
      </c>
      <c r="C70" s="108" t="s">
        <v>464</v>
      </c>
      <c r="D70" s="108" t="s">
        <v>448</v>
      </c>
      <c r="E70" s="108" t="s">
        <v>449</v>
      </c>
      <c r="F70" s="108" t="s">
        <v>450</v>
      </c>
      <c r="G70" s="108" t="s">
        <v>452</v>
      </c>
      <c r="H70" s="108" t="s">
        <v>470</v>
      </c>
      <c r="I70" s="108" t="s">
        <v>468</v>
      </c>
    </row>
    <row r="71" spans="1:9">
      <c r="A71" s="168" t="s">
        <v>525</v>
      </c>
      <c r="B71" s="169" t="s">
        <v>446</v>
      </c>
      <c r="C71" s="169" t="s">
        <v>463</v>
      </c>
      <c r="D71" s="169" t="s">
        <v>448</v>
      </c>
      <c r="E71" s="169" t="s">
        <v>449</v>
      </c>
      <c r="F71" s="169" t="s">
        <v>450</v>
      </c>
      <c r="G71" s="169" t="s">
        <v>452</v>
      </c>
      <c r="H71" s="169" t="s">
        <v>470</v>
      </c>
      <c r="I71" s="169" t="s">
        <v>468</v>
      </c>
    </row>
    <row r="72" spans="1:9">
      <c r="A72" s="170" t="s">
        <v>526</v>
      </c>
      <c r="B72" s="108" t="s">
        <v>446</v>
      </c>
      <c r="C72" s="108" t="s">
        <v>447</v>
      </c>
      <c r="D72" s="108" t="s">
        <v>448</v>
      </c>
      <c r="E72" s="108" t="s">
        <v>449</v>
      </c>
      <c r="F72" s="108" t="s">
        <v>450</v>
      </c>
      <c r="G72" s="108" t="s">
        <v>451</v>
      </c>
      <c r="H72" s="108" t="s">
        <v>452</v>
      </c>
      <c r="I72" s="108" t="s">
        <v>453</v>
      </c>
    </row>
    <row r="73" spans="1:9">
      <c r="A73" s="168" t="s">
        <v>527</v>
      </c>
      <c r="B73" s="169" t="s">
        <v>446</v>
      </c>
      <c r="C73" s="169" t="s">
        <v>447</v>
      </c>
      <c r="D73" s="169" t="s">
        <v>448</v>
      </c>
      <c r="E73" s="169" t="s">
        <v>449</v>
      </c>
      <c r="F73" s="169" t="s">
        <v>450</v>
      </c>
      <c r="G73" s="169" t="s">
        <v>451</v>
      </c>
      <c r="H73" s="169" t="s">
        <v>453</v>
      </c>
      <c r="I73" s="169" t="s">
        <v>464</v>
      </c>
    </row>
    <row r="74" spans="1:9">
      <c r="A74" s="170" t="s">
        <v>528</v>
      </c>
      <c r="B74" s="108" t="s">
        <v>446</v>
      </c>
      <c r="C74" s="108" t="s">
        <v>447</v>
      </c>
      <c r="D74" s="108" t="s">
        <v>448</v>
      </c>
      <c r="E74" s="108" t="s">
        <v>449</v>
      </c>
      <c r="F74" s="108" t="s">
        <v>450</v>
      </c>
      <c r="G74" s="108" t="s">
        <v>451</v>
      </c>
      <c r="H74" s="108" t="s">
        <v>453</v>
      </c>
      <c r="I74" s="108" t="s">
        <v>463</v>
      </c>
    </row>
    <row r="75" spans="1:9">
      <c r="A75" s="168" t="s">
        <v>529</v>
      </c>
      <c r="B75" s="169" t="s">
        <v>446</v>
      </c>
      <c r="C75" s="169" t="s">
        <v>447</v>
      </c>
      <c r="D75" s="169" t="s">
        <v>448</v>
      </c>
      <c r="E75" s="169" t="s">
        <v>449</v>
      </c>
      <c r="F75" s="169" t="s">
        <v>450</v>
      </c>
      <c r="G75" s="169" t="s">
        <v>451</v>
      </c>
      <c r="H75" s="169" t="s">
        <v>453</v>
      </c>
      <c r="I75" s="169" t="s">
        <v>468</v>
      </c>
    </row>
    <row r="76" spans="1:9">
      <c r="A76" s="170" t="s">
        <v>530</v>
      </c>
      <c r="B76" s="108" t="s">
        <v>446</v>
      </c>
      <c r="C76" s="108" t="s">
        <v>447</v>
      </c>
      <c r="D76" s="108" t="s">
        <v>448</v>
      </c>
      <c r="E76" s="108" t="s">
        <v>449</v>
      </c>
      <c r="F76" s="108" t="s">
        <v>450</v>
      </c>
      <c r="G76" s="108" t="s">
        <v>451</v>
      </c>
      <c r="H76" s="108" t="s">
        <v>470</v>
      </c>
      <c r="I76" s="108" t="s">
        <v>453</v>
      </c>
    </row>
    <row r="77" spans="1:9">
      <c r="A77" s="168" t="s">
        <v>531</v>
      </c>
      <c r="B77" s="169" t="s">
        <v>449</v>
      </c>
      <c r="C77" s="169" t="s">
        <v>447</v>
      </c>
      <c r="D77" s="169" t="s">
        <v>448</v>
      </c>
      <c r="E77" s="169" t="s">
        <v>453</v>
      </c>
      <c r="F77" s="169" t="s">
        <v>450</v>
      </c>
      <c r="G77" s="169" t="s">
        <v>451</v>
      </c>
      <c r="H77" s="169" t="s">
        <v>464</v>
      </c>
      <c r="I77" s="169" t="s">
        <v>463</v>
      </c>
    </row>
    <row r="78" spans="1:9">
      <c r="A78" s="170" t="s">
        <v>532</v>
      </c>
      <c r="B78" s="108" t="s">
        <v>449</v>
      </c>
      <c r="C78" s="108" t="s">
        <v>447</v>
      </c>
      <c r="D78" s="108" t="s">
        <v>448</v>
      </c>
      <c r="E78" s="108" t="s">
        <v>453</v>
      </c>
      <c r="F78" s="108" t="s">
        <v>450</v>
      </c>
      <c r="G78" s="108" t="s">
        <v>451</v>
      </c>
      <c r="H78" s="108" t="s">
        <v>464</v>
      </c>
      <c r="I78" s="108" t="s">
        <v>468</v>
      </c>
    </row>
    <row r="79" spans="1:9">
      <c r="A79" s="168" t="s">
        <v>533</v>
      </c>
      <c r="B79" s="169" t="s">
        <v>449</v>
      </c>
      <c r="C79" s="169" t="s">
        <v>447</v>
      </c>
      <c r="D79" s="169" t="s">
        <v>448</v>
      </c>
      <c r="E79" s="169" t="s">
        <v>453</v>
      </c>
      <c r="F79" s="169" t="s">
        <v>450</v>
      </c>
      <c r="G79" s="169" t="s">
        <v>451</v>
      </c>
      <c r="H79" s="169" t="s">
        <v>470</v>
      </c>
      <c r="I79" s="169" t="s">
        <v>464</v>
      </c>
    </row>
    <row r="80" spans="1:9">
      <c r="A80" s="170" t="s">
        <v>534</v>
      </c>
      <c r="B80" s="108" t="s">
        <v>449</v>
      </c>
      <c r="C80" s="108" t="s">
        <v>447</v>
      </c>
      <c r="D80" s="108" t="s">
        <v>448</v>
      </c>
      <c r="E80" s="108" t="s">
        <v>453</v>
      </c>
      <c r="F80" s="108" t="s">
        <v>450</v>
      </c>
      <c r="G80" s="108" t="s">
        <v>451</v>
      </c>
      <c r="H80" s="108" t="s">
        <v>463</v>
      </c>
      <c r="I80" s="108" t="s">
        <v>468</v>
      </c>
    </row>
    <row r="81" spans="1:9">
      <c r="A81" s="168" t="s">
        <v>535</v>
      </c>
      <c r="B81" s="169" t="s">
        <v>449</v>
      </c>
      <c r="C81" s="169" t="s">
        <v>447</v>
      </c>
      <c r="D81" s="169" t="s">
        <v>448</v>
      </c>
      <c r="E81" s="169" t="s">
        <v>453</v>
      </c>
      <c r="F81" s="169" t="s">
        <v>450</v>
      </c>
      <c r="G81" s="169" t="s">
        <v>451</v>
      </c>
      <c r="H81" s="169" t="s">
        <v>470</v>
      </c>
      <c r="I81" s="169" t="s">
        <v>463</v>
      </c>
    </row>
    <row r="82" spans="1:9">
      <c r="A82" s="170" t="s">
        <v>536</v>
      </c>
      <c r="B82" s="108" t="s">
        <v>449</v>
      </c>
      <c r="C82" s="108" t="s">
        <v>447</v>
      </c>
      <c r="D82" s="108" t="s">
        <v>448</v>
      </c>
      <c r="E82" s="108" t="s">
        <v>453</v>
      </c>
      <c r="F82" s="108" t="s">
        <v>450</v>
      </c>
      <c r="G82" s="108" t="s">
        <v>451</v>
      </c>
      <c r="H82" s="108" t="s">
        <v>470</v>
      </c>
      <c r="I82" s="108" t="s">
        <v>468</v>
      </c>
    </row>
    <row r="83" spans="1:9">
      <c r="A83" s="168" t="s">
        <v>537</v>
      </c>
      <c r="B83" s="169" t="s">
        <v>446</v>
      </c>
      <c r="C83" s="169" t="s">
        <v>463</v>
      </c>
      <c r="D83" s="169" t="s">
        <v>448</v>
      </c>
      <c r="E83" s="169" t="s">
        <v>449</v>
      </c>
      <c r="F83" s="169" t="s">
        <v>450</v>
      </c>
      <c r="G83" s="169" t="s">
        <v>451</v>
      </c>
      <c r="H83" s="169" t="s">
        <v>453</v>
      </c>
      <c r="I83" s="169" t="s">
        <v>464</v>
      </c>
    </row>
    <row r="84" spans="1:9">
      <c r="A84" s="170" t="s">
        <v>538</v>
      </c>
      <c r="B84" s="108" t="s">
        <v>446</v>
      </c>
      <c r="C84" s="108" t="s">
        <v>453</v>
      </c>
      <c r="D84" s="108" t="s">
        <v>448</v>
      </c>
      <c r="E84" s="108" t="s">
        <v>449</v>
      </c>
      <c r="F84" s="108" t="s">
        <v>450</v>
      </c>
      <c r="G84" s="108" t="s">
        <v>451</v>
      </c>
      <c r="H84" s="108" t="s">
        <v>464</v>
      </c>
      <c r="I84" s="108" t="s">
        <v>468</v>
      </c>
    </row>
    <row r="85" spans="1:9">
      <c r="A85" s="168" t="s">
        <v>539</v>
      </c>
      <c r="B85" s="169" t="s">
        <v>446</v>
      </c>
      <c r="C85" s="169" t="s">
        <v>453</v>
      </c>
      <c r="D85" s="169" t="s">
        <v>448</v>
      </c>
      <c r="E85" s="169" t="s">
        <v>449</v>
      </c>
      <c r="F85" s="169" t="s">
        <v>450</v>
      </c>
      <c r="G85" s="169" t="s">
        <v>451</v>
      </c>
      <c r="H85" s="169" t="s">
        <v>470</v>
      </c>
      <c r="I85" s="169" t="s">
        <v>464</v>
      </c>
    </row>
    <row r="86" spans="1:9">
      <c r="A86" s="170" t="s">
        <v>540</v>
      </c>
      <c r="B86" s="108" t="s">
        <v>446</v>
      </c>
      <c r="C86" s="108" t="s">
        <v>463</v>
      </c>
      <c r="D86" s="108" t="s">
        <v>448</v>
      </c>
      <c r="E86" s="108" t="s">
        <v>449</v>
      </c>
      <c r="F86" s="108" t="s">
        <v>450</v>
      </c>
      <c r="G86" s="108" t="s">
        <v>451</v>
      </c>
      <c r="H86" s="108" t="s">
        <v>453</v>
      </c>
      <c r="I86" s="108" t="s">
        <v>468</v>
      </c>
    </row>
    <row r="87" spans="1:9">
      <c r="A87" s="168" t="s">
        <v>541</v>
      </c>
      <c r="B87" s="169" t="s">
        <v>446</v>
      </c>
      <c r="C87" s="169" t="s">
        <v>463</v>
      </c>
      <c r="D87" s="169" t="s">
        <v>448</v>
      </c>
      <c r="E87" s="169" t="s">
        <v>449</v>
      </c>
      <c r="F87" s="169" t="s">
        <v>450</v>
      </c>
      <c r="G87" s="169" t="s">
        <v>451</v>
      </c>
      <c r="H87" s="169" t="s">
        <v>470</v>
      </c>
      <c r="I87" s="169" t="s">
        <v>453</v>
      </c>
    </row>
    <row r="88" spans="1:9">
      <c r="A88" s="170" t="s">
        <v>542</v>
      </c>
      <c r="B88" s="108" t="s">
        <v>446</v>
      </c>
      <c r="C88" s="108" t="s">
        <v>453</v>
      </c>
      <c r="D88" s="108" t="s">
        <v>448</v>
      </c>
      <c r="E88" s="108" t="s">
        <v>449</v>
      </c>
      <c r="F88" s="108" t="s">
        <v>450</v>
      </c>
      <c r="G88" s="108" t="s">
        <v>451</v>
      </c>
      <c r="H88" s="108" t="s">
        <v>470</v>
      </c>
      <c r="I88" s="108" t="s">
        <v>468</v>
      </c>
    </row>
    <row r="89" spans="1:9">
      <c r="A89" s="168" t="s">
        <v>543</v>
      </c>
      <c r="B89" s="169" t="s">
        <v>449</v>
      </c>
      <c r="C89" s="169" t="s">
        <v>463</v>
      </c>
      <c r="D89" s="169" t="s">
        <v>448</v>
      </c>
      <c r="E89" s="169" t="s">
        <v>453</v>
      </c>
      <c r="F89" s="169" t="s">
        <v>450</v>
      </c>
      <c r="G89" s="169" t="s">
        <v>451</v>
      </c>
      <c r="H89" s="169" t="s">
        <v>464</v>
      </c>
      <c r="I89" s="169" t="s">
        <v>468</v>
      </c>
    </row>
    <row r="90" spans="1:9">
      <c r="A90" s="170" t="s">
        <v>544</v>
      </c>
      <c r="B90" s="108" t="s">
        <v>449</v>
      </c>
      <c r="C90" s="108" t="s">
        <v>463</v>
      </c>
      <c r="D90" s="108" t="s">
        <v>448</v>
      </c>
      <c r="E90" s="108" t="s">
        <v>453</v>
      </c>
      <c r="F90" s="108" t="s">
        <v>450</v>
      </c>
      <c r="G90" s="108" t="s">
        <v>451</v>
      </c>
      <c r="H90" s="108" t="s">
        <v>470</v>
      </c>
      <c r="I90" s="108" t="s">
        <v>464</v>
      </c>
    </row>
    <row r="91" spans="1:9">
      <c r="A91" s="168" t="s">
        <v>545</v>
      </c>
      <c r="B91" s="169" t="s">
        <v>446</v>
      </c>
      <c r="C91" s="169" t="s">
        <v>447</v>
      </c>
      <c r="D91" s="169" t="s">
        <v>448</v>
      </c>
      <c r="E91" s="169" t="s">
        <v>449</v>
      </c>
      <c r="F91" s="169" t="s">
        <v>450</v>
      </c>
      <c r="G91" s="169" t="s">
        <v>451</v>
      </c>
      <c r="H91" s="169" t="s">
        <v>452</v>
      </c>
      <c r="I91" s="169" t="s">
        <v>453</v>
      </c>
    </row>
    <row r="92" spans="1:9">
      <c r="A92" s="170" t="s">
        <v>546</v>
      </c>
      <c r="B92" s="108" t="s">
        <v>449</v>
      </c>
      <c r="C92" s="108" t="s">
        <v>463</v>
      </c>
      <c r="D92" s="108" t="s">
        <v>448</v>
      </c>
      <c r="E92" s="108" t="s">
        <v>453</v>
      </c>
      <c r="F92" s="108" t="s">
        <v>450</v>
      </c>
      <c r="G92" s="108" t="s">
        <v>451</v>
      </c>
      <c r="H92" s="108" t="s">
        <v>470</v>
      </c>
      <c r="I92" s="108" t="s">
        <v>468</v>
      </c>
    </row>
    <row r="93" spans="1:9">
      <c r="A93" s="168" t="s">
        <v>547</v>
      </c>
      <c r="B93" s="169" t="s">
        <v>446</v>
      </c>
      <c r="C93" s="169" t="s">
        <v>463</v>
      </c>
      <c r="D93" s="169" t="s">
        <v>448</v>
      </c>
      <c r="E93" s="169" t="s">
        <v>449</v>
      </c>
      <c r="F93" s="169" t="s">
        <v>450</v>
      </c>
      <c r="G93" s="169" t="s">
        <v>447</v>
      </c>
      <c r="H93" s="169" t="s">
        <v>453</v>
      </c>
      <c r="I93" s="169" t="s">
        <v>464</v>
      </c>
    </row>
    <row r="94" spans="1:9">
      <c r="A94" s="170" t="s">
        <v>548</v>
      </c>
      <c r="B94" s="108" t="s">
        <v>453</v>
      </c>
      <c r="C94" s="108" t="s">
        <v>447</v>
      </c>
      <c r="D94" s="108" t="s">
        <v>448</v>
      </c>
      <c r="E94" s="108" t="s">
        <v>449</v>
      </c>
      <c r="F94" s="108" t="s">
        <v>450</v>
      </c>
      <c r="G94" s="108" t="s">
        <v>446</v>
      </c>
      <c r="H94" s="108" t="s">
        <v>464</v>
      </c>
      <c r="I94" s="108" t="s">
        <v>468</v>
      </c>
    </row>
    <row r="95" spans="1:9">
      <c r="A95" s="168" t="s">
        <v>549</v>
      </c>
      <c r="B95" s="169" t="s">
        <v>453</v>
      </c>
      <c r="C95" s="169" t="s">
        <v>447</v>
      </c>
      <c r="D95" s="169" t="s">
        <v>448</v>
      </c>
      <c r="E95" s="169" t="s">
        <v>449</v>
      </c>
      <c r="F95" s="169" t="s">
        <v>450</v>
      </c>
      <c r="G95" s="169" t="s">
        <v>446</v>
      </c>
      <c r="H95" s="169" t="s">
        <v>470</v>
      </c>
      <c r="I95" s="169" t="s">
        <v>464</v>
      </c>
    </row>
    <row r="96" spans="1:9">
      <c r="A96" s="170" t="s">
        <v>550</v>
      </c>
      <c r="B96" s="108" t="s">
        <v>446</v>
      </c>
      <c r="C96" s="108" t="s">
        <v>463</v>
      </c>
      <c r="D96" s="108" t="s">
        <v>448</v>
      </c>
      <c r="E96" s="108" t="s">
        <v>449</v>
      </c>
      <c r="F96" s="108" t="s">
        <v>450</v>
      </c>
      <c r="G96" s="108" t="s">
        <v>447</v>
      </c>
      <c r="H96" s="108" t="s">
        <v>453</v>
      </c>
      <c r="I96" s="108" t="s">
        <v>468</v>
      </c>
    </row>
    <row r="97" spans="1:9">
      <c r="A97" s="168" t="s">
        <v>551</v>
      </c>
      <c r="B97" s="169" t="s">
        <v>446</v>
      </c>
      <c r="C97" s="169" t="s">
        <v>463</v>
      </c>
      <c r="D97" s="169" t="s">
        <v>448</v>
      </c>
      <c r="E97" s="169" t="s">
        <v>449</v>
      </c>
      <c r="F97" s="169" t="s">
        <v>450</v>
      </c>
      <c r="G97" s="169" t="s">
        <v>447</v>
      </c>
      <c r="H97" s="169" t="s">
        <v>470</v>
      </c>
      <c r="I97" s="169" t="s">
        <v>453</v>
      </c>
    </row>
    <row r="98" spans="1:9">
      <c r="A98" s="170" t="s">
        <v>552</v>
      </c>
      <c r="B98" s="108" t="s">
        <v>453</v>
      </c>
      <c r="C98" s="108" t="s">
        <v>447</v>
      </c>
      <c r="D98" s="108" t="s">
        <v>448</v>
      </c>
      <c r="E98" s="108" t="s">
        <v>449</v>
      </c>
      <c r="F98" s="108" t="s">
        <v>450</v>
      </c>
      <c r="G98" s="108" t="s">
        <v>446</v>
      </c>
      <c r="H98" s="108" t="s">
        <v>470</v>
      </c>
      <c r="I98" s="108" t="s">
        <v>468</v>
      </c>
    </row>
    <row r="99" spans="1:9">
      <c r="A99" s="168" t="s">
        <v>553</v>
      </c>
      <c r="B99" s="169" t="s">
        <v>453</v>
      </c>
      <c r="C99" s="169" t="s">
        <v>463</v>
      </c>
      <c r="D99" s="169" t="s">
        <v>448</v>
      </c>
      <c r="E99" s="169" t="s">
        <v>449</v>
      </c>
      <c r="F99" s="169" t="s">
        <v>450</v>
      </c>
      <c r="G99" s="169" t="s">
        <v>447</v>
      </c>
      <c r="H99" s="169" t="s">
        <v>464</v>
      </c>
      <c r="I99" s="169" t="s">
        <v>468</v>
      </c>
    </row>
    <row r="100" spans="1:9">
      <c r="A100" s="170" t="s">
        <v>554</v>
      </c>
      <c r="B100" s="108" t="s">
        <v>453</v>
      </c>
      <c r="C100" s="108" t="s">
        <v>463</v>
      </c>
      <c r="D100" s="108" t="s">
        <v>448</v>
      </c>
      <c r="E100" s="108" t="s">
        <v>449</v>
      </c>
      <c r="F100" s="108" t="s">
        <v>450</v>
      </c>
      <c r="G100" s="108" t="s">
        <v>447</v>
      </c>
      <c r="H100" s="108" t="s">
        <v>470</v>
      </c>
      <c r="I100" s="108" t="s">
        <v>464</v>
      </c>
    </row>
    <row r="101" spans="1:9">
      <c r="A101" s="168" t="s">
        <v>555</v>
      </c>
      <c r="B101" s="169" t="s">
        <v>453</v>
      </c>
      <c r="C101" s="169" t="s">
        <v>447</v>
      </c>
      <c r="D101" s="169" t="s">
        <v>448</v>
      </c>
      <c r="E101" s="169" t="s">
        <v>449</v>
      </c>
      <c r="F101" s="169" t="s">
        <v>450</v>
      </c>
      <c r="G101" s="169" t="s">
        <v>446</v>
      </c>
      <c r="H101" s="169" t="s">
        <v>470</v>
      </c>
      <c r="I101" s="169" t="s">
        <v>468</v>
      </c>
    </row>
    <row r="102" spans="1:9">
      <c r="A102" s="170" t="s">
        <v>556</v>
      </c>
      <c r="B102" s="108" t="s">
        <v>453</v>
      </c>
      <c r="C102" s="108" t="s">
        <v>463</v>
      </c>
      <c r="D102" s="108" t="s">
        <v>448</v>
      </c>
      <c r="E102" s="108" t="s">
        <v>449</v>
      </c>
      <c r="F102" s="108" t="s">
        <v>450</v>
      </c>
      <c r="G102" s="108" t="s">
        <v>447</v>
      </c>
      <c r="H102" s="108" t="s">
        <v>470</v>
      </c>
      <c r="I102" s="108" t="s">
        <v>468</v>
      </c>
    </row>
    <row r="103" spans="1:9">
      <c r="A103" s="168" t="s">
        <v>557</v>
      </c>
      <c r="B103" s="169" t="s">
        <v>446</v>
      </c>
      <c r="C103" s="169" t="s">
        <v>463</v>
      </c>
      <c r="D103" s="169" t="s">
        <v>448</v>
      </c>
      <c r="E103" s="169" t="s">
        <v>449</v>
      </c>
      <c r="F103" s="169" t="s">
        <v>450</v>
      </c>
      <c r="G103" s="169" t="s">
        <v>453</v>
      </c>
      <c r="H103" s="169" t="s">
        <v>464</v>
      </c>
      <c r="I103" s="169" t="s">
        <v>468</v>
      </c>
    </row>
    <row r="104" spans="1:9">
      <c r="A104" s="170" t="s">
        <v>558</v>
      </c>
      <c r="B104" s="108" t="s">
        <v>453</v>
      </c>
      <c r="C104" s="108" t="s">
        <v>463</v>
      </c>
      <c r="D104" s="108" t="s">
        <v>448</v>
      </c>
      <c r="E104" s="108" t="s">
        <v>449</v>
      </c>
      <c r="F104" s="108" t="s">
        <v>450</v>
      </c>
      <c r="G104" s="108" t="s">
        <v>446</v>
      </c>
      <c r="H104" s="108" t="s">
        <v>470</v>
      </c>
      <c r="I104" s="108" t="s">
        <v>468</v>
      </c>
    </row>
    <row r="105" spans="1:9">
      <c r="A105" s="168" t="s">
        <v>559</v>
      </c>
      <c r="B105" s="169" t="s">
        <v>446</v>
      </c>
      <c r="C105" s="169" t="s">
        <v>464</v>
      </c>
      <c r="D105" s="169" t="s">
        <v>448</v>
      </c>
      <c r="E105" s="169" t="s">
        <v>449</v>
      </c>
      <c r="F105" s="169" t="s">
        <v>450</v>
      </c>
      <c r="G105" s="169" t="s">
        <v>453</v>
      </c>
      <c r="H105" s="169" t="s">
        <v>470</v>
      </c>
      <c r="I105" s="169" t="s">
        <v>468</v>
      </c>
    </row>
    <row r="106" spans="1:9">
      <c r="A106" s="170" t="s">
        <v>560</v>
      </c>
      <c r="B106" s="108" t="s">
        <v>446</v>
      </c>
      <c r="C106" s="108" t="s">
        <v>463</v>
      </c>
      <c r="D106" s="108" t="s">
        <v>448</v>
      </c>
      <c r="E106" s="108" t="s">
        <v>449</v>
      </c>
      <c r="F106" s="108" t="s">
        <v>450</v>
      </c>
      <c r="G106" s="108" t="s">
        <v>453</v>
      </c>
      <c r="H106" s="108" t="s">
        <v>470</v>
      </c>
      <c r="I106" s="108" t="s">
        <v>468</v>
      </c>
    </row>
    <row r="107" spans="1:9">
      <c r="A107" s="168" t="s">
        <v>561</v>
      </c>
      <c r="B107" s="169" t="s">
        <v>446</v>
      </c>
      <c r="C107" s="169" t="s">
        <v>447</v>
      </c>
      <c r="D107" s="169" t="s">
        <v>448</v>
      </c>
      <c r="E107" s="169" t="s">
        <v>449</v>
      </c>
      <c r="F107" s="169" t="s">
        <v>450</v>
      </c>
      <c r="G107" s="169" t="s">
        <v>451</v>
      </c>
      <c r="H107" s="169" t="s">
        <v>452</v>
      </c>
      <c r="I107" s="169" t="s">
        <v>453</v>
      </c>
    </row>
    <row r="108" spans="1:9">
      <c r="A108" s="170" t="s">
        <v>562</v>
      </c>
      <c r="B108" s="108" t="s">
        <v>446</v>
      </c>
      <c r="C108" s="108" t="s">
        <v>447</v>
      </c>
      <c r="D108" s="108" t="s">
        <v>448</v>
      </c>
      <c r="E108" s="108" t="s">
        <v>449</v>
      </c>
      <c r="F108" s="108" t="s">
        <v>450</v>
      </c>
      <c r="G108" s="108" t="s">
        <v>451</v>
      </c>
      <c r="H108" s="108" t="s">
        <v>464</v>
      </c>
      <c r="I108" s="108" t="s">
        <v>463</v>
      </c>
    </row>
    <row r="109" spans="1:9">
      <c r="A109" s="168" t="s">
        <v>563</v>
      </c>
      <c r="B109" s="169" t="s">
        <v>446</v>
      </c>
      <c r="C109" s="169" t="s">
        <v>447</v>
      </c>
      <c r="D109" s="169" t="s">
        <v>448</v>
      </c>
      <c r="E109" s="169" t="s">
        <v>449</v>
      </c>
      <c r="F109" s="169" t="s">
        <v>450</v>
      </c>
      <c r="G109" s="169" t="s">
        <v>451</v>
      </c>
      <c r="H109" s="169" t="s">
        <v>464</v>
      </c>
      <c r="I109" s="169" t="s">
        <v>468</v>
      </c>
    </row>
    <row r="110" spans="1:9">
      <c r="A110" s="170" t="s">
        <v>564</v>
      </c>
      <c r="B110" s="108" t="s">
        <v>446</v>
      </c>
      <c r="C110" s="108" t="s">
        <v>447</v>
      </c>
      <c r="D110" s="108" t="s">
        <v>448</v>
      </c>
      <c r="E110" s="108" t="s">
        <v>449</v>
      </c>
      <c r="F110" s="108" t="s">
        <v>450</v>
      </c>
      <c r="G110" s="108" t="s">
        <v>451</v>
      </c>
      <c r="H110" s="108" t="s">
        <v>470</v>
      </c>
      <c r="I110" s="108" t="s">
        <v>464</v>
      </c>
    </row>
    <row r="111" spans="1:9">
      <c r="A111" s="168" t="s">
        <v>565</v>
      </c>
      <c r="B111" s="169" t="s">
        <v>446</v>
      </c>
      <c r="C111" s="169" t="s">
        <v>447</v>
      </c>
      <c r="D111" s="169" t="s">
        <v>448</v>
      </c>
      <c r="E111" s="169" t="s">
        <v>449</v>
      </c>
      <c r="F111" s="169" t="s">
        <v>450</v>
      </c>
      <c r="G111" s="169" t="s">
        <v>451</v>
      </c>
      <c r="H111" s="169" t="s">
        <v>463</v>
      </c>
      <c r="I111" s="169" t="s">
        <v>468</v>
      </c>
    </row>
    <row r="112" spans="1:9">
      <c r="A112" s="170" t="s">
        <v>566</v>
      </c>
      <c r="B112" s="108" t="s">
        <v>446</v>
      </c>
      <c r="C112" s="108" t="s">
        <v>447</v>
      </c>
      <c r="D112" s="108" t="s">
        <v>448</v>
      </c>
      <c r="E112" s="108" t="s">
        <v>449</v>
      </c>
      <c r="F112" s="108" t="s">
        <v>450</v>
      </c>
      <c r="G112" s="108" t="s">
        <v>451</v>
      </c>
      <c r="H112" s="108" t="s">
        <v>470</v>
      </c>
      <c r="I112" s="108" t="s">
        <v>463</v>
      </c>
    </row>
    <row r="113" spans="1:9">
      <c r="A113" s="168" t="s">
        <v>567</v>
      </c>
      <c r="B113" s="169" t="s">
        <v>446</v>
      </c>
      <c r="C113" s="169" t="s">
        <v>447</v>
      </c>
      <c r="D113" s="169" t="s">
        <v>448</v>
      </c>
      <c r="E113" s="169" t="s">
        <v>449</v>
      </c>
      <c r="F113" s="169" t="s">
        <v>450</v>
      </c>
      <c r="G113" s="169" t="s">
        <v>451</v>
      </c>
      <c r="H113" s="169" t="s">
        <v>470</v>
      </c>
      <c r="I113" s="169" t="s">
        <v>468</v>
      </c>
    </row>
    <row r="114" spans="1:9">
      <c r="A114" s="170" t="s">
        <v>568</v>
      </c>
      <c r="B114" s="108" t="s">
        <v>449</v>
      </c>
      <c r="C114" s="108" t="s">
        <v>463</v>
      </c>
      <c r="D114" s="108" t="s">
        <v>448</v>
      </c>
      <c r="E114" s="108" t="s">
        <v>451</v>
      </c>
      <c r="F114" s="108" t="s">
        <v>450</v>
      </c>
      <c r="G114" s="108" t="s">
        <v>447</v>
      </c>
      <c r="H114" s="108" t="s">
        <v>464</v>
      </c>
      <c r="I114" s="108" t="s">
        <v>468</v>
      </c>
    </row>
    <row r="115" spans="1:9">
      <c r="A115" s="168" t="s">
        <v>569</v>
      </c>
      <c r="B115" s="169" t="s">
        <v>449</v>
      </c>
      <c r="C115" s="169" t="s">
        <v>463</v>
      </c>
      <c r="D115" s="169" t="s">
        <v>448</v>
      </c>
      <c r="E115" s="169" t="s">
        <v>451</v>
      </c>
      <c r="F115" s="169" t="s">
        <v>450</v>
      </c>
      <c r="G115" s="169" t="s">
        <v>447</v>
      </c>
      <c r="H115" s="169" t="s">
        <v>470</v>
      </c>
      <c r="I115" s="169" t="s">
        <v>464</v>
      </c>
    </row>
    <row r="116" spans="1:9">
      <c r="A116" s="170" t="s">
        <v>570</v>
      </c>
      <c r="B116" s="108" t="s">
        <v>464</v>
      </c>
      <c r="C116" s="108" t="s">
        <v>447</v>
      </c>
      <c r="D116" s="108" t="s">
        <v>448</v>
      </c>
      <c r="E116" s="108" t="s">
        <v>449</v>
      </c>
      <c r="F116" s="108" t="s">
        <v>450</v>
      </c>
      <c r="G116" s="108" t="s">
        <v>451</v>
      </c>
      <c r="H116" s="108" t="s">
        <v>470</v>
      </c>
      <c r="I116" s="108" t="s">
        <v>468</v>
      </c>
    </row>
    <row r="117" spans="1:9">
      <c r="A117" s="168" t="s">
        <v>571</v>
      </c>
      <c r="B117" s="169" t="s">
        <v>449</v>
      </c>
      <c r="C117" s="169" t="s">
        <v>463</v>
      </c>
      <c r="D117" s="169" t="s">
        <v>448</v>
      </c>
      <c r="E117" s="169" t="s">
        <v>451</v>
      </c>
      <c r="F117" s="169" t="s">
        <v>450</v>
      </c>
      <c r="G117" s="169" t="s">
        <v>447</v>
      </c>
      <c r="H117" s="169" t="s">
        <v>470</v>
      </c>
      <c r="I117" s="169" t="s">
        <v>468</v>
      </c>
    </row>
    <row r="118" spans="1:9">
      <c r="A118" s="170" t="s">
        <v>572</v>
      </c>
      <c r="B118" s="108" t="s">
        <v>446</v>
      </c>
      <c r="C118" s="108" t="s">
        <v>463</v>
      </c>
      <c r="D118" s="108" t="s">
        <v>448</v>
      </c>
      <c r="E118" s="108" t="s">
        <v>449</v>
      </c>
      <c r="F118" s="108" t="s">
        <v>450</v>
      </c>
      <c r="G118" s="108" t="s">
        <v>451</v>
      </c>
      <c r="H118" s="108" t="s">
        <v>464</v>
      </c>
      <c r="I118" s="108" t="s">
        <v>468</v>
      </c>
    </row>
    <row r="119" spans="1:9">
      <c r="A119" s="168" t="s">
        <v>573</v>
      </c>
      <c r="B119" s="169" t="s">
        <v>446</v>
      </c>
      <c r="C119" s="169" t="s">
        <v>463</v>
      </c>
      <c r="D119" s="169" t="s">
        <v>448</v>
      </c>
      <c r="E119" s="169" t="s">
        <v>449</v>
      </c>
      <c r="F119" s="169" t="s">
        <v>450</v>
      </c>
      <c r="G119" s="169" t="s">
        <v>451</v>
      </c>
      <c r="H119" s="169" t="s">
        <v>470</v>
      </c>
      <c r="I119" s="169" t="s">
        <v>464</v>
      </c>
    </row>
    <row r="120" spans="1:9">
      <c r="A120" s="170" t="s">
        <v>574</v>
      </c>
      <c r="B120" s="108" t="s">
        <v>446</v>
      </c>
      <c r="C120" s="108" t="s">
        <v>464</v>
      </c>
      <c r="D120" s="108" t="s">
        <v>448</v>
      </c>
      <c r="E120" s="108" t="s">
        <v>449</v>
      </c>
      <c r="F120" s="108" t="s">
        <v>450</v>
      </c>
      <c r="G120" s="108" t="s">
        <v>451</v>
      </c>
      <c r="H120" s="108" t="s">
        <v>470</v>
      </c>
      <c r="I120" s="108" t="s">
        <v>468</v>
      </c>
    </row>
    <row r="121" spans="1:9">
      <c r="A121" s="168" t="s">
        <v>575</v>
      </c>
      <c r="B121" s="169" t="s">
        <v>446</v>
      </c>
      <c r="C121" s="169" t="s">
        <v>463</v>
      </c>
      <c r="D121" s="169" t="s">
        <v>448</v>
      </c>
      <c r="E121" s="169" t="s">
        <v>449</v>
      </c>
      <c r="F121" s="169" t="s">
        <v>450</v>
      </c>
      <c r="G121" s="169" t="s">
        <v>451</v>
      </c>
      <c r="H121" s="169" t="s">
        <v>470</v>
      </c>
      <c r="I121" s="169" t="s">
        <v>468</v>
      </c>
    </row>
    <row r="122" spans="1:9">
      <c r="A122" s="170" t="s">
        <v>576</v>
      </c>
      <c r="B122" s="108" t="s">
        <v>464</v>
      </c>
      <c r="C122" s="108" t="s">
        <v>463</v>
      </c>
      <c r="D122" s="108" t="s">
        <v>448</v>
      </c>
      <c r="E122" s="108" t="s">
        <v>449</v>
      </c>
      <c r="F122" s="108" t="s">
        <v>450</v>
      </c>
      <c r="G122" s="108" t="s">
        <v>451</v>
      </c>
      <c r="H122" s="108" t="s">
        <v>470</v>
      </c>
      <c r="I122" s="108" t="s">
        <v>468</v>
      </c>
    </row>
    <row r="123" spans="1:9">
      <c r="A123" s="168" t="s">
        <v>577</v>
      </c>
      <c r="B123" s="169" t="s">
        <v>446</v>
      </c>
      <c r="C123" s="169" t="s">
        <v>463</v>
      </c>
      <c r="D123" s="169" t="s">
        <v>448</v>
      </c>
      <c r="E123" s="169" t="s">
        <v>449</v>
      </c>
      <c r="F123" s="169" t="s">
        <v>450</v>
      </c>
      <c r="G123" s="169" t="s">
        <v>447</v>
      </c>
      <c r="H123" s="169" t="s">
        <v>464</v>
      </c>
      <c r="I123" s="169" t="s">
        <v>468</v>
      </c>
    </row>
    <row r="124" spans="1:9">
      <c r="A124" s="170" t="s">
        <v>578</v>
      </c>
      <c r="B124" s="108" t="s">
        <v>464</v>
      </c>
      <c r="C124" s="108" t="s">
        <v>463</v>
      </c>
      <c r="D124" s="108" t="s">
        <v>448</v>
      </c>
      <c r="E124" s="108" t="s">
        <v>449</v>
      </c>
      <c r="F124" s="108" t="s">
        <v>450</v>
      </c>
      <c r="G124" s="108" t="s">
        <v>447</v>
      </c>
      <c r="H124" s="108" t="s">
        <v>470</v>
      </c>
      <c r="I124" s="108" t="s">
        <v>468</v>
      </c>
    </row>
    <row r="125" spans="1:9">
      <c r="A125" s="168" t="s">
        <v>579</v>
      </c>
      <c r="B125" s="169" t="s">
        <v>464</v>
      </c>
      <c r="C125" s="169" t="s">
        <v>447</v>
      </c>
      <c r="D125" s="169" t="s">
        <v>448</v>
      </c>
      <c r="E125" s="169" t="s">
        <v>449</v>
      </c>
      <c r="F125" s="169" t="s">
        <v>450</v>
      </c>
      <c r="G125" s="169" t="s">
        <v>446</v>
      </c>
      <c r="H125" s="169" t="s">
        <v>470</v>
      </c>
      <c r="I125" s="169" t="s">
        <v>468</v>
      </c>
    </row>
    <row r="126" spans="1:9">
      <c r="A126" s="170" t="s">
        <v>580</v>
      </c>
      <c r="B126" s="108" t="s">
        <v>446</v>
      </c>
      <c r="C126" s="108" t="s">
        <v>463</v>
      </c>
      <c r="D126" s="108" t="s">
        <v>448</v>
      </c>
      <c r="E126" s="108" t="s">
        <v>449</v>
      </c>
      <c r="F126" s="108" t="s">
        <v>450</v>
      </c>
      <c r="G126" s="108" t="s">
        <v>447</v>
      </c>
      <c r="H126" s="108" t="s">
        <v>470</v>
      </c>
      <c r="I126" s="108" t="s">
        <v>468</v>
      </c>
    </row>
    <row r="127" spans="1:9">
      <c r="A127" s="168" t="s">
        <v>581</v>
      </c>
      <c r="B127" s="169" t="s">
        <v>446</v>
      </c>
      <c r="C127" s="169" t="s">
        <v>447</v>
      </c>
      <c r="D127" s="169" t="s">
        <v>448</v>
      </c>
      <c r="E127" s="169" t="s">
        <v>449</v>
      </c>
      <c r="F127" s="169" t="s">
        <v>450</v>
      </c>
      <c r="G127" s="169" t="s">
        <v>451</v>
      </c>
      <c r="H127" s="169" t="s">
        <v>452</v>
      </c>
      <c r="I127" s="169" t="s">
        <v>453</v>
      </c>
    </row>
    <row r="128" spans="1:9">
      <c r="A128" s="170" t="s">
        <v>582</v>
      </c>
      <c r="B128" s="108" t="s">
        <v>464</v>
      </c>
      <c r="C128" s="108" t="s">
        <v>463</v>
      </c>
      <c r="D128" s="108" t="s">
        <v>448</v>
      </c>
      <c r="E128" s="108" t="s">
        <v>449</v>
      </c>
      <c r="F128" s="108" t="s">
        <v>450</v>
      </c>
      <c r="G128" s="108" t="s">
        <v>446</v>
      </c>
      <c r="H128" s="108" t="s">
        <v>470</v>
      </c>
      <c r="I128" s="108" t="s">
        <v>468</v>
      </c>
    </row>
    <row r="129" spans="1:9">
      <c r="A129" s="168" t="s">
        <v>583</v>
      </c>
      <c r="B129" s="169" t="s">
        <v>446</v>
      </c>
      <c r="C129" s="169" t="s">
        <v>447</v>
      </c>
      <c r="D129" s="169" t="s">
        <v>448</v>
      </c>
      <c r="E129" s="169" t="s">
        <v>452</v>
      </c>
      <c r="F129" s="169" t="s">
        <v>450</v>
      </c>
      <c r="G129" s="169" t="s">
        <v>451</v>
      </c>
      <c r="H129" s="169" t="s">
        <v>453</v>
      </c>
      <c r="I129" s="169" t="s">
        <v>464</v>
      </c>
    </row>
    <row r="130" spans="1:9">
      <c r="A130" s="170" t="s">
        <v>584</v>
      </c>
      <c r="B130" s="108" t="s">
        <v>446</v>
      </c>
      <c r="C130" s="108" t="s">
        <v>447</v>
      </c>
      <c r="D130" s="108" t="s">
        <v>448</v>
      </c>
      <c r="E130" s="108" t="s">
        <v>452</v>
      </c>
      <c r="F130" s="108" t="s">
        <v>450</v>
      </c>
      <c r="G130" s="108" t="s">
        <v>451</v>
      </c>
      <c r="H130" s="108" t="s">
        <v>453</v>
      </c>
      <c r="I130" s="108" t="s">
        <v>463</v>
      </c>
    </row>
    <row r="131" spans="1:9">
      <c r="A131" s="168" t="s">
        <v>585</v>
      </c>
      <c r="B131" s="169" t="s">
        <v>446</v>
      </c>
      <c r="C131" s="169" t="s">
        <v>447</v>
      </c>
      <c r="D131" s="169" t="s">
        <v>448</v>
      </c>
      <c r="E131" s="169" t="s">
        <v>452</v>
      </c>
      <c r="F131" s="169" t="s">
        <v>450</v>
      </c>
      <c r="G131" s="169" t="s">
        <v>451</v>
      </c>
      <c r="H131" s="169" t="s">
        <v>453</v>
      </c>
      <c r="I131" s="169" t="s">
        <v>468</v>
      </c>
    </row>
    <row r="132" spans="1:9">
      <c r="A132" s="170" t="s">
        <v>586</v>
      </c>
      <c r="B132" s="108" t="s">
        <v>446</v>
      </c>
      <c r="C132" s="108" t="s">
        <v>447</v>
      </c>
      <c r="D132" s="108" t="s">
        <v>448</v>
      </c>
      <c r="E132" s="108" t="s">
        <v>452</v>
      </c>
      <c r="F132" s="108" t="s">
        <v>450</v>
      </c>
      <c r="G132" s="108" t="s">
        <v>451</v>
      </c>
      <c r="H132" s="108" t="s">
        <v>470</v>
      </c>
      <c r="I132" s="108" t="s">
        <v>453</v>
      </c>
    </row>
    <row r="133" spans="1:9">
      <c r="A133" s="168" t="s">
        <v>587</v>
      </c>
      <c r="B133" s="169" t="s">
        <v>453</v>
      </c>
      <c r="C133" s="169" t="s">
        <v>447</v>
      </c>
      <c r="D133" s="169" t="s">
        <v>448</v>
      </c>
      <c r="E133" s="169" t="s">
        <v>452</v>
      </c>
      <c r="F133" s="169" t="s">
        <v>450</v>
      </c>
      <c r="G133" s="169" t="s">
        <v>451</v>
      </c>
      <c r="H133" s="169" t="s">
        <v>464</v>
      </c>
      <c r="I133" s="169" t="s">
        <v>463</v>
      </c>
    </row>
    <row r="134" spans="1:9">
      <c r="A134" s="170" t="s">
        <v>588</v>
      </c>
      <c r="B134" s="108" t="s">
        <v>453</v>
      </c>
      <c r="C134" s="108" t="s">
        <v>447</v>
      </c>
      <c r="D134" s="108" t="s">
        <v>448</v>
      </c>
      <c r="E134" s="108" t="s">
        <v>452</v>
      </c>
      <c r="F134" s="108" t="s">
        <v>450</v>
      </c>
      <c r="G134" s="108" t="s">
        <v>451</v>
      </c>
      <c r="H134" s="108" t="s">
        <v>464</v>
      </c>
      <c r="I134" s="108" t="s">
        <v>468</v>
      </c>
    </row>
    <row r="135" spans="1:9">
      <c r="A135" s="168" t="s">
        <v>589</v>
      </c>
      <c r="B135" s="169" t="s">
        <v>453</v>
      </c>
      <c r="C135" s="169" t="s">
        <v>447</v>
      </c>
      <c r="D135" s="169" t="s">
        <v>448</v>
      </c>
      <c r="E135" s="169" t="s">
        <v>452</v>
      </c>
      <c r="F135" s="169" t="s">
        <v>450</v>
      </c>
      <c r="G135" s="169" t="s">
        <v>451</v>
      </c>
      <c r="H135" s="169" t="s">
        <v>470</v>
      </c>
      <c r="I135" s="169" t="s">
        <v>464</v>
      </c>
    </row>
    <row r="136" spans="1:9">
      <c r="A136" s="170" t="s">
        <v>590</v>
      </c>
      <c r="B136" s="108" t="s">
        <v>453</v>
      </c>
      <c r="C136" s="108" t="s">
        <v>447</v>
      </c>
      <c r="D136" s="108" t="s">
        <v>448</v>
      </c>
      <c r="E136" s="108" t="s">
        <v>452</v>
      </c>
      <c r="F136" s="108" t="s">
        <v>450</v>
      </c>
      <c r="G136" s="108" t="s">
        <v>451</v>
      </c>
      <c r="H136" s="108" t="s">
        <v>463</v>
      </c>
      <c r="I136" s="108" t="s">
        <v>468</v>
      </c>
    </row>
    <row r="137" spans="1:9">
      <c r="A137" s="168" t="s">
        <v>591</v>
      </c>
      <c r="B137" s="169" t="s">
        <v>453</v>
      </c>
      <c r="C137" s="169" t="s">
        <v>447</v>
      </c>
      <c r="D137" s="169" t="s">
        <v>448</v>
      </c>
      <c r="E137" s="169" t="s">
        <v>452</v>
      </c>
      <c r="F137" s="169" t="s">
        <v>450</v>
      </c>
      <c r="G137" s="169" t="s">
        <v>451</v>
      </c>
      <c r="H137" s="169" t="s">
        <v>470</v>
      </c>
      <c r="I137" s="169" t="s">
        <v>463</v>
      </c>
    </row>
    <row r="138" spans="1:9">
      <c r="A138" s="170" t="s">
        <v>592</v>
      </c>
      <c r="B138" s="108" t="s">
        <v>453</v>
      </c>
      <c r="C138" s="108" t="s">
        <v>447</v>
      </c>
      <c r="D138" s="108" t="s">
        <v>448</v>
      </c>
      <c r="E138" s="108" t="s">
        <v>452</v>
      </c>
      <c r="F138" s="108" t="s">
        <v>450</v>
      </c>
      <c r="G138" s="108" t="s">
        <v>451</v>
      </c>
      <c r="H138" s="108" t="s">
        <v>470</v>
      </c>
      <c r="I138" s="108" t="s">
        <v>468</v>
      </c>
    </row>
    <row r="139" spans="1:9">
      <c r="A139" s="168" t="s">
        <v>593</v>
      </c>
      <c r="B139" s="169" t="s">
        <v>446</v>
      </c>
      <c r="C139" s="169" t="s">
        <v>463</v>
      </c>
      <c r="D139" s="169" t="s">
        <v>448</v>
      </c>
      <c r="E139" s="169" t="s">
        <v>452</v>
      </c>
      <c r="F139" s="169" t="s">
        <v>450</v>
      </c>
      <c r="G139" s="169" t="s">
        <v>451</v>
      </c>
      <c r="H139" s="169" t="s">
        <v>453</v>
      </c>
      <c r="I139" s="169" t="s">
        <v>464</v>
      </c>
    </row>
    <row r="140" spans="1:9">
      <c r="A140" s="170" t="s">
        <v>594</v>
      </c>
      <c r="B140" s="108" t="s">
        <v>446</v>
      </c>
      <c r="C140" s="108" t="s">
        <v>453</v>
      </c>
      <c r="D140" s="108" t="s">
        <v>448</v>
      </c>
      <c r="E140" s="108" t="s">
        <v>452</v>
      </c>
      <c r="F140" s="108" t="s">
        <v>450</v>
      </c>
      <c r="G140" s="108" t="s">
        <v>451</v>
      </c>
      <c r="H140" s="108" t="s">
        <v>464</v>
      </c>
      <c r="I140" s="108" t="s">
        <v>468</v>
      </c>
    </row>
    <row r="141" spans="1:9">
      <c r="A141" s="168" t="s">
        <v>595</v>
      </c>
      <c r="B141" s="169" t="s">
        <v>446</v>
      </c>
      <c r="C141" s="169" t="s">
        <v>453</v>
      </c>
      <c r="D141" s="169" t="s">
        <v>448</v>
      </c>
      <c r="E141" s="169" t="s">
        <v>452</v>
      </c>
      <c r="F141" s="169" t="s">
        <v>450</v>
      </c>
      <c r="G141" s="169" t="s">
        <v>451</v>
      </c>
      <c r="H141" s="169" t="s">
        <v>470</v>
      </c>
      <c r="I141" s="169" t="s">
        <v>464</v>
      </c>
    </row>
    <row r="142" spans="1:9">
      <c r="A142" s="170" t="s">
        <v>596</v>
      </c>
      <c r="B142" s="108" t="s">
        <v>446</v>
      </c>
      <c r="C142" s="108" t="s">
        <v>463</v>
      </c>
      <c r="D142" s="108" t="s">
        <v>448</v>
      </c>
      <c r="E142" s="108" t="s">
        <v>452</v>
      </c>
      <c r="F142" s="108" t="s">
        <v>450</v>
      </c>
      <c r="G142" s="108" t="s">
        <v>451</v>
      </c>
      <c r="H142" s="108" t="s">
        <v>453</v>
      </c>
      <c r="I142" s="108" t="s">
        <v>468</v>
      </c>
    </row>
    <row r="143" spans="1:9">
      <c r="A143" s="168" t="s">
        <v>597</v>
      </c>
      <c r="B143" s="169" t="s">
        <v>446</v>
      </c>
      <c r="C143" s="169" t="s">
        <v>463</v>
      </c>
      <c r="D143" s="169" t="s">
        <v>448</v>
      </c>
      <c r="E143" s="169" t="s">
        <v>452</v>
      </c>
      <c r="F143" s="169" t="s">
        <v>450</v>
      </c>
      <c r="G143" s="169" t="s">
        <v>451</v>
      </c>
      <c r="H143" s="169" t="s">
        <v>470</v>
      </c>
      <c r="I143" s="169" t="s">
        <v>453</v>
      </c>
    </row>
    <row r="144" spans="1:9">
      <c r="A144" s="170" t="s">
        <v>598</v>
      </c>
      <c r="B144" s="108" t="s">
        <v>446</v>
      </c>
      <c r="C144" s="108" t="s">
        <v>453</v>
      </c>
      <c r="D144" s="108" t="s">
        <v>448</v>
      </c>
      <c r="E144" s="108" t="s">
        <v>452</v>
      </c>
      <c r="F144" s="108" t="s">
        <v>450</v>
      </c>
      <c r="G144" s="108" t="s">
        <v>451</v>
      </c>
      <c r="H144" s="108" t="s">
        <v>470</v>
      </c>
      <c r="I144" s="108" t="s">
        <v>468</v>
      </c>
    </row>
    <row r="145" spans="1:9">
      <c r="A145" s="168" t="s">
        <v>599</v>
      </c>
      <c r="B145" s="169" t="s">
        <v>453</v>
      </c>
      <c r="C145" s="169" t="s">
        <v>463</v>
      </c>
      <c r="D145" s="169" t="s">
        <v>448</v>
      </c>
      <c r="E145" s="169" t="s">
        <v>452</v>
      </c>
      <c r="F145" s="169" t="s">
        <v>450</v>
      </c>
      <c r="G145" s="169" t="s">
        <v>451</v>
      </c>
      <c r="H145" s="169" t="s">
        <v>464</v>
      </c>
      <c r="I145" s="169" t="s">
        <v>468</v>
      </c>
    </row>
    <row r="146" spans="1:9">
      <c r="A146" s="170" t="s">
        <v>600</v>
      </c>
      <c r="B146" s="108" t="s">
        <v>453</v>
      </c>
      <c r="C146" s="108" t="s">
        <v>463</v>
      </c>
      <c r="D146" s="108" t="s">
        <v>448</v>
      </c>
      <c r="E146" s="108" t="s">
        <v>452</v>
      </c>
      <c r="F146" s="108" t="s">
        <v>450</v>
      </c>
      <c r="G146" s="108" t="s">
        <v>451</v>
      </c>
      <c r="H146" s="108" t="s">
        <v>470</v>
      </c>
      <c r="I146" s="108" t="s">
        <v>464</v>
      </c>
    </row>
    <row r="147" spans="1:9">
      <c r="A147" s="168" t="s">
        <v>601</v>
      </c>
      <c r="B147" s="169" t="s">
        <v>446</v>
      </c>
      <c r="C147" s="169" t="s">
        <v>447</v>
      </c>
      <c r="D147" s="169" t="s">
        <v>448</v>
      </c>
      <c r="E147" s="169" t="s">
        <v>449</v>
      </c>
      <c r="F147" s="169" t="s">
        <v>450</v>
      </c>
      <c r="G147" s="169" t="s">
        <v>451</v>
      </c>
      <c r="H147" s="169" t="s">
        <v>452</v>
      </c>
      <c r="I147" s="169" t="s">
        <v>453</v>
      </c>
    </row>
    <row r="148" spans="1:9">
      <c r="A148" s="170" t="s">
        <v>602</v>
      </c>
      <c r="B148" s="108" t="s">
        <v>453</v>
      </c>
      <c r="C148" s="108" t="s">
        <v>463</v>
      </c>
      <c r="D148" s="108" t="s">
        <v>448</v>
      </c>
      <c r="E148" s="108" t="s">
        <v>452</v>
      </c>
      <c r="F148" s="108" t="s">
        <v>450</v>
      </c>
      <c r="G148" s="108" t="s">
        <v>451</v>
      </c>
      <c r="H148" s="108" t="s">
        <v>470</v>
      </c>
      <c r="I148" s="108" t="s">
        <v>468</v>
      </c>
    </row>
    <row r="149" spans="1:9">
      <c r="A149" s="168" t="s">
        <v>603</v>
      </c>
      <c r="B149" s="169" t="s">
        <v>446</v>
      </c>
      <c r="C149" s="169" t="s">
        <v>463</v>
      </c>
      <c r="D149" s="169" t="s">
        <v>448</v>
      </c>
      <c r="E149" s="169" t="s">
        <v>452</v>
      </c>
      <c r="F149" s="169" t="s">
        <v>450</v>
      </c>
      <c r="G149" s="169" t="s">
        <v>447</v>
      </c>
      <c r="H149" s="169" t="s">
        <v>453</v>
      </c>
      <c r="I149" s="169" t="s">
        <v>464</v>
      </c>
    </row>
    <row r="150" spans="1:9">
      <c r="A150" s="170" t="s">
        <v>604</v>
      </c>
      <c r="B150" s="108" t="s">
        <v>453</v>
      </c>
      <c r="C150" s="108" t="s">
        <v>447</v>
      </c>
      <c r="D150" s="108" t="s">
        <v>448</v>
      </c>
      <c r="E150" s="108" t="s">
        <v>452</v>
      </c>
      <c r="F150" s="108" t="s">
        <v>450</v>
      </c>
      <c r="G150" s="108" t="s">
        <v>446</v>
      </c>
      <c r="H150" s="108" t="s">
        <v>464</v>
      </c>
      <c r="I150" s="108" t="s">
        <v>468</v>
      </c>
    </row>
    <row r="151" spans="1:9">
      <c r="A151" s="168" t="s">
        <v>605</v>
      </c>
      <c r="B151" s="169" t="s">
        <v>453</v>
      </c>
      <c r="C151" s="169" t="s">
        <v>447</v>
      </c>
      <c r="D151" s="169" t="s">
        <v>448</v>
      </c>
      <c r="E151" s="169" t="s">
        <v>452</v>
      </c>
      <c r="F151" s="169" t="s">
        <v>450</v>
      </c>
      <c r="G151" s="169" t="s">
        <v>446</v>
      </c>
      <c r="H151" s="169" t="s">
        <v>470</v>
      </c>
      <c r="I151" s="169" t="s">
        <v>464</v>
      </c>
    </row>
    <row r="152" spans="1:9">
      <c r="A152" s="170" t="s">
        <v>606</v>
      </c>
      <c r="B152" s="108" t="s">
        <v>446</v>
      </c>
      <c r="C152" s="108" t="s">
        <v>463</v>
      </c>
      <c r="D152" s="108" t="s">
        <v>448</v>
      </c>
      <c r="E152" s="108" t="s">
        <v>452</v>
      </c>
      <c r="F152" s="108" t="s">
        <v>450</v>
      </c>
      <c r="G152" s="108" t="s">
        <v>447</v>
      </c>
      <c r="H152" s="108" t="s">
        <v>453</v>
      </c>
      <c r="I152" s="108" t="s">
        <v>468</v>
      </c>
    </row>
    <row r="153" spans="1:9">
      <c r="A153" s="168" t="s">
        <v>607</v>
      </c>
      <c r="B153" s="169" t="s">
        <v>446</v>
      </c>
      <c r="C153" s="169" t="s">
        <v>463</v>
      </c>
      <c r="D153" s="169" t="s">
        <v>448</v>
      </c>
      <c r="E153" s="169" t="s">
        <v>452</v>
      </c>
      <c r="F153" s="169" t="s">
        <v>450</v>
      </c>
      <c r="G153" s="169" t="s">
        <v>447</v>
      </c>
      <c r="H153" s="169" t="s">
        <v>470</v>
      </c>
      <c r="I153" s="169" t="s">
        <v>453</v>
      </c>
    </row>
    <row r="154" spans="1:9">
      <c r="A154" s="170" t="s">
        <v>608</v>
      </c>
      <c r="B154" s="108" t="s">
        <v>453</v>
      </c>
      <c r="C154" s="108" t="s">
        <v>447</v>
      </c>
      <c r="D154" s="108" t="s">
        <v>448</v>
      </c>
      <c r="E154" s="108" t="s">
        <v>452</v>
      </c>
      <c r="F154" s="108" t="s">
        <v>450</v>
      </c>
      <c r="G154" s="108" t="s">
        <v>446</v>
      </c>
      <c r="H154" s="108" t="s">
        <v>470</v>
      </c>
      <c r="I154" s="108" t="s">
        <v>468</v>
      </c>
    </row>
    <row r="155" spans="1:9">
      <c r="A155" s="168" t="s">
        <v>609</v>
      </c>
      <c r="B155" s="169" t="s">
        <v>453</v>
      </c>
      <c r="C155" s="169" t="s">
        <v>463</v>
      </c>
      <c r="D155" s="169" t="s">
        <v>448</v>
      </c>
      <c r="E155" s="169" t="s">
        <v>452</v>
      </c>
      <c r="F155" s="169" t="s">
        <v>450</v>
      </c>
      <c r="G155" s="169" t="s">
        <v>447</v>
      </c>
      <c r="H155" s="169" t="s">
        <v>464</v>
      </c>
      <c r="I155" s="169" t="s">
        <v>468</v>
      </c>
    </row>
    <row r="156" spans="1:9">
      <c r="A156" s="170" t="s">
        <v>610</v>
      </c>
      <c r="B156" s="108" t="s">
        <v>453</v>
      </c>
      <c r="C156" s="108" t="s">
        <v>463</v>
      </c>
      <c r="D156" s="108" t="s">
        <v>448</v>
      </c>
      <c r="E156" s="108" t="s">
        <v>452</v>
      </c>
      <c r="F156" s="108" t="s">
        <v>450</v>
      </c>
      <c r="G156" s="108" t="s">
        <v>447</v>
      </c>
      <c r="H156" s="108" t="s">
        <v>470</v>
      </c>
      <c r="I156" s="108" t="s">
        <v>464</v>
      </c>
    </row>
    <row r="157" spans="1:9">
      <c r="A157" s="168" t="s">
        <v>611</v>
      </c>
      <c r="B157" s="169" t="s">
        <v>453</v>
      </c>
      <c r="C157" s="169" t="s">
        <v>447</v>
      </c>
      <c r="D157" s="169" t="s">
        <v>448</v>
      </c>
      <c r="E157" s="169" t="s">
        <v>450</v>
      </c>
      <c r="F157" s="169" t="s">
        <v>464</v>
      </c>
      <c r="G157" s="169" t="s">
        <v>452</v>
      </c>
      <c r="H157" s="169" t="s">
        <v>470</v>
      </c>
      <c r="I157" s="169" t="s">
        <v>468</v>
      </c>
    </row>
    <row r="158" spans="1:9">
      <c r="A158" s="170" t="s">
        <v>612</v>
      </c>
      <c r="B158" s="108" t="s">
        <v>453</v>
      </c>
      <c r="C158" s="108" t="s">
        <v>463</v>
      </c>
      <c r="D158" s="108" t="s">
        <v>448</v>
      </c>
      <c r="E158" s="108" t="s">
        <v>452</v>
      </c>
      <c r="F158" s="108" t="s">
        <v>450</v>
      </c>
      <c r="G158" s="108" t="s">
        <v>447</v>
      </c>
      <c r="H158" s="108" t="s">
        <v>470</v>
      </c>
      <c r="I158" s="108" t="s">
        <v>468</v>
      </c>
    </row>
    <row r="159" spans="1:9">
      <c r="A159" s="168" t="s">
        <v>613</v>
      </c>
      <c r="B159" s="169" t="s">
        <v>453</v>
      </c>
      <c r="C159" s="169" t="s">
        <v>463</v>
      </c>
      <c r="D159" s="169" t="s">
        <v>448</v>
      </c>
      <c r="E159" s="169" t="s">
        <v>452</v>
      </c>
      <c r="F159" s="169" t="s">
        <v>450</v>
      </c>
      <c r="G159" s="169" t="s">
        <v>446</v>
      </c>
      <c r="H159" s="169" t="s">
        <v>464</v>
      </c>
      <c r="I159" s="169" t="s">
        <v>468</v>
      </c>
    </row>
    <row r="160" spans="1:9">
      <c r="A160" s="170" t="s">
        <v>614</v>
      </c>
      <c r="B160" s="108" t="s">
        <v>453</v>
      </c>
      <c r="C160" s="108" t="s">
        <v>463</v>
      </c>
      <c r="D160" s="108" t="s">
        <v>448</v>
      </c>
      <c r="E160" s="108" t="s">
        <v>450</v>
      </c>
      <c r="F160" s="108" t="s">
        <v>464</v>
      </c>
      <c r="G160" s="108" t="s">
        <v>452</v>
      </c>
      <c r="H160" s="108" t="s">
        <v>470</v>
      </c>
      <c r="I160" s="108" t="s">
        <v>468</v>
      </c>
    </row>
    <row r="161" spans="1:9">
      <c r="A161" s="168" t="s">
        <v>615</v>
      </c>
      <c r="B161" s="169" t="s">
        <v>453</v>
      </c>
      <c r="C161" s="169" t="s">
        <v>464</v>
      </c>
      <c r="D161" s="169" t="s">
        <v>448</v>
      </c>
      <c r="E161" s="169" t="s">
        <v>452</v>
      </c>
      <c r="F161" s="169" t="s">
        <v>450</v>
      </c>
      <c r="G161" s="169" t="s">
        <v>446</v>
      </c>
      <c r="H161" s="169" t="s">
        <v>470</v>
      </c>
      <c r="I161" s="169" t="s">
        <v>468</v>
      </c>
    </row>
    <row r="162" spans="1:9">
      <c r="A162" s="170" t="s">
        <v>616</v>
      </c>
      <c r="B162" s="108" t="s">
        <v>453</v>
      </c>
      <c r="C162" s="108" t="s">
        <v>463</v>
      </c>
      <c r="D162" s="108" t="s">
        <v>448</v>
      </c>
      <c r="E162" s="108" t="s">
        <v>452</v>
      </c>
      <c r="F162" s="108" t="s">
        <v>450</v>
      </c>
      <c r="G162" s="108" t="s">
        <v>446</v>
      </c>
      <c r="H162" s="108" t="s">
        <v>470</v>
      </c>
      <c r="I162" s="108" t="s">
        <v>468</v>
      </c>
    </row>
    <row r="163" spans="1:9">
      <c r="A163" s="168" t="s">
        <v>617</v>
      </c>
      <c r="B163" s="169" t="s">
        <v>446</v>
      </c>
      <c r="C163" s="169" t="s">
        <v>447</v>
      </c>
      <c r="D163" s="169" t="s">
        <v>448</v>
      </c>
      <c r="E163" s="169" t="s">
        <v>449</v>
      </c>
      <c r="F163" s="169" t="s">
        <v>450</v>
      </c>
      <c r="G163" s="169" t="s">
        <v>451</v>
      </c>
      <c r="H163" s="169" t="s">
        <v>452</v>
      </c>
      <c r="I163" s="169" t="s">
        <v>453</v>
      </c>
    </row>
    <row r="164" spans="1:9">
      <c r="A164" s="170" t="s">
        <v>618</v>
      </c>
      <c r="B164" s="108" t="s">
        <v>446</v>
      </c>
      <c r="C164" s="108" t="s">
        <v>447</v>
      </c>
      <c r="D164" s="108" t="s">
        <v>448</v>
      </c>
      <c r="E164" s="108" t="s">
        <v>452</v>
      </c>
      <c r="F164" s="108" t="s">
        <v>450</v>
      </c>
      <c r="G164" s="108" t="s">
        <v>451</v>
      </c>
      <c r="H164" s="108" t="s">
        <v>464</v>
      </c>
      <c r="I164" s="108" t="s">
        <v>463</v>
      </c>
    </row>
    <row r="165" spans="1:9">
      <c r="A165" s="168" t="s">
        <v>619</v>
      </c>
      <c r="B165" s="169" t="s">
        <v>446</v>
      </c>
      <c r="C165" s="169" t="s">
        <v>447</v>
      </c>
      <c r="D165" s="169" t="s">
        <v>448</v>
      </c>
      <c r="E165" s="169" t="s">
        <v>452</v>
      </c>
      <c r="F165" s="169" t="s">
        <v>450</v>
      </c>
      <c r="G165" s="169" t="s">
        <v>451</v>
      </c>
      <c r="H165" s="169" t="s">
        <v>464</v>
      </c>
      <c r="I165" s="169" t="s">
        <v>468</v>
      </c>
    </row>
    <row r="166" spans="1:9">
      <c r="A166" s="170" t="s">
        <v>620</v>
      </c>
      <c r="B166" s="108" t="s">
        <v>446</v>
      </c>
      <c r="C166" s="108" t="s">
        <v>447</v>
      </c>
      <c r="D166" s="108" t="s">
        <v>448</v>
      </c>
      <c r="E166" s="108" t="s">
        <v>452</v>
      </c>
      <c r="F166" s="108" t="s">
        <v>450</v>
      </c>
      <c r="G166" s="108" t="s">
        <v>451</v>
      </c>
      <c r="H166" s="108" t="s">
        <v>470</v>
      </c>
      <c r="I166" s="108" t="s">
        <v>464</v>
      </c>
    </row>
    <row r="167" spans="1:9">
      <c r="A167" s="168" t="s">
        <v>621</v>
      </c>
      <c r="B167" s="169" t="s">
        <v>446</v>
      </c>
      <c r="C167" s="169" t="s">
        <v>447</v>
      </c>
      <c r="D167" s="169" t="s">
        <v>448</v>
      </c>
      <c r="E167" s="169" t="s">
        <v>452</v>
      </c>
      <c r="F167" s="169" t="s">
        <v>450</v>
      </c>
      <c r="G167" s="169" t="s">
        <v>451</v>
      </c>
      <c r="H167" s="169" t="s">
        <v>463</v>
      </c>
      <c r="I167" s="169" t="s">
        <v>468</v>
      </c>
    </row>
    <row r="168" spans="1:9">
      <c r="A168" s="170" t="s">
        <v>622</v>
      </c>
      <c r="B168" s="108" t="s">
        <v>446</v>
      </c>
      <c r="C168" s="108" t="s">
        <v>447</v>
      </c>
      <c r="D168" s="108" t="s">
        <v>448</v>
      </c>
      <c r="E168" s="108" t="s">
        <v>452</v>
      </c>
      <c r="F168" s="108" t="s">
        <v>450</v>
      </c>
      <c r="G168" s="108" t="s">
        <v>451</v>
      </c>
      <c r="H168" s="108" t="s">
        <v>470</v>
      </c>
      <c r="I168" s="108" t="s">
        <v>463</v>
      </c>
    </row>
    <row r="169" spans="1:9">
      <c r="A169" s="168" t="s">
        <v>623</v>
      </c>
      <c r="B169" s="169" t="s">
        <v>446</v>
      </c>
      <c r="C169" s="169" t="s">
        <v>447</v>
      </c>
      <c r="D169" s="169" t="s">
        <v>448</v>
      </c>
      <c r="E169" s="169" t="s">
        <v>452</v>
      </c>
      <c r="F169" s="169" t="s">
        <v>450</v>
      </c>
      <c r="G169" s="169" t="s">
        <v>451</v>
      </c>
      <c r="H169" s="169" t="s">
        <v>470</v>
      </c>
      <c r="I169" s="169" t="s">
        <v>468</v>
      </c>
    </row>
    <row r="170" spans="1:9">
      <c r="A170" s="170" t="s">
        <v>624</v>
      </c>
      <c r="B170" s="108" t="s">
        <v>451</v>
      </c>
      <c r="C170" s="108" t="s">
        <v>463</v>
      </c>
      <c r="D170" s="108" t="s">
        <v>448</v>
      </c>
      <c r="E170" s="108" t="s">
        <v>452</v>
      </c>
      <c r="F170" s="108" t="s">
        <v>450</v>
      </c>
      <c r="G170" s="108" t="s">
        <v>447</v>
      </c>
      <c r="H170" s="108" t="s">
        <v>464</v>
      </c>
      <c r="I170" s="108" t="s">
        <v>468</v>
      </c>
    </row>
    <row r="171" spans="1:9">
      <c r="A171" s="168" t="s">
        <v>625</v>
      </c>
      <c r="B171" s="169" t="s">
        <v>451</v>
      </c>
      <c r="C171" s="169" t="s">
        <v>463</v>
      </c>
      <c r="D171" s="169" t="s">
        <v>448</v>
      </c>
      <c r="E171" s="169" t="s">
        <v>452</v>
      </c>
      <c r="F171" s="169" t="s">
        <v>450</v>
      </c>
      <c r="G171" s="169" t="s">
        <v>447</v>
      </c>
      <c r="H171" s="169" t="s">
        <v>470</v>
      </c>
      <c r="I171" s="169" t="s">
        <v>464</v>
      </c>
    </row>
    <row r="172" spans="1:9">
      <c r="A172" s="170" t="s">
        <v>626</v>
      </c>
      <c r="B172" s="108" t="s">
        <v>464</v>
      </c>
      <c r="C172" s="108" t="s">
        <v>447</v>
      </c>
      <c r="D172" s="108" t="s">
        <v>448</v>
      </c>
      <c r="E172" s="108" t="s">
        <v>452</v>
      </c>
      <c r="F172" s="108" t="s">
        <v>450</v>
      </c>
      <c r="G172" s="108" t="s">
        <v>451</v>
      </c>
      <c r="H172" s="108" t="s">
        <v>470</v>
      </c>
      <c r="I172" s="108" t="s">
        <v>468</v>
      </c>
    </row>
    <row r="173" spans="1:9">
      <c r="A173" s="168" t="s">
        <v>627</v>
      </c>
      <c r="B173" s="169" t="s">
        <v>451</v>
      </c>
      <c r="C173" s="169" t="s">
        <v>463</v>
      </c>
      <c r="D173" s="169" t="s">
        <v>448</v>
      </c>
      <c r="E173" s="169" t="s">
        <v>452</v>
      </c>
      <c r="F173" s="169" t="s">
        <v>450</v>
      </c>
      <c r="G173" s="169" t="s">
        <v>447</v>
      </c>
      <c r="H173" s="169" t="s">
        <v>470</v>
      </c>
      <c r="I173" s="169" t="s">
        <v>468</v>
      </c>
    </row>
    <row r="174" spans="1:9">
      <c r="A174" s="170" t="s">
        <v>628</v>
      </c>
      <c r="B174" s="108" t="s">
        <v>446</v>
      </c>
      <c r="C174" s="108" t="s">
        <v>463</v>
      </c>
      <c r="D174" s="108" t="s">
        <v>448</v>
      </c>
      <c r="E174" s="108" t="s">
        <v>452</v>
      </c>
      <c r="F174" s="108" t="s">
        <v>450</v>
      </c>
      <c r="G174" s="108" t="s">
        <v>451</v>
      </c>
      <c r="H174" s="108" t="s">
        <v>464</v>
      </c>
      <c r="I174" s="108" t="s">
        <v>468</v>
      </c>
    </row>
    <row r="175" spans="1:9">
      <c r="A175" s="168" t="s">
        <v>629</v>
      </c>
      <c r="B175" s="169" t="s">
        <v>446</v>
      </c>
      <c r="C175" s="169" t="s">
        <v>463</v>
      </c>
      <c r="D175" s="169" t="s">
        <v>448</v>
      </c>
      <c r="E175" s="169" t="s">
        <v>452</v>
      </c>
      <c r="F175" s="169" t="s">
        <v>450</v>
      </c>
      <c r="G175" s="169" t="s">
        <v>451</v>
      </c>
      <c r="H175" s="169" t="s">
        <v>470</v>
      </c>
      <c r="I175" s="169" t="s">
        <v>464</v>
      </c>
    </row>
    <row r="176" spans="1:9">
      <c r="A176" s="170" t="s">
        <v>630</v>
      </c>
      <c r="B176" s="108" t="s">
        <v>446</v>
      </c>
      <c r="C176" s="108" t="s">
        <v>464</v>
      </c>
      <c r="D176" s="108" t="s">
        <v>448</v>
      </c>
      <c r="E176" s="108" t="s">
        <v>452</v>
      </c>
      <c r="F176" s="108" t="s">
        <v>450</v>
      </c>
      <c r="G176" s="108" t="s">
        <v>451</v>
      </c>
      <c r="H176" s="108" t="s">
        <v>470</v>
      </c>
      <c r="I176" s="108" t="s">
        <v>468</v>
      </c>
    </row>
    <row r="177" spans="1:9">
      <c r="A177" s="168" t="s">
        <v>631</v>
      </c>
      <c r="B177" s="169" t="s">
        <v>446</v>
      </c>
      <c r="C177" s="169" t="s">
        <v>463</v>
      </c>
      <c r="D177" s="169" t="s">
        <v>448</v>
      </c>
      <c r="E177" s="169" t="s">
        <v>452</v>
      </c>
      <c r="F177" s="169" t="s">
        <v>450</v>
      </c>
      <c r="G177" s="169" t="s">
        <v>451</v>
      </c>
      <c r="H177" s="169" t="s">
        <v>470</v>
      </c>
      <c r="I177" s="169" t="s">
        <v>468</v>
      </c>
    </row>
    <row r="178" spans="1:9">
      <c r="A178" s="170" t="s">
        <v>632</v>
      </c>
      <c r="B178" s="108" t="s">
        <v>464</v>
      </c>
      <c r="C178" s="108" t="s">
        <v>463</v>
      </c>
      <c r="D178" s="108" t="s">
        <v>448</v>
      </c>
      <c r="E178" s="108" t="s">
        <v>452</v>
      </c>
      <c r="F178" s="108" t="s">
        <v>450</v>
      </c>
      <c r="G178" s="108" t="s">
        <v>451</v>
      </c>
      <c r="H178" s="108" t="s">
        <v>470</v>
      </c>
      <c r="I178" s="108" t="s">
        <v>468</v>
      </c>
    </row>
    <row r="179" spans="1:9">
      <c r="A179" s="168" t="s">
        <v>633</v>
      </c>
      <c r="B179" s="169" t="s">
        <v>446</v>
      </c>
      <c r="C179" s="169" t="s">
        <v>463</v>
      </c>
      <c r="D179" s="169" t="s">
        <v>448</v>
      </c>
      <c r="E179" s="169" t="s">
        <v>452</v>
      </c>
      <c r="F179" s="169" t="s">
        <v>450</v>
      </c>
      <c r="G179" s="169" t="s">
        <v>447</v>
      </c>
      <c r="H179" s="169" t="s">
        <v>464</v>
      </c>
      <c r="I179" s="169" t="s">
        <v>468</v>
      </c>
    </row>
    <row r="180" spans="1:9">
      <c r="A180" s="170" t="s">
        <v>634</v>
      </c>
      <c r="B180" s="108" t="s">
        <v>464</v>
      </c>
      <c r="C180" s="108" t="s">
        <v>463</v>
      </c>
      <c r="D180" s="108" t="s">
        <v>448</v>
      </c>
      <c r="E180" s="108" t="s">
        <v>452</v>
      </c>
      <c r="F180" s="108" t="s">
        <v>450</v>
      </c>
      <c r="G180" s="108" t="s">
        <v>447</v>
      </c>
      <c r="H180" s="108" t="s">
        <v>470</v>
      </c>
      <c r="I180" s="108" t="s">
        <v>468</v>
      </c>
    </row>
    <row r="181" spans="1:9">
      <c r="A181" s="168" t="s">
        <v>635</v>
      </c>
      <c r="B181" s="169" t="s">
        <v>464</v>
      </c>
      <c r="C181" s="169" t="s">
        <v>447</v>
      </c>
      <c r="D181" s="169" t="s">
        <v>448</v>
      </c>
      <c r="E181" s="169" t="s">
        <v>452</v>
      </c>
      <c r="F181" s="169" t="s">
        <v>450</v>
      </c>
      <c r="G181" s="169" t="s">
        <v>446</v>
      </c>
      <c r="H181" s="169" t="s">
        <v>470</v>
      </c>
      <c r="I181" s="169" t="s">
        <v>468</v>
      </c>
    </row>
    <row r="182" spans="1:9">
      <c r="A182" s="170" t="s">
        <v>636</v>
      </c>
      <c r="B182" s="108" t="s">
        <v>446</v>
      </c>
      <c r="C182" s="108" t="s">
        <v>463</v>
      </c>
      <c r="D182" s="108" t="s">
        <v>448</v>
      </c>
      <c r="E182" s="108" t="s">
        <v>452</v>
      </c>
      <c r="F182" s="108" t="s">
        <v>450</v>
      </c>
      <c r="G182" s="108" t="s">
        <v>447</v>
      </c>
      <c r="H182" s="108" t="s">
        <v>470</v>
      </c>
      <c r="I182" s="108" t="s">
        <v>468</v>
      </c>
    </row>
    <row r="183" spans="1:9">
      <c r="A183" s="168" t="s">
        <v>637</v>
      </c>
      <c r="B183" s="169" t="s">
        <v>446</v>
      </c>
      <c r="C183" s="169" t="s">
        <v>447</v>
      </c>
      <c r="D183" s="169" t="s">
        <v>448</v>
      </c>
      <c r="E183" s="169" t="s">
        <v>449</v>
      </c>
      <c r="F183" s="169" t="s">
        <v>450</v>
      </c>
      <c r="G183" s="169" t="s">
        <v>451</v>
      </c>
      <c r="H183" s="169" t="s">
        <v>452</v>
      </c>
      <c r="I183" s="169" t="s">
        <v>453</v>
      </c>
    </row>
    <row r="184" spans="1:9">
      <c r="A184" s="170" t="s">
        <v>638</v>
      </c>
      <c r="B184" s="108" t="s">
        <v>464</v>
      </c>
      <c r="C184" s="108" t="s">
        <v>463</v>
      </c>
      <c r="D184" s="108" t="s">
        <v>448</v>
      </c>
      <c r="E184" s="108" t="s">
        <v>452</v>
      </c>
      <c r="F184" s="108" t="s">
        <v>450</v>
      </c>
      <c r="G184" s="108" t="s">
        <v>446</v>
      </c>
      <c r="H184" s="108" t="s">
        <v>470</v>
      </c>
      <c r="I184" s="108" t="s">
        <v>468</v>
      </c>
    </row>
    <row r="185" spans="1:9">
      <c r="A185" s="168" t="s">
        <v>639</v>
      </c>
      <c r="B185" s="169" t="s">
        <v>446</v>
      </c>
      <c r="C185" s="169" t="s">
        <v>463</v>
      </c>
      <c r="D185" s="169" t="s">
        <v>448</v>
      </c>
      <c r="E185" s="169" t="s">
        <v>451</v>
      </c>
      <c r="F185" s="169" t="s">
        <v>450</v>
      </c>
      <c r="G185" s="169" t="s">
        <v>447</v>
      </c>
      <c r="H185" s="169" t="s">
        <v>453</v>
      </c>
      <c r="I185" s="169" t="s">
        <v>464</v>
      </c>
    </row>
    <row r="186" spans="1:9">
      <c r="A186" s="170" t="s">
        <v>640</v>
      </c>
      <c r="B186" s="108" t="s">
        <v>453</v>
      </c>
      <c r="C186" s="108" t="s">
        <v>447</v>
      </c>
      <c r="D186" s="108" t="s">
        <v>448</v>
      </c>
      <c r="E186" s="108" t="s">
        <v>451</v>
      </c>
      <c r="F186" s="108" t="s">
        <v>450</v>
      </c>
      <c r="G186" s="108" t="s">
        <v>446</v>
      </c>
      <c r="H186" s="108" t="s">
        <v>464</v>
      </c>
      <c r="I186" s="108" t="s">
        <v>468</v>
      </c>
    </row>
    <row r="187" spans="1:9">
      <c r="A187" s="168" t="s">
        <v>641</v>
      </c>
      <c r="B187" s="169" t="s">
        <v>453</v>
      </c>
      <c r="C187" s="169" t="s">
        <v>447</v>
      </c>
      <c r="D187" s="169" t="s">
        <v>448</v>
      </c>
      <c r="E187" s="169" t="s">
        <v>451</v>
      </c>
      <c r="F187" s="169" t="s">
        <v>450</v>
      </c>
      <c r="G187" s="169" t="s">
        <v>446</v>
      </c>
      <c r="H187" s="169" t="s">
        <v>470</v>
      </c>
      <c r="I187" s="169" t="s">
        <v>464</v>
      </c>
    </row>
    <row r="188" spans="1:9">
      <c r="A188" s="170" t="s">
        <v>642</v>
      </c>
      <c r="B188" s="108" t="s">
        <v>446</v>
      </c>
      <c r="C188" s="108" t="s">
        <v>463</v>
      </c>
      <c r="D188" s="108" t="s">
        <v>448</v>
      </c>
      <c r="E188" s="108" t="s">
        <v>451</v>
      </c>
      <c r="F188" s="108" t="s">
        <v>450</v>
      </c>
      <c r="G188" s="108" t="s">
        <v>447</v>
      </c>
      <c r="H188" s="108" t="s">
        <v>453</v>
      </c>
      <c r="I188" s="108" t="s">
        <v>468</v>
      </c>
    </row>
    <row r="189" spans="1:9">
      <c r="A189" s="168" t="s">
        <v>643</v>
      </c>
      <c r="B189" s="169" t="s">
        <v>446</v>
      </c>
      <c r="C189" s="169" t="s">
        <v>463</v>
      </c>
      <c r="D189" s="169" t="s">
        <v>448</v>
      </c>
      <c r="E189" s="169" t="s">
        <v>451</v>
      </c>
      <c r="F189" s="169" t="s">
        <v>450</v>
      </c>
      <c r="G189" s="169" t="s">
        <v>447</v>
      </c>
      <c r="H189" s="169" t="s">
        <v>470</v>
      </c>
      <c r="I189" s="169" t="s">
        <v>453</v>
      </c>
    </row>
    <row r="190" spans="1:9">
      <c r="A190" s="170" t="s">
        <v>644</v>
      </c>
      <c r="B190" s="108" t="s">
        <v>453</v>
      </c>
      <c r="C190" s="108" t="s">
        <v>447</v>
      </c>
      <c r="D190" s="108" t="s">
        <v>448</v>
      </c>
      <c r="E190" s="108" t="s">
        <v>451</v>
      </c>
      <c r="F190" s="108" t="s">
        <v>450</v>
      </c>
      <c r="G190" s="108" t="s">
        <v>446</v>
      </c>
      <c r="H190" s="108" t="s">
        <v>470</v>
      </c>
      <c r="I190" s="108" t="s">
        <v>468</v>
      </c>
    </row>
    <row r="191" spans="1:9">
      <c r="A191" s="168" t="s">
        <v>645</v>
      </c>
      <c r="B191" s="169" t="s">
        <v>453</v>
      </c>
      <c r="C191" s="169" t="s">
        <v>463</v>
      </c>
      <c r="D191" s="169" t="s">
        <v>448</v>
      </c>
      <c r="E191" s="169" t="s">
        <v>451</v>
      </c>
      <c r="F191" s="169" t="s">
        <v>450</v>
      </c>
      <c r="G191" s="169" t="s">
        <v>447</v>
      </c>
      <c r="H191" s="169" t="s">
        <v>464</v>
      </c>
      <c r="I191" s="169" t="s">
        <v>468</v>
      </c>
    </row>
    <row r="192" spans="1:9">
      <c r="A192" s="170" t="s">
        <v>646</v>
      </c>
      <c r="B192" s="108" t="s">
        <v>453</v>
      </c>
      <c r="C192" s="108" t="s">
        <v>463</v>
      </c>
      <c r="D192" s="108" t="s">
        <v>448</v>
      </c>
      <c r="E192" s="108" t="s">
        <v>451</v>
      </c>
      <c r="F192" s="108" t="s">
        <v>450</v>
      </c>
      <c r="G192" s="108" t="s">
        <v>447</v>
      </c>
      <c r="H192" s="108" t="s">
        <v>470</v>
      </c>
      <c r="I192" s="108" t="s">
        <v>464</v>
      </c>
    </row>
    <row r="193" spans="1:9">
      <c r="A193" s="168" t="s">
        <v>647</v>
      </c>
      <c r="B193" s="169" t="s">
        <v>453</v>
      </c>
      <c r="C193" s="169" t="s">
        <v>447</v>
      </c>
      <c r="D193" s="169" t="s">
        <v>448</v>
      </c>
      <c r="E193" s="169" t="s">
        <v>450</v>
      </c>
      <c r="F193" s="169" t="s">
        <v>464</v>
      </c>
      <c r="G193" s="169" t="s">
        <v>451</v>
      </c>
      <c r="H193" s="169" t="s">
        <v>470</v>
      </c>
      <c r="I193" s="169" t="s">
        <v>468</v>
      </c>
    </row>
    <row r="194" spans="1:9">
      <c r="A194" s="170" t="s">
        <v>648</v>
      </c>
      <c r="B194" s="108" t="s">
        <v>453</v>
      </c>
      <c r="C194" s="108" t="s">
        <v>463</v>
      </c>
      <c r="D194" s="108" t="s">
        <v>448</v>
      </c>
      <c r="E194" s="108" t="s">
        <v>451</v>
      </c>
      <c r="F194" s="108" t="s">
        <v>450</v>
      </c>
      <c r="G194" s="108" t="s">
        <v>447</v>
      </c>
      <c r="H194" s="108" t="s">
        <v>470</v>
      </c>
      <c r="I194" s="108" t="s">
        <v>468</v>
      </c>
    </row>
    <row r="195" spans="1:9">
      <c r="A195" s="168" t="s">
        <v>649</v>
      </c>
      <c r="B195" s="169" t="s">
        <v>453</v>
      </c>
      <c r="C195" s="169" t="s">
        <v>463</v>
      </c>
      <c r="D195" s="169" t="s">
        <v>448</v>
      </c>
      <c r="E195" s="169" t="s">
        <v>451</v>
      </c>
      <c r="F195" s="169" t="s">
        <v>450</v>
      </c>
      <c r="G195" s="169" t="s">
        <v>446</v>
      </c>
      <c r="H195" s="169" t="s">
        <v>464</v>
      </c>
      <c r="I195" s="169" t="s">
        <v>468</v>
      </c>
    </row>
    <row r="196" spans="1:9">
      <c r="A196" s="170" t="s">
        <v>650</v>
      </c>
      <c r="B196" s="108" t="s">
        <v>453</v>
      </c>
      <c r="C196" s="108" t="s">
        <v>463</v>
      </c>
      <c r="D196" s="108" t="s">
        <v>448</v>
      </c>
      <c r="E196" s="108" t="s">
        <v>451</v>
      </c>
      <c r="F196" s="108" t="s">
        <v>450</v>
      </c>
      <c r="G196" s="108" t="s">
        <v>446</v>
      </c>
      <c r="H196" s="108" t="s">
        <v>470</v>
      </c>
      <c r="I196" s="108" t="s">
        <v>464</v>
      </c>
    </row>
    <row r="197" spans="1:9">
      <c r="A197" s="168" t="s">
        <v>651</v>
      </c>
      <c r="B197" s="169" t="s">
        <v>453</v>
      </c>
      <c r="C197" s="169" t="s">
        <v>464</v>
      </c>
      <c r="D197" s="169" t="s">
        <v>448</v>
      </c>
      <c r="E197" s="169" t="s">
        <v>451</v>
      </c>
      <c r="F197" s="169" t="s">
        <v>450</v>
      </c>
      <c r="G197" s="169" t="s">
        <v>446</v>
      </c>
      <c r="H197" s="169" t="s">
        <v>470</v>
      </c>
      <c r="I197" s="169" t="s">
        <v>468</v>
      </c>
    </row>
    <row r="198" spans="1:9">
      <c r="A198" s="170" t="s">
        <v>652</v>
      </c>
      <c r="B198" s="108" t="s">
        <v>453</v>
      </c>
      <c r="C198" s="108" t="s">
        <v>463</v>
      </c>
      <c r="D198" s="108" t="s">
        <v>448</v>
      </c>
      <c r="E198" s="108" t="s">
        <v>451</v>
      </c>
      <c r="F198" s="108" t="s">
        <v>450</v>
      </c>
      <c r="G198" s="108" t="s">
        <v>446</v>
      </c>
      <c r="H198" s="108" t="s">
        <v>470</v>
      </c>
      <c r="I198" s="108" t="s">
        <v>468</v>
      </c>
    </row>
    <row r="199" spans="1:9">
      <c r="A199" s="168" t="s">
        <v>653</v>
      </c>
      <c r="B199" s="169" t="s">
        <v>453</v>
      </c>
      <c r="C199" s="169" t="s">
        <v>463</v>
      </c>
      <c r="D199" s="169" t="s">
        <v>448</v>
      </c>
      <c r="E199" s="169" t="s">
        <v>450</v>
      </c>
      <c r="F199" s="169" t="s">
        <v>464</v>
      </c>
      <c r="G199" s="169" t="s">
        <v>451</v>
      </c>
      <c r="H199" s="169" t="s">
        <v>470</v>
      </c>
      <c r="I199" s="169" t="s">
        <v>468</v>
      </c>
    </row>
    <row r="200" spans="1:9">
      <c r="A200" s="170" t="s">
        <v>654</v>
      </c>
      <c r="B200" s="108" t="s">
        <v>453</v>
      </c>
      <c r="C200" s="108" t="s">
        <v>463</v>
      </c>
      <c r="D200" s="108" t="s">
        <v>448</v>
      </c>
      <c r="E200" s="108" t="s">
        <v>450</v>
      </c>
      <c r="F200" s="108" t="s">
        <v>446</v>
      </c>
      <c r="G200" s="108" t="s">
        <v>447</v>
      </c>
      <c r="H200" s="108" t="s">
        <v>464</v>
      </c>
      <c r="I200" s="108" t="s">
        <v>468</v>
      </c>
    </row>
    <row r="201" spans="1:9">
      <c r="A201" s="168" t="s">
        <v>655</v>
      </c>
      <c r="B201" s="169" t="s">
        <v>453</v>
      </c>
      <c r="C201" s="169" t="s">
        <v>463</v>
      </c>
      <c r="D201" s="169" t="s">
        <v>448</v>
      </c>
      <c r="E201" s="169" t="s">
        <v>450</v>
      </c>
      <c r="F201" s="169" t="s">
        <v>464</v>
      </c>
      <c r="G201" s="169" t="s">
        <v>447</v>
      </c>
      <c r="H201" s="169" t="s">
        <v>470</v>
      </c>
      <c r="I201" s="169" t="s">
        <v>468</v>
      </c>
    </row>
    <row r="202" spans="1:9">
      <c r="A202" s="170" t="s">
        <v>656</v>
      </c>
      <c r="B202" s="108" t="s">
        <v>453</v>
      </c>
      <c r="C202" s="108" t="s">
        <v>447</v>
      </c>
      <c r="D202" s="108" t="s">
        <v>448</v>
      </c>
      <c r="E202" s="108" t="s">
        <v>450</v>
      </c>
      <c r="F202" s="108" t="s">
        <v>464</v>
      </c>
      <c r="G202" s="108" t="s">
        <v>446</v>
      </c>
      <c r="H202" s="108" t="s">
        <v>470</v>
      </c>
      <c r="I202" s="108" t="s">
        <v>468</v>
      </c>
    </row>
    <row r="203" spans="1:9">
      <c r="A203" s="168" t="s">
        <v>657</v>
      </c>
      <c r="B203" s="169" t="s">
        <v>453</v>
      </c>
      <c r="C203" s="169" t="s">
        <v>463</v>
      </c>
      <c r="D203" s="169" t="s">
        <v>448</v>
      </c>
      <c r="E203" s="169" t="s">
        <v>450</v>
      </c>
      <c r="F203" s="169" t="s">
        <v>446</v>
      </c>
      <c r="G203" s="169" t="s">
        <v>447</v>
      </c>
      <c r="H203" s="169" t="s">
        <v>470</v>
      </c>
      <c r="I203" s="169" t="s">
        <v>468</v>
      </c>
    </row>
    <row r="204" spans="1:9">
      <c r="A204" s="170" t="s">
        <v>658</v>
      </c>
      <c r="B204" s="108" t="s">
        <v>446</v>
      </c>
      <c r="C204" s="108" t="s">
        <v>447</v>
      </c>
      <c r="D204" s="108" t="s">
        <v>448</v>
      </c>
      <c r="E204" s="108" t="s">
        <v>449</v>
      </c>
      <c r="F204" s="108" t="s">
        <v>450</v>
      </c>
      <c r="G204" s="108" t="s">
        <v>451</v>
      </c>
      <c r="H204" s="108" t="s">
        <v>452</v>
      </c>
      <c r="I204" s="108" t="s">
        <v>453</v>
      </c>
    </row>
    <row r="205" spans="1:9">
      <c r="A205" s="168" t="s">
        <v>659</v>
      </c>
      <c r="B205" s="169" t="s">
        <v>453</v>
      </c>
      <c r="C205" s="169" t="s">
        <v>463</v>
      </c>
      <c r="D205" s="169" t="s">
        <v>448</v>
      </c>
      <c r="E205" s="169" t="s">
        <v>450</v>
      </c>
      <c r="F205" s="169" t="s">
        <v>464</v>
      </c>
      <c r="G205" s="169" t="s">
        <v>446</v>
      </c>
      <c r="H205" s="169" t="s">
        <v>470</v>
      </c>
      <c r="I205" s="169" t="s">
        <v>468</v>
      </c>
    </row>
    <row r="206" spans="1:9">
      <c r="A206" s="170" t="s">
        <v>660</v>
      </c>
      <c r="B206" s="108" t="s">
        <v>446</v>
      </c>
      <c r="C206" s="108" t="s">
        <v>463</v>
      </c>
      <c r="D206" s="108" t="s">
        <v>448</v>
      </c>
      <c r="E206" s="108" t="s">
        <v>451</v>
      </c>
      <c r="F206" s="108" t="s">
        <v>450</v>
      </c>
      <c r="G206" s="108" t="s">
        <v>447</v>
      </c>
      <c r="H206" s="108" t="s">
        <v>464</v>
      </c>
      <c r="I206" s="108" t="s">
        <v>468</v>
      </c>
    </row>
    <row r="207" spans="1:9">
      <c r="A207" s="168" t="s">
        <v>661</v>
      </c>
      <c r="B207" s="169" t="s">
        <v>446</v>
      </c>
      <c r="C207" s="169" t="s">
        <v>463</v>
      </c>
      <c r="D207" s="169" t="s">
        <v>448</v>
      </c>
      <c r="E207" s="169" t="s">
        <v>451</v>
      </c>
      <c r="F207" s="169" t="s">
        <v>450</v>
      </c>
      <c r="G207" s="169" t="s">
        <v>447</v>
      </c>
      <c r="H207" s="169" t="s">
        <v>470</v>
      </c>
      <c r="I207" s="169" t="s">
        <v>464</v>
      </c>
    </row>
    <row r="208" spans="1:9">
      <c r="A208" s="170" t="s">
        <v>662</v>
      </c>
      <c r="B208" s="108" t="s">
        <v>446</v>
      </c>
      <c r="C208" s="108" t="s">
        <v>447</v>
      </c>
      <c r="D208" s="108" t="s">
        <v>448</v>
      </c>
      <c r="E208" s="108" t="s">
        <v>450</v>
      </c>
      <c r="F208" s="108" t="s">
        <v>464</v>
      </c>
      <c r="G208" s="108" t="s">
        <v>451</v>
      </c>
      <c r="H208" s="108" t="s">
        <v>470</v>
      </c>
      <c r="I208" s="108" t="s">
        <v>468</v>
      </c>
    </row>
    <row r="209" spans="1:9">
      <c r="A209" s="168" t="s">
        <v>663</v>
      </c>
      <c r="B209" s="169" t="s">
        <v>446</v>
      </c>
      <c r="C209" s="169" t="s">
        <v>463</v>
      </c>
      <c r="D209" s="169" t="s">
        <v>448</v>
      </c>
      <c r="E209" s="169" t="s">
        <v>451</v>
      </c>
      <c r="F209" s="169" t="s">
        <v>450</v>
      </c>
      <c r="G209" s="169" t="s">
        <v>447</v>
      </c>
      <c r="H209" s="169" t="s">
        <v>470</v>
      </c>
      <c r="I209" s="169" t="s">
        <v>468</v>
      </c>
    </row>
    <row r="210" spans="1:9">
      <c r="A210" s="170" t="s">
        <v>664</v>
      </c>
      <c r="B210" s="108" t="s">
        <v>464</v>
      </c>
      <c r="C210" s="108" t="s">
        <v>463</v>
      </c>
      <c r="D210" s="108" t="s">
        <v>448</v>
      </c>
      <c r="E210" s="108" t="s">
        <v>451</v>
      </c>
      <c r="F210" s="108" t="s">
        <v>450</v>
      </c>
      <c r="G210" s="108" t="s">
        <v>447</v>
      </c>
      <c r="H210" s="108" t="s">
        <v>470</v>
      </c>
      <c r="I210" s="108" t="s">
        <v>468</v>
      </c>
    </row>
    <row r="211" spans="1:9">
      <c r="A211" s="168" t="s">
        <v>665</v>
      </c>
      <c r="B211" s="169" t="s">
        <v>446</v>
      </c>
      <c r="C211" s="169" t="s">
        <v>463</v>
      </c>
      <c r="D211" s="169" t="s">
        <v>448</v>
      </c>
      <c r="E211" s="169" t="s">
        <v>450</v>
      </c>
      <c r="F211" s="169" t="s">
        <v>464</v>
      </c>
      <c r="G211" s="169" t="s">
        <v>451</v>
      </c>
      <c r="H211" s="169" t="s">
        <v>470</v>
      </c>
      <c r="I211" s="169" t="s">
        <v>468</v>
      </c>
    </row>
    <row r="212" spans="1:9">
      <c r="A212" s="170" t="s">
        <v>666</v>
      </c>
      <c r="B212" s="108" t="s">
        <v>446</v>
      </c>
      <c r="C212" s="108" t="s">
        <v>463</v>
      </c>
      <c r="D212" s="108" t="s">
        <v>448</v>
      </c>
      <c r="E212" s="108" t="s">
        <v>450</v>
      </c>
      <c r="F212" s="108" t="s">
        <v>464</v>
      </c>
      <c r="G212" s="108" t="s">
        <v>447</v>
      </c>
      <c r="H212" s="108" t="s">
        <v>470</v>
      </c>
      <c r="I212" s="108" t="s">
        <v>468</v>
      </c>
    </row>
    <row r="213" spans="1:9">
      <c r="A213" s="168" t="s">
        <v>667</v>
      </c>
      <c r="B213" s="169" t="s">
        <v>446</v>
      </c>
      <c r="C213" s="169" t="s">
        <v>447</v>
      </c>
      <c r="D213" s="169" t="s">
        <v>453</v>
      </c>
      <c r="E213" s="169" t="s">
        <v>449</v>
      </c>
      <c r="F213" s="169" t="s">
        <v>450</v>
      </c>
      <c r="G213" s="169" t="s">
        <v>451</v>
      </c>
      <c r="H213" s="169" t="s">
        <v>452</v>
      </c>
      <c r="I213" s="169" t="s">
        <v>464</v>
      </c>
    </row>
    <row r="214" spans="1:9">
      <c r="A214" s="170" t="s">
        <v>668</v>
      </c>
      <c r="B214" s="108" t="s">
        <v>446</v>
      </c>
      <c r="C214" s="108" t="s">
        <v>447</v>
      </c>
      <c r="D214" s="108" t="s">
        <v>463</v>
      </c>
      <c r="E214" s="108" t="s">
        <v>449</v>
      </c>
      <c r="F214" s="108" t="s">
        <v>450</v>
      </c>
      <c r="G214" s="108" t="s">
        <v>451</v>
      </c>
      <c r="H214" s="108" t="s">
        <v>452</v>
      </c>
      <c r="I214" s="108" t="s">
        <v>453</v>
      </c>
    </row>
    <row r="215" spans="1:9">
      <c r="A215" s="168" t="s">
        <v>669</v>
      </c>
      <c r="B215" s="169" t="s">
        <v>446</v>
      </c>
      <c r="C215" s="169" t="s">
        <v>447</v>
      </c>
      <c r="D215" s="169" t="s">
        <v>453</v>
      </c>
      <c r="E215" s="169" t="s">
        <v>449</v>
      </c>
      <c r="F215" s="169" t="s">
        <v>450</v>
      </c>
      <c r="G215" s="169" t="s">
        <v>451</v>
      </c>
      <c r="H215" s="169" t="s">
        <v>452</v>
      </c>
      <c r="I215" s="169" t="s">
        <v>468</v>
      </c>
    </row>
    <row r="216" spans="1:9">
      <c r="A216" s="170" t="s">
        <v>670</v>
      </c>
      <c r="B216" s="108" t="s">
        <v>446</v>
      </c>
      <c r="C216" s="108" t="s">
        <v>447</v>
      </c>
      <c r="D216" s="108" t="s">
        <v>451</v>
      </c>
      <c r="E216" s="108" t="s">
        <v>449</v>
      </c>
      <c r="F216" s="108" t="s">
        <v>450</v>
      </c>
      <c r="G216" s="108" t="s">
        <v>452</v>
      </c>
      <c r="H216" s="108" t="s">
        <v>470</v>
      </c>
      <c r="I216" s="108" t="s">
        <v>453</v>
      </c>
    </row>
    <row r="217" spans="1:9">
      <c r="A217" s="168" t="s">
        <v>671</v>
      </c>
      <c r="B217" s="169" t="s">
        <v>449</v>
      </c>
      <c r="C217" s="169" t="s">
        <v>447</v>
      </c>
      <c r="D217" s="169" t="s">
        <v>463</v>
      </c>
      <c r="E217" s="169" t="s">
        <v>452</v>
      </c>
      <c r="F217" s="169" t="s">
        <v>450</v>
      </c>
      <c r="G217" s="169" t="s">
        <v>451</v>
      </c>
      <c r="H217" s="169" t="s">
        <v>453</v>
      </c>
      <c r="I217" s="169" t="s">
        <v>464</v>
      </c>
    </row>
    <row r="218" spans="1:9">
      <c r="A218" s="170" t="s">
        <v>672</v>
      </c>
      <c r="B218" s="108" t="s">
        <v>449</v>
      </c>
      <c r="C218" s="108" t="s">
        <v>447</v>
      </c>
      <c r="D218" s="108" t="s">
        <v>453</v>
      </c>
      <c r="E218" s="108" t="s">
        <v>452</v>
      </c>
      <c r="F218" s="108" t="s">
        <v>450</v>
      </c>
      <c r="G218" s="108" t="s">
        <v>451</v>
      </c>
      <c r="H218" s="108" t="s">
        <v>464</v>
      </c>
      <c r="I218" s="108" t="s">
        <v>468</v>
      </c>
    </row>
    <row r="219" spans="1:9">
      <c r="A219" s="168" t="s">
        <v>673</v>
      </c>
      <c r="B219" s="169" t="s">
        <v>449</v>
      </c>
      <c r="C219" s="169" t="s">
        <v>447</v>
      </c>
      <c r="D219" s="169" t="s">
        <v>453</v>
      </c>
      <c r="E219" s="169" t="s">
        <v>452</v>
      </c>
      <c r="F219" s="169" t="s">
        <v>450</v>
      </c>
      <c r="G219" s="169" t="s">
        <v>451</v>
      </c>
      <c r="H219" s="169" t="s">
        <v>470</v>
      </c>
      <c r="I219" s="169" t="s">
        <v>464</v>
      </c>
    </row>
    <row r="220" spans="1:9">
      <c r="A220" s="170" t="s">
        <v>674</v>
      </c>
      <c r="B220" s="108" t="s">
        <v>449</v>
      </c>
      <c r="C220" s="108" t="s">
        <v>447</v>
      </c>
      <c r="D220" s="108" t="s">
        <v>463</v>
      </c>
      <c r="E220" s="108" t="s">
        <v>452</v>
      </c>
      <c r="F220" s="108" t="s">
        <v>450</v>
      </c>
      <c r="G220" s="108" t="s">
        <v>451</v>
      </c>
      <c r="H220" s="108" t="s">
        <v>453</v>
      </c>
      <c r="I220" s="108" t="s">
        <v>468</v>
      </c>
    </row>
    <row r="221" spans="1:9">
      <c r="A221" s="168" t="s">
        <v>675</v>
      </c>
      <c r="B221" s="169" t="s">
        <v>449</v>
      </c>
      <c r="C221" s="169" t="s">
        <v>447</v>
      </c>
      <c r="D221" s="169" t="s">
        <v>463</v>
      </c>
      <c r="E221" s="169" t="s">
        <v>452</v>
      </c>
      <c r="F221" s="169" t="s">
        <v>450</v>
      </c>
      <c r="G221" s="169" t="s">
        <v>451</v>
      </c>
      <c r="H221" s="169" t="s">
        <v>470</v>
      </c>
      <c r="I221" s="169" t="s">
        <v>453</v>
      </c>
    </row>
    <row r="222" spans="1:9">
      <c r="A222" s="170" t="s">
        <v>676</v>
      </c>
      <c r="B222" s="108" t="s">
        <v>449</v>
      </c>
      <c r="C222" s="108" t="s">
        <v>447</v>
      </c>
      <c r="D222" s="108" t="s">
        <v>453</v>
      </c>
      <c r="E222" s="108" t="s">
        <v>452</v>
      </c>
      <c r="F222" s="108" t="s">
        <v>450</v>
      </c>
      <c r="G222" s="108" t="s">
        <v>451</v>
      </c>
      <c r="H222" s="108" t="s">
        <v>470</v>
      </c>
      <c r="I222" s="108" t="s">
        <v>468</v>
      </c>
    </row>
    <row r="223" spans="1:9">
      <c r="A223" s="168" t="s">
        <v>677</v>
      </c>
      <c r="B223" s="169" t="s">
        <v>446</v>
      </c>
      <c r="C223" s="169" t="s">
        <v>463</v>
      </c>
      <c r="D223" s="169" t="s">
        <v>453</v>
      </c>
      <c r="E223" s="169" t="s">
        <v>449</v>
      </c>
      <c r="F223" s="169" t="s">
        <v>450</v>
      </c>
      <c r="G223" s="169" t="s">
        <v>451</v>
      </c>
      <c r="H223" s="169" t="s">
        <v>452</v>
      </c>
      <c r="I223" s="169" t="s">
        <v>464</v>
      </c>
    </row>
    <row r="224" spans="1:9">
      <c r="A224" s="170" t="s">
        <v>678</v>
      </c>
      <c r="B224" s="108" t="s">
        <v>446</v>
      </c>
      <c r="C224" s="108" t="s">
        <v>453</v>
      </c>
      <c r="D224" s="108" t="s">
        <v>451</v>
      </c>
      <c r="E224" s="108" t="s">
        <v>449</v>
      </c>
      <c r="F224" s="108" t="s">
        <v>450</v>
      </c>
      <c r="G224" s="108" t="s">
        <v>452</v>
      </c>
      <c r="H224" s="108" t="s">
        <v>464</v>
      </c>
      <c r="I224" s="108" t="s">
        <v>468</v>
      </c>
    </row>
    <row r="225" spans="1:9">
      <c r="A225" s="168" t="s">
        <v>679</v>
      </c>
      <c r="B225" s="169" t="s">
        <v>446</v>
      </c>
      <c r="C225" s="169" t="s">
        <v>453</v>
      </c>
      <c r="D225" s="169" t="s">
        <v>451</v>
      </c>
      <c r="E225" s="169" t="s">
        <v>449</v>
      </c>
      <c r="F225" s="169" t="s">
        <v>450</v>
      </c>
      <c r="G225" s="169" t="s">
        <v>452</v>
      </c>
      <c r="H225" s="169" t="s">
        <v>470</v>
      </c>
      <c r="I225" s="169" t="s">
        <v>464</v>
      </c>
    </row>
    <row r="226" spans="1:9">
      <c r="A226" s="170" t="s">
        <v>680</v>
      </c>
      <c r="B226" s="108" t="s">
        <v>446</v>
      </c>
      <c r="C226" s="108" t="s">
        <v>463</v>
      </c>
      <c r="D226" s="108" t="s">
        <v>453</v>
      </c>
      <c r="E226" s="108" t="s">
        <v>449</v>
      </c>
      <c r="F226" s="108" t="s">
        <v>450</v>
      </c>
      <c r="G226" s="108" t="s">
        <v>451</v>
      </c>
      <c r="H226" s="108" t="s">
        <v>452</v>
      </c>
      <c r="I226" s="108" t="s">
        <v>468</v>
      </c>
    </row>
    <row r="227" spans="1:9">
      <c r="A227" s="168" t="s">
        <v>681</v>
      </c>
      <c r="B227" s="169" t="s">
        <v>446</v>
      </c>
      <c r="C227" s="169" t="s">
        <v>463</v>
      </c>
      <c r="D227" s="169" t="s">
        <v>451</v>
      </c>
      <c r="E227" s="169" t="s">
        <v>449</v>
      </c>
      <c r="F227" s="169" t="s">
        <v>450</v>
      </c>
      <c r="G227" s="169" t="s">
        <v>452</v>
      </c>
      <c r="H227" s="169" t="s">
        <v>470</v>
      </c>
      <c r="I227" s="169" t="s">
        <v>453</v>
      </c>
    </row>
    <row r="228" spans="1:9">
      <c r="A228" s="170" t="s">
        <v>682</v>
      </c>
      <c r="B228" s="108" t="s">
        <v>446</v>
      </c>
      <c r="C228" s="108" t="s">
        <v>453</v>
      </c>
      <c r="D228" s="108" t="s">
        <v>451</v>
      </c>
      <c r="E228" s="108" t="s">
        <v>449</v>
      </c>
      <c r="F228" s="108" t="s">
        <v>450</v>
      </c>
      <c r="G228" s="108" t="s">
        <v>452</v>
      </c>
      <c r="H228" s="108" t="s">
        <v>470</v>
      </c>
      <c r="I228" s="108" t="s">
        <v>468</v>
      </c>
    </row>
    <row r="229" spans="1:9">
      <c r="A229" s="168" t="s">
        <v>683</v>
      </c>
      <c r="B229" s="169" t="s">
        <v>449</v>
      </c>
      <c r="C229" s="169" t="s">
        <v>463</v>
      </c>
      <c r="D229" s="169" t="s">
        <v>453</v>
      </c>
      <c r="E229" s="169" t="s">
        <v>452</v>
      </c>
      <c r="F229" s="169" t="s">
        <v>450</v>
      </c>
      <c r="G229" s="169" t="s">
        <v>451</v>
      </c>
      <c r="H229" s="169" t="s">
        <v>464</v>
      </c>
      <c r="I229" s="169" t="s">
        <v>468</v>
      </c>
    </row>
    <row r="230" spans="1:9">
      <c r="A230" s="170" t="s">
        <v>684</v>
      </c>
      <c r="B230" s="108" t="s">
        <v>449</v>
      </c>
      <c r="C230" s="108" t="s">
        <v>463</v>
      </c>
      <c r="D230" s="108" t="s">
        <v>453</v>
      </c>
      <c r="E230" s="108" t="s">
        <v>452</v>
      </c>
      <c r="F230" s="108" t="s">
        <v>450</v>
      </c>
      <c r="G230" s="108" t="s">
        <v>451</v>
      </c>
      <c r="H230" s="108" t="s">
        <v>470</v>
      </c>
      <c r="I230" s="108" t="s">
        <v>464</v>
      </c>
    </row>
    <row r="231" spans="1:9">
      <c r="A231" s="168" t="s">
        <v>685</v>
      </c>
      <c r="B231" s="169" t="s">
        <v>446</v>
      </c>
      <c r="C231" s="169" t="s">
        <v>447</v>
      </c>
      <c r="D231" s="169" t="s">
        <v>448</v>
      </c>
      <c r="E231" s="169" t="s">
        <v>449</v>
      </c>
      <c r="F231" s="169" t="s">
        <v>450</v>
      </c>
      <c r="G231" s="169" t="s">
        <v>451</v>
      </c>
      <c r="H231" s="169" t="s">
        <v>452</v>
      </c>
      <c r="I231" s="169" t="s">
        <v>453</v>
      </c>
    </row>
    <row r="232" spans="1:9">
      <c r="A232" s="170" t="s">
        <v>686</v>
      </c>
      <c r="B232" s="108" t="s">
        <v>449</v>
      </c>
      <c r="C232" s="108" t="s">
        <v>463</v>
      </c>
      <c r="D232" s="108" t="s">
        <v>453</v>
      </c>
      <c r="E232" s="108" t="s">
        <v>452</v>
      </c>
      <c r="F232" s="108" t="s">
        <v>450</v>
      </c>
      <c r="G232" s="108" t="s">
        <v>451</v>
      </c>
      <c r="H232" s="108" t="s">
        <v>470</v>
      </c>
      <c r="I232" s="108" t="s">
        <v>468</v>
      </c>
    </row>
    <row r="233" spans="1:9">
      <c r="A233" s="168" t="s">
        <v>687</v>
      </c>
      <c r="B233" s="169" t="s">
        <v>446</v>
      </c>
      <c r="C233" s="169" t="s">
        <v>447</v>
      </c>
      <c r="D233" s="169" t="s">
        <v>463</v>
      </c>
      <c r="E233" s="169" t="s">
        <v>449</v>
      </c>
      <c r="F233" s="169" t="s">
        <v>450</v>
      </c>
      <c r="G233" s="169" t="s">
        <v>452</v>
      </c>
      <c r="H233" s="169" t="s">
        <v>453</v>
      </c>
      <c r="I233" s="169" t="s">
        <v>464</v>
      </c>
    </row>
    <row r="234" spans="1:9">
      <c r="A234" s="170" t="s">
        <v>688</v>
      </c>
      <c r="B234" s="108" t="s">
        <v>446</v>
      </c>
      <c r="C234" s="108" t="s">
        <v>447</v>
      </c>
      <c r="D234" s="108" t="s">
        <v>453</v>
      </c>
      <c r="E234" s="108" t="s">
        <v>449</v>
      </c>
      <c r="F234" s="108" t="s">
        <v>450</v>
      </c>
      <c r="G234" s="108" t="s">
        <v>452</v>
      </c>
      <c r="H234" s="108" t="s">
        <v>464</v>
      </c>
      <c r="I234" s="108" t="s">
        <v>468</v>
      </c>
    </row>
    <row r="235" spans="1:9">
      <c r="A235" s="168" t="s">
        <v>689</v>
      </c>
      <c r="B235" s="169" t="s">
        <v>446</v>
      </c>
      <c r="C235" s="169" t="s">
        <v>447</v>
      </c>
      <c r="D235" s="169" t="s">
        <v>453</v>
      </c>
      <c r="E235" s="169" t="s">
        <v>449</v>
      </c>
      <c r="F235" s="169" t="s">
        <v>450</v>
      </c>
      <c r="G235" s="169" t="s">
        <v>452</v>
      </c>
      <c r="H235" s="169" t="s">
        <v>470</v>
      </c>
      <c r="I235" s="169" t="s">
        <v>464</v>
      </c>
    </row>
    <row r="236" spans="1:9">
      <c r="A236" s="170" t="s">
        <v>690</v>
      </c>
      <c r="B236" s="108" t="s">
        <v>446</v>
      </c>
      <c r="C236" s="108" t="s">
        <v>447</v>
      </c>
      <c r="D236" s="108" t="s">
        <v>463</v>
      </c>
      <c r="E236" s="108" t="s">
        <v>449</v>
      </c>
      <c r="F236" s="108" t="s">
        <v>450</v>
      </c>
      <c r="G236" s="108" t="s">
        <v>452</v>
      </c>
      <c r="H236" s="108" t="s">
        <v>453</v>
      </c>
      <c r="I236" s="108" t="s">
        <v>468</v>
      </c>
    </row>
    <row r="237" spans="1:9">
      <c r="A237" s="168" t="s">
        <v>691</v>
      </c>
      <c r="B237" s="169" t="s">
        <v>446</v>
      </c>
      <c r="C237" s="169" t="s">
        <v>447</v>
      </c>
      <c r="D237" s="169" t="s">
        <v>463</v>
      </c>
      <c r="E237" s="169" t="s">
        <v>449</v>
      </c>
      <c r="F237" s="169" t="s">
        <v>450</v>
      </c>
      <c r="G237" s="169" t="s">
        <v>452</v>
      </c>
      <c r="H237" s="169" t="s">
        <v>470</v>
      </c>
      <c r="I237" s="169" t="s">
        <v>453</v>
      </c>
    </row>
    <row r="238" spans="1:9">
      <c r="A238" s="170" t="s">
        <v>692</v>
      </c>
      <c r="B238" s="108" t="s">
        <v>446</v>
      </c>
      <c r="C238" s="108" t="s">
        <v>447</v>
      </c>
      <c r="D238" s="108" t="s">
        <v>453</v>
      </c>
      <c r="E238" s="108" t="s">
        <v>449</v>
      </c>
      <c r="F238" s="108" t="s">
        <v>450</v>
      </c>
      <c r="G238" s="108" t="s">
        <v>452</v>
      </c>
      <c r="H238" s="108" t="s">
        <v>470</v>
      </c>
      <c r="I238" s="108" t="s">
        <v>468</v>
      </c>
    </row>
    <row r="239" spans="1:9">
      <c r="A239" s="168" t="s">
        <v>693</v>
      </c>
      <c r="B239" s="169" t="s">
        <v>453</v>
      </c>
      <c r="C239" s="169" t="s">
        <v>447</v>
      </c>
      <c r="D239" s="169" t="s">
        <v>463</v>
      </c>
      <c r="E239" s="169" t="s">
        <v>449</v>
      </c>
      <c r="F239" s="169" t="s">
        <v>450</v>
      </c>
      <c r="G239" s="169" t="s">
        <v>452</v>
      </c>
      <c r="H239" s="169" t="s">
        <v>464</v>
      </c>
      <c r="I239" s="169" t="s">
        <v>468</v>
      </c>
    </row>
    <row r="240" spans="1:9">
      <c r="A240" s="170" t="s">
        <v>694</v>
      </c>
      <c r="B240" s="108" t="s">
        <v>453</v>
      </c>
      <c r="C240" s="108" t="s">
        <v>447</v>
      </c>
      <c r="D240" s="108" t="s">
        <v>463</v>
      </c>
      <c r="E240" s="108" t="s">
        <v>449</v>
      </c>
      <c r="F240" s="108" t="s">
        <v>450</v>
      </c>
      <c r="G240" s="108" t="s">
        <v>452</v>
      </c>
      <c r="H240" s="108" t="s">
        <v>470</v>
      </c>
      <c r="I240" s="108" t="s">
        <v>464</v>
      </c>
    </row>
    <row r="241" spans="1:9">
      <c r="A241" s="168" t="s">
        <v>695</v>
      </c>
      <c r="B241" s="169" t="s">
        <v>453</v>
      </c>
      <c r="C241" s="169" t="s">
        <v>447</v>
      </c>
      <c r="D241" s="169" t="s">
        <v>464</v>
      </c>
      <c r="E241" s="169" t="s">
        <v>449</v>
      </c>
      <c r="F241" s="169" t="s">
        <v>450</v>
      </c>
      <c r="G241" s="169" t="s">
        <v>452</v>
      </c>
      <c r="H241" s="169" t="s">
        <v>470</v>
      </c>
      <c r="I241" s="169" t="s">
        <v>468</v>
      </c>
    </row>
    <row r="242" spans="1:9">
      <c r="A242" s="170" t="s">
        <v>696</v>
      </c>
      <c r="B242" s="108" t="s">
        <v>453</v>
      </c>
      <c r="C242" s="108" t="s">
        <v>447</v>
      </c>
      <c r="D242" s="108" t="s">
        <v>463</v>
      </c>
      <c r="E242" s="108" t="s">
        <v>449</v>
      </c>
      <c r="F242" s="108" t="s">
        <v>450</v>
      </c>
      <c r="G242" s="108" t="s">
        <v>452</v>
      </c>
      <c r="H242" s="108" t="s">
        <v>470</v>
      </c>
      <c r="I242" s="108" t="s">
        <v>468</v>
      </c>
    </row>
    <row r="243" spans="1:9">
      <c r="A243" s="168" t="s">
        <v>697</v>
      </c>
      <c r="B243" s="169" t="s">
        <v>446</v>
      </c>
      <c r="C243" s="169" t="s">
        <v>463</v>
      </c>
      <c r="D243" s="169" t="s">
        <v>453</v>
      </c>
      <c r="E243" s="169" t="s">
        <v>449</v>
      </c>
      <c r="F243" s="169" t="s">
        <v>450</v>
      </c>
      <c r="G243" s="169" t="s">
        <v>452</v>
      </c>
      <c r="H243" s="169" t="s">
        <v>464</v>
      </c>
      <c r="I243" s="169" t="s">
        <v>468</v>
      </c>
    </row>
    <row r="244" spans="1:9">
      <c r="A244" s="170" t="s">
        <v>698</v>
      </c>
      <c r="B244" s="108" t="s">
        <v>453</v>
      </c>
      <c r="C244" s="108" t="s">
        <v>463</v>
      </c>
      <c r="D244" s="108" t="s">
        <v>464</v>
      </c>
      <c r="E244" s="108" t="s">
        <v>449</v>
      </c>
      <c r="F244" s="108" t="s">
        <v>450</v>
      </c>
      <c r="G244" s="108" t="s">
        <v>452</v>
      </c>
      <c r="H244" s="108" t="s">
        <v>470</v>
      </c>
      <c r="I244" s="108" t="s">
        <v>468</v>
      </c>
    </row>
    <row r="245" spans="1:9">
      <c r="A245" s="168" t="s">
        <v>699</v>
      </c>
      <c r="B245" s="169" t="s">
        <v>446</v>
      </c>
      <c r="C245" s="169" t="s">
        <v>453</v>
      </c>
      <c r="D245" s="169" t="s">
        <v>464</v>
      </c>
      <c r="E245" s="169" t="s">
        <v>449</v>
      </c>
      <c r="F245" s="169" t="s">
        <v>450</v>
      </c>
      <c r="G245" s="169" t="s">
        <v>452</v>
      </c>
      <c r="H245" s="169" t="s">
        <v>470</v>
      </c>
      <c r="I245" s="169" t="s">
        <v>468</v>
      </c>
    </row>
    <row r="246" spans="1:9">
      <c r="A246" s="170" t="s">
        <v>700</v>
      </c>
      <c r="B246" s="108" t="s">
        <v>446</v>
      </c>
      <c r="C246" s="108" t="s">
        <v>463</v>
      </c>
      <c r="D246" s="108" t="s">
        <v>453</v>
      </c>
      <c r="E246" s="108" t="s">
        <v>449</v>
      </c>
      <c r="F246" s="108" t="s">
        <v>450</v>
      </c>
      <c r="G246" s="108" t="s">
        <v>452</v>
      </c>
      <c r="H246" s="108" t="s">
        <v>470</v>
      </c>
      <c r="I246" s="108" t="s">
        <v>468</v>
      </c>
    </row>
    <row r="247" spans="1:9">
      <c r="A247" s="168" t="s">
        <v>701</v>
      </c>
      <c r="B247" s="169" t="s">
        <v>446</v>
      </c>
      <c r="C247" s="169" t="s">
        <v>447</v>
      </c>
      <c r="D247" s="169" t="s">
        <v>448</v>
      </c>
      <c r="E247" s="169" t="s">
        <v>449</v>
      </c>
      <c r="F247" s="169" t="s">
        <v>450</v>
      </c>
      <c r="G247" s="169" t="s">
        <v>451</v>
      </c>
      <c r="H247" s="169" t="s">
        <v>452</v>
      </c>
      <c r="I247" s="169" t="s">
        <v>453</v>
      </c>
    </row>
    <row r="248" spans="1:9">
      <c r="A248" s="170" t="s">
        <v>702</v>
      </c>
      <c r="B248" s="108" t="s">
        <v>446</v>
      </c>
      <c r="C248" s="108" t="s">
        <v>447</v>
      </c>
      <c r="D248" s="108" t="s">
        <v>463</v>
      </c>
      <c r="E248" s="108" t="s">
        <v>449</v>
      </c>
      <c r="F248" s="108" t="s">
        <v>450</v>
      </c>
      <c r="G248" s="108" t="s">
        <v>451</v>
      </c>
      <c r="H248" s="108" t="s">
        <v>452</v>
      </c>
      <c r="I248" s="108" t="s">
        <v>464</v>
      </c>
    </row>
    <row r="249" spans="1:9">
      <c r="A249" s="168" t="s">
        <v>703</v>
      </c>
      <c r="B249" s="169" t="s">
        <v>446</v>
      </c>
      <c r="C249" s="169" t="s">
        <v>447</v>
      </c>
      <c r="D249" s="169" t="s">
        <v>451</v>
      </c>
      <c r="E249" s="169" t="s">
        <v>449</v>
      </c>
      <c r="F249" s="169" t="s">
        <v>450</v>
      </c>
      <c r="G249" s="169" t="s">
        <v>452</v>
      </c>
      <c r="H249" s="169" t="s">
        <v>464</v>
      </c>
      <c r="I249" s="169" t="s">
        <v>468</v>
      </c>
    </row>
    <row r="250" spans="1:9">
      <c r="A250" s="170" t="s">
        <v>704</v>
      </c>
      <c r="B250" s="108" t="s">
        <v>446</v>
      </c>
      <c r="C250" s="108" t="s">
        <v>447</v>
      </c>
      <c r="D250" s="108" t="s">
        <v>451</v>
      </c>
      <c r="E250" s="108" t="s">
        <v>449</v>
      </c>
      <c r="F250" s="108" t="s">
        <v>450</v>
      </c>
      <c r="G250" s="108" t="s">
        <v>452</v>
      </c>
      <c r="H250" s="108" t="s">
        <v>470</v>
      </c>
      <c r="I250" s="108" t="s">
        <v>464</v>
      </c>
    </row>
    <row r="251" spans="1:9">
      <c r="A251" s="168" t="s">
        <v>705</v>
      </c>
      <c r="B251" s="169" t="s">
        <v>446</v>
      </c>
      <c r="C251" s="169" t="s">
        <v>447</v>
      </c>
      <c r="D251" s="169" t="s">
        <v>463</v>
      </c>
      <c r="E251" s="169" t="s">
        <v>449</v>
      </c>
      <c r="F251" s="169" t="s">
        <v>450</v>
      </c>
      <c r="G251" s="169" t="s">
        <v>451</v>
      </c>
      <c r="H251" s="169" t="s">
        <v>452</v>
      </c>
      <c r="I251" s="169" t="s">
        <v>468</v>
      </c>
    </row>
    <row r="252" spans="1:9">
      <c r="A252" s="170" t="s">
        <v>706</v>
      </c>
      <c r="B252" s="108" t="s">
        <v>449</v>
      </c>
      <c r="C252" s="108" t="s">
        <v>447</v>
      </c>
      <c r="D252" s="108" t="s">
        <v>463</v>
      </c>
      <c r="E252" s="108" t="s">
        <v>452</v>
      </c>
      <c r="F252" s="108" t="s">
        <v>450</v>
      </c>
      <c r="G252" s="108" t="s">
        <v>451</v>
      </c>
      <c r="H252" s="108" t="s">
        <v>470</v>
      </c>
      <c r="I252" s="108" t="s">
        <v>446</v>
      </c>
    </row>
    <row r="253" spans="1:9">
      <c r="A253" s="168" t="s">
        <v>707</v>
      </c>
      <c r="B253" s="169" t="s">
        <v>446</v>
      </c>
      <c r="C253" s="169" t="s">
        <v>447</v>
      </c>
      <c r="D253" s="169" t="s">
        <v>451</v>
      </c>
      <c r="E253" s="169" t="s">
        <v>449</v>
      </c>
      <c r="F253" s="169" t="s">
        <v>450</v>
      </c>
      <c r="G253" s="169" t="s">
        <v>452</v>
      </c>
      <c r="H253" s="169" t="s">
        <v>470</v>
      </c>
      <c r="I253" s="169" t="s">
        <v>468</v>
      </c>
    </row>
    <row r="254" spans="1:9">
      <c r="A254" s="170" t="s">
        <v>708</v>
      </c>
      <c r="B254" s="108" t="s">
        <v>449</v>
      </c>
      <c r="C254" s="108" t="s">
        <v>447</v>
      </c>
      <c r="D254" s="108" t="s">
        <v>463</v>
      </c>
      <c r="E254" s="108" t="s">
        <v>452</v>
      </c>
      <c r="F254" s="108" t="s">
        <v>450</v>
      </c>
      <c r="G254" s="108" t="s">
        <v>451</v>
      </c>
      <c r="H254" s="108" t="s">
        <v>464</v>
      </c>
      <c r="I254" s="108" t="s">
        <v>468</v>
      </c>
    </row>
    <row r="255" spans="1:9">
      <c r="A255" s="168" t="s">
        <v>709</v>
      </c>
      <c r="B255" s="169" t="s">
        <v>449</v>
      </c>
      <c r="C255" s="169" t="s">
        <v>447</v>
      </c>
      <c r="D255" s="169" t="s">
        <v>463</v>
      </c>
      <c r="E255" s="169" t="s">
        <v>452</v>
      </c>
      <c r="F255" s="169" t="s">
        <v>450</v>
      </c>
      <c r="G255" s="169" t="s">
        <v>451</v>
      </c>
      <c r="H255" s="169" t="s">
        <v>470</v>
      </c>
      <c r="I255" s="169" t="s">
        <v>464</v>
      </c>
    </row>
    <row r="256" spans="1:9">
      <c r="A256" s="170" t="s">
        <v>710</v>
      </c>
      <c r="B256" s="108" t="s">
        <v>449</v>
      </c>
      <c r="C256" s="108" t="s">
        <v>447</v>
      </c>
      <c r="D256" s="108" t="s">
        <v>464</v>
      </c>
      <c r="E256" s="108" t="s">
        <v>452</v>
      </c>
      <c r="F256" s="108" t="s">
        <v>450</v>
      </c>
      <c r="G256" s="108" t="s">
        <v>451</v>
      </c>
      <c r="H256" s="108" t="s">
        <v>470</v>
      </c>
      <c r="I256" s="108" t="s">
        <v>468</v>
      </c>
    </row>
    <row r="257" spans="1:9">
      <c r="A257" s="168" t="s">
        <v>711</v>
      </c>
      <c r="B257" s="169" t="s">
        <v>449</v>
      </c>
      <c r="C257" s="169" t="s">
        <v>447</v>
      </c>
      <c r="D257" s="169" t="s">
        <v>463</v>
      </c>
      <c r="E257" s="169" t="s">
        <v>452</v>
      </c>
      <c r="F257" s="169" t="s">
        <v>450</v>
      </c>
      <c r="G257" s="169" t="s">
        <v>451</v>
      </c>
      <c r="H257" s="169" t="s">
        <v>470</v>
      </c>
      <c r="I257" s="169" t="s">
        <v>468</v>
      </c>
    </row>
    <row r="258" spans="1:9">
      <c r="A258" s="170" t="s">
        <v>712</v>
      </c>
      <c r="B258" s="108" t="s">
        <v>446</v>
      </c>
      <c r="C258" s="108" t="s">
        <v>463</v>
      </c>
      <c r="D258" s="108" t="s">
        <v>451</v>
      </c>
      <c r="E258" s="108" t="s">
        <v>449</v>
      </c>
      <c r="F258" s="108" t="s">
        <v>450</v>
      </c>
      <c r="G258" s="108" t="s">
        <v>452</v>
      </c>
      <c r="H258" s="108" t="s">
        <v>464</v>
      </c>
      <c r="I258" s="108" t="s">
        <v>468</v>
      </c>
    </row>
    <row r="259" spans="1:9">
      <c r="A259" s="168" t="s">
        <v>713</v>
      </c>
      <c r="B259" s="169" t="s">
        <v>446</v>
      </c>
      <c r="C259" s="169" t="s">
        <v>463</v>
      </c>
      <c r="D259" s="169" t="s">
        <v>451</v>
      </c>
      <c r="E259" s="169" t="s">
        <v>449</v>
      </c>
      <c r="F259" s="169" t="s">
        <v>450</v>
      </c>
      <c r="G259" s="169" t="s">
        <v>452</v>
      </c>
      <c r="H259" s="169" t="s">
        <v>470</v>
      </c>
      <c r="I259" s="169" t="s">
        <v>464</v>
      </c>
    </row>
    <row r="260" spans="1:9">
      <c r="A260" s="170" t="s">
        <v>714</v>
      </c>
      <c r="B260" s="108" t="s">
        <v>446</v>
      </c>
      <c r="C260" s="108" t="s">
        <v>451</v>
      </c>
      <c r="D260" s="108" t="s">
        <v>464</v>
      </c>
      <c r="E260" s="108" t="s">
        <v>449</v>
      </c>
      <c r="F260" s="108" t="s">
        <v>450</v>
      </c>
      <c r="G260" s="108" t="s">
        <v>452</v>
      </c>
      <c r="H260" s="108" t="s">
        <v>470</v>
      </c>
      <c r="I260" s="108" t="s">
        <v>468</v>
      </c>
    </row>
    <row r="261" spans="1:9">
      <c r="A261" s="168" t="s">
        <v>715</v>
      </c>
      <c r="B261" s="169" t="s">
        <v>446</v>
      </c>
      <c r="C261" s="169" t="s">
        <v>463</v>
      </c>
      <c r="D261" s="169" t="s">
        <v>451</v>
      </c>
      <c r="E261" s="169" t="s">
        <v>449</v>
      </c>
      <c r="F261" s="169" t="s">
        <v>450</v>
      </c>
      <c r="G261" s="169" t="s">
        <v>452</v>
      </c>
      <c r="H261" s="169" t="s">
        <v>470</v>
      </c>
      <c r="I261" s="169" t="s">
        <v>468</v>
      </c>
    </row>
    <row r="262" spans="1:9">
      <c r="A262" s="170" t="s">
        <v>716</v>
      </c>
      <c r="B262" s="108" t="s">
        <v>449</v>
      </c>
      <c r="C262" s="108" t="s">
        <v>463</v>
      </c>
      <c r="D262" s="108" t="s">
        <v>464</v>
      </c>
      <c r="E262" s="108" t="s">
        <v>452</v>
      </c>
      <c r="F262" s="108" t="s">
        <v>450</v>
      </c>
      <c r="G262" s="108" t="s">
        <v>451</v>
      </c>
      <c r="H262" s="108" t="s">
        <v>470</v>
      </c>
      <c r="I262" s="108" t="s">
        <v>468</v>
      </c>
    </row>
    <row r="263" spans="1:9">
      <c r="A263" s="168" t="s">
        <v>717</v>
      </c>
      <c r="B263" s="169" t="s">
        <v>446</v>
      </c>
      <c r="C263" s="169" t="s">
        <v>447</v>
      </c>
      <c r="D263" s="169" t="s">
        <v>463</v>
      </c>
      <c r="E263" s="169" t="s">
        <v>449</v>
      </c>
      <c r="F263" s="169" t="s">
        <v>450</v>
      </c>
      <c r="G263" s="169" t="s">
        <v>452</v>
      </c>
      <c r="H263" s="169" t="s">
        <v>464</v>
      </c>
      <c r="I263" s="169" t="s">
        <v>468</v>
      </c>
    </row>
    <row r="264" spans="1:9">
      <c r="A264" s="170" t="s">
        <v>718</v>
      </c>
      <c r="B264" s="108" t="s">
        <v>464</v>
      </c>
      <c r="C264" s="108" t="s">
        <v>447</v>
      </c>
      <c r="D264" s="108" t="s">
        <v>463</v>
      </c>
      <c r="E264" s="108" t="s">
        <v>449</v>
      </c>
      <c r="F264" s="108" t="s">
        <v>450</v>
      </c>
      <c r="G264" s="108" t="s">
        <v>452</v>
      </c>
      <c r="H264" s="108" t="s">
        <v>470</v>
      </c>
      <c r="I264" s="108" t="s">
        <v>468</v>
      </c>
    </row>
    <row r="265" spans="1:9">
      <c r="A265" s="168" t="s">
        <v>719</v>
      </c>
      <c r="B265" s="169" t="s">
        <v>446</v>
      </c>
      <c r="C265" s="169" t="s">
        <v>447</v>
      </c>
      <c r="D265" s="169" t="s">
        <v>464</v>
      </c>
      <c r="E265" s="169" t="s">
        <v>449</v>
      </c>
      <c r="F265" s="169" t="s">
        <v>450</v>
      </c>
      <c r="G265" s="169" t="s">
        <v>452</v>
      </c>
      <c r="H265" s="169" t="s">
        <v>470</v>
      </c>
      <c r="I265" s="169" t="s">
        <v>468</v>
      </c>
    </row>
    <row r="266" spans="1:9">
      <c r="A266" s="170" t="s">
        <v>720</v>
      </c>
      <c r="B266" s="108" t="s">
        <v>446</v>
      </c>
      <c r="C266" s="108" t="s">
        <v>447</v>
      </c>
      <c r="D266" s="108" t="s">
        <v>463</v>
      </c>
      <c r="E266" s="108" t="s">
        <v>449</v>
      </c>
      <c r="F266" s="108" t="s">
        <v>450</v>
      </c>
      <c r="G266" s="108" t="s">
        <v>452</v>
      </c>
      <c r="H266" s="108" t="s">
        <v>470</v>
      </c>
      <c r="I266" s="108" t="s">
        <v>468</v>
      </c>
    </row>
    <row r="267" spans="1:9">
      <c r="A267" s="168" t="s">
        <v>721</v>
      </c>
      <c r="B267" s="169" t="s">
        <v>446</v>
      </c>
      <c r="C267" s="169" t="s">
        <v>447</v>
      </c>
      <c r="D267" s="169" t="s">
        <v>448</v>
      </c>
      <c r="E267" s="169" t="s">
        <v>449</v>
      </c>
      <c r="F267" s="169" t="s">
        <v>450</v>
      </c>
      <c r="G267" s="169" t="s">
        <v>451</v>
      </c>
      <c r="H267" s="169" t="s">
        <v>452</v>
      </c>
      <c r="I267" s="169" t="s">
        <v>453</v>
      </c>
    </row>
    <row r="268" spans="1:9">
      <c r="A268" s="170" t="s">
        <v>722</v>
      </c>
      <c r="B268" s="108" t="s">
        <v>446</v>
      </c>
      <c r="C268" s="108" t="s">
        <v>463</v>
      </c>
      <c r="D268" s="108" t="s">
        <v>464</v>
      </c>
      <c r="E268" s="108" t="s">
        <v>449</v>
      </c>
      <c r="F268" s="108" t="s">
        <v>450</v>
      </c>
      <c r="G268" s="108" t="s">
        <v>452</v>
      </c>
      <c r="H268" s="108" t="s">
        <v>470</v>
      </c>
      <c r="I268" s="108" t="s">
        <v>468</v>
      </c>
    </row>
    <row r="269" spans="1:9">
      <c r="A269" s="168" t="s">
        <v>723</v>
      </c>
      <c r="B269" s="169" t="s">
        <v>446</v>
      </c>
      <c r="C269" s="169" t="s">
        <v>447</v>
      </c>
      <c r="D269" s="169" t="s">
        <v>463</v>
      </c>
      <c r="E269" s="169" t="s">
        <v>449</v>
      </c>
      <c r="F269" s="169" t="s">
        <v>450</v>
      </c>
      <c r="G269" s="169" t="s">
        <v>451</v>
      </c>
      <c r="H269" s="169" t="s">
        <v>453</v>
      </c>
      <c r="I269" s="169" t="s">
        <v>464</v>
      </c>
    </row>
    <row r="270" spans="1:9">
      <c r="A270" s="170" t="s">
        <v>724</v>
      </c>
      <c r="B270" s="108" t="s">
        <v>446</v>
      </c>
      <c r="C270" s="108" t="s">
        <v>447</v>
      </c>
      <c r="D270" s="108" t="s">
        <v>453</v>
      </c>
      <c r="E270" s="108" t="s">
        <v>449</v>
      </c>
      <c r="F270" s="108" t="s">
        <v>450</v>
      </c>
      <c r="G270" s="108" t="s">
        <v>451</v>
      </c>
      <c r="H270" s="108" t="s">
        <v>464</v>
      </c>
      <c r="I270" s="108" t="s">
        <v>468</v>
      </c>
    </row>
    <row r="271" spans="1:9">
      <c r="A271" s="168" t="s">
        <v>725</v>
      </c>
      <c r="B271" s="169" t="s">
        <v>446</v>
      </c>
      <c r="C271" s="169" t="s">
        <v>447</v>
      </c>
      <c r="D271" s="169" t="s">
        <v>453</v>
      </c>
      <c r="E271" s="169" t="s">
        <v>449</v>
      </c>
      <c r="F271" s="169" t="s">
        <v>450</v>
      </c>
      <c r="G271" s="169" t="s">
        <v>451</v>
      </c>
      <c r="H271" s="169" t="s">
        <v>470</v>
      </c>
      <c r="I271" s="169" t="s">
        <v>464</v>
      </c>
    </row>
    <row r="272" spans="1:9">
      <c r="A272" s="170" t="s">
        <v>726</v>
      </c>
      <c r="B272" s="108" t="s">
        <v>446</v>
      </c>
      <c r="C272" s="108" t="s">
        <v>447</v>
      </c>
      <c r="D272" s="108" t="s">
        <v>463</v>
      </c>
      <c r="E272" s="108" t="s">
        <v>449</v>
      </c>
      <c r="F272" s="108" t="s">
        <v>450</v>
      </c>
      <c r="G272" s="108" t="s">
        <v>451</v>
      </c>
      <c r="H272" s="108" t="s">
        <v>453</v>
      </c>
      <c r="I272" s="108" t="s">
        <v>468</v>
      </c>
    </row>
    <row r="273" spans="1:9">
      <c r="A273" s="168" t="s">
        <v>727</v>
      </c>
      <c r="B273" s="169" t="s">
        <v>446</v>
      </c>
      <c r="C273" s="169" t="s">
        <v>447</v>
      </c>
      <c r="D273" s="169" t="s">
        <v>463</v>
      </c>
      <c r="E273" s="169" t="s">
        <v>449</v>
      </c>
      <c r="F273" s="169" t="s">
        <v>450</v>
      </c>
      <c r="G273" s="169" t="s">
        <v>451</v>
      </c>
      <c r="H273" s="169" t="s">
        <v>470</v>
      </c>
      <c r="I273" s="169" t="s">
        <v>453</v>
      </c>
    </row>
    <row r="274" spans="1:9">
      <c r="A274" s="170" t="s">
        <v>728</v>
      </c>
      <c r="B274" s="108" t="s">
        <v>446</v>
      </c>
      <c r="C274" s="108" t="s">
        <v>447</v>
      </c>
      <c r="D274" s="108" t="s">
        <v>453</v>
      </c>
      <c r="E274" s="108" t="s">
        <v>449</v>
      </c>
      <c r="F274" s="108" t="s">
        <v>450</v>
      </c>
      <c r="G274" s="108" t="s">
        <v>451</v>
      </c>
      <c r="H274" s="108" t="s">
        <v>470</v>
      </c>
      <c r="I274" s="108" t="s">
        <v>468</v>
      </c>
    </row>
    <row r="275" spans="1:9">
      <c r="A275" s="168" t="s">
        <v>729</v>
      </c>
      <c r="B275" s="169" t="s">
        <v>453</v>
      </c>
      <c r="C275" s="169" t="s">
        <v>447</v>
      </c>
      <c r="D275" s="169" t="s">
        <v>463</v>
      </c>
      <c r="E275" s="169" t="s">
        <v>449</v>
      </c>
      <c r="F275" s="169" t="s">
        <v>450</v>
      </c>
      <c r="G275" s="169" t="s">
        <v>451</v>
      </c>
      <c r="H275" s="169" t="s">
        <v>464</v>
      </c>
      <c r="I275" s="169" t="s">
        <v>468</v>
      </c>
    </row>
    <row r="276" spans="1:9">
      <c r="A276" s="170" t="s">
        <v>730</v>
      </c>
      <c r="B276" s="108" t="s">
        <v>453</v>
      </c>
      <c r="C276" s="108" t="s">
        <v>447</v>
      </c>
      <c r="D276" s="108" t="s">
        <v>463</v>
      </c>
      <c r="E276" s="108" t="s">
        <v>449</v>
      </c>
      <c r="F276" s="108" t="s">
        <v>450</v>
      </c>
      <c r="G276" s="108" t="s">
        <v>451</v>
      </c>
      <c r="H276" s="108" t="s">
        <v>470</v>
      </c>
      <c r="I276" s="108" t="s">
        <v>464</v>
      </c>
    </row>
    <row r="277" spans="1:9">
      <c r="A277" s="168" t="s">
        <v>731</v>
      </c>
      <c r="B277" s="169" t="s">
        <v>453</v>
      </c>
      <c r="C277" s="169" t="s">
        <v>447</v>
      </c>
      <c r="D277" s="169" t="s">
        <v>464</v>
      </c>
      <c r="E277" s="169" t="s">
        <v>449</v>
      </c>
      <c r="F277" s="169" t="s">
        <v>450</v>
      </c>
      <c r="G277" s="169" t="s">
        <v>451</v>
      </c>
      <c r="H277" s="169" t="s">
        <v>470</v>
      </c>
      <c r="I277" s="169" t="s">
        <v>468</v>
      </c>
    </row>
    <row r="278" spans="1:9">
      <c r="A278" s="170" t="s">
        <v>732</v>
      </c>
      <c r="B278" s="108" t="s">
        <v>453</v>
      </c>
      <c r="C278" s="108" t="s">
        <v>447</v>
      </c>
      <c r="D278" s="108" t="s">
        <v>463</v>
      </c>
      <c r="E278" s="108" t="s">
        <v>449</v>
      </c>
      <c r="F278" s="108" t="s">
        <v>450</v>
      </c>
      <c r="G278" s="108" t="s">
        <v>451</v>
      </c>
      <c r="H278" s="108" t="s">
        <v>470</v>
      </c>
      <c r="I278" s="108" t="s">
        <v>468</v>
      </c>
    </row>
    <row r="279" spans="1:9">
      <c r="A279" s="168" t="s">
        <v>733</v>
      </c>
      <c r="B279" s="169" t="s">
        <v>446</v>
      </c>
      <c r="C279" s="169" t="s">
        <v>463</v>
      </c>
      <c r="D279" s="169" t="s">
        <v>453</v>
      </c>
      <c r="E279" s="169" t="s">
        <v>449</v>
      </c>
      <c r="F279" s="169" t="s">
        <v>450</v>
      </c>
      <c r="G279" s="169" t="s">
        <v>451</v>
      </c>
      <c r="H279" s="169" t="s">
        <v>464</v>
      </c>
      <c r="I279" s="169" t="s">
        <v>468</v>
      </c>
    </row>
    <row r="280" spans="1:9">
      <c r="A280" s="170" t="s">
        <v>734</v>
      </c>
      <c r="B280" s="108" t="s">
        <v>446</v>
      </c>
      <c r="C280" s="108" t="s">
        <v>463</v>
      </c>
      <c r="D280" s="108" t="s">
        <v>453</v>
      </c>
      <c r="E280" s="108" t="s">
        <v>449</v>
      </c>
      <c r="F280" s="108" t="s">
        <v>450</v>
      </c>
      <c r="G280" s="108" t="s">
        <v>451</v>
      </c>
      <c r="H280" s="108" t="s">
        <v>470</v>
      </c>
      <c r="I280" s="108" t="s">
        <v>464</v>
      </c>
    </row>
    <row r="281" spans="1:9">
      <c r="A281" s="168" t="s">
        <v>735</v>
      </c>
      <c r="B281" s="169" t="s">
        <v>446</v>
      </c>
      <c r="C281" s="169" t="s">
        <v>453</v>
      </c>
      <c r="D281" s="169" t="s">
        <v>464</v>
      </c>
      <c r="E281" s="169" t="s">
        <v>449</v>
      </c>
      <c r="F281" s="169" t="s">
        <v>450</v>
      </c>
      <c r="G281" s="169" t="s">
        <v>451</v>
      </c>
      <c r="H281" s="169" t="s">
        <v>470</v>
      </c>
      <c r="I281" s="169" t="s">
        <v>468</v>
      </c>
    </row>
    <row r="282" spans="1:9">
      <c r="A282" s="170" t="s">
        <v>736</v>
      </c>
      <c r="B282" s="108" t="s">
        <v>446</v>
      </c>
      <c r="C282" s="108" t="s">
        <v>463</v>
      </c>
      <c r="D282" s="108" t="s">
        <v>453</v>
      </c>
      <c r="E282" s="108" t="s">
        <v>449</v>
      </c>
      <c r="F282" s="108" t="s">
        <v>450</v>
      </c>
      <c r="G282" s="108" t="s">
        <v>451</v>
      </c>
      <c r="H282" s="108" t="s">
        <v>470</v>
      </c>
      <c r="I282" s="108" t="s">
        <v>468</v>
      </c>
    </row>
    <row r="283" spans="1:9">
      <c r="A283" s="168" t="s">
        <v>737</v>
      </c>
      <c r="B283" s="169" t="s">
        <v>453</v>
      </c>
      <c r="C283" s="169" t="s">
        <v>463</v>
      </c>
      <c r="D283" s="169" t="s">
        <v>464</v>
      </c>
      <c r="E283" s="169" t="s">
        <v>449</v>
      </c>
      <c r="F283" s="169" t="s">
        <v>450</v>
      </c>
      <c r="G283" s="169" t="s">
        <v>451</v>
      </c>
      <c r="H283" s="169" t="s">
        <v>470</v>
      </c>
      <c r="I283" s="169" t="s">
        <v>468</v>
      </c>
    </row>
    <row r="284" spans="1:9">
      <c r="A284" s="170" t="s">
        <v>738</v>
      </c>
      <c r="B284" s="108" t="s">
        <v>453</v>
      </c>
      <c r="C284" s="108" t="s">
        <v>447</v>
      </c>
      <c r="D284" s="108" t="s">
        <v>463</v>
      </c>
      <c r="E284" s="108" t="s">
        <v>449</v>
      </c>
      <c r="F284" s="108" t="s">
        <v>450</v>
      </c>
      <c r="G284" s="108" t="s">
        <v>446</v>
      </c>
      <c r="H284" s="108" t="s">
        <v>464</v>
      </c>
      <c r="I284" s="108" t="s">
        <v>468</v>
      </c>
    </row>
    <row r="285" spans="1:9">
      <c r="A285" s="168" t="s">
        <v>739</v>
      </c>
      <c r="B285" s="169" t="s">
        <v>453</v>
      </c>
      <c r="C285" s="169" t="s">
        <v>463</v>
      </c>
      <c r="D285" s="169" t="s">
        <v>464</v>
      </c>
      <c r="E285" s="169" t="s">
        <v>449</v>
      </c>
      <c r="F285" s="169" t="s">
        <v>450</v>
      </c>
      <c r="G285" s="169" t="s">
        <v>447</v>
      </c>
      <c r="H285" s="169" t="s">
        <v>470</v>
      </c>
      <c r="I285" s="169" t="s">
        <v>468</v>
      </c>
    </row>
    <row r="286" spans="1:9">
      <c r="A286" s="170" t="s">
        <v>740</v>
      </c>
      <c r="B286" s="108" t="s">
        <v>453</v>
      </c>
      <c r="C286" s="108" t="s">
        <v>447</v>
      </c>
      <c r="D286" s="108" t="s">
        <v>464</v>
      </c>
      <c r="E286" s="108" t="s">
        <v>449</v>
      </c>
      <c r="F286" s="108" t="s">
        <v>450</v>
      </c>
      <c r="G286" s="108" t="s">
        <v>446</v>
      </c>
      <c r="H286" s="108" t="s">
        <v>470</v>
      </c>
      <c r="I286" s="108" t="s">
        <v>468</v>
      </c>
    </row>
    <row r="287" spans="1:9">
      <c r="A287" s="168" t="s">
        <v>741</v>
      </c>
      <c r="B287" s="169" t="s">
        <v>453</v>
      </c>
      <c r="C287" s="169" t="s">
        <v>447</v>
      </c>
      <c r="D287" s="169" t="s">
        <v>463</v>
      </c>
      <c r="E287" s="169" t="s">
        <v>449</v>
      </c>
      <c r="F287" s="169" t="s">
        <v>450</v>
      </c>
      <c r="G287" s="169" t="s">
        <v>446</v>
      </c>
      <c r="H287" s="169" t="s">
        <v>470</v>
      </c>
      <c r="I287" s="169" t="s">
        <v>468</v>
      </c>
    </row>
    <row r="288" spans="1:9">
      <c r="A288" s="170" t="s">
        <v>742</v>
      </c>
      <c r="B288" s="108" t="s">
        <v>446</v>
      </c>
      <c r="C288" s="108" t="s">
        <v>447</v>
      </c>
      <c r="D288" s="108" t="s">
        <v>448</v>
      </c>
      <c r="E288" s="108" t="s">
        <v>449</v>
      </c>
      <c r="F288" s="108" t="s">
        <v>450</v>
      </c>
      <c r="G288" s="108" t="s">
        <v>451</v>
      </c>
      <c r="H288" s="108" t="s">
        <v>452</v>
      </c>
      <c r="I288" s="108" t="s">
        <v>453</v>
      </c>
    </row>
    <row r="289" spans="1:9">
      <c r="A289" s="168" t="s">
        <v>743</v>
      </c>
      <c r="B289" s="169" t="s">
        <v>453</v>
      </c>
      <c r="C289" s="169" t="s">
        <v>463</v>
      </c>
      <c r="D289" s="169" t="s">
        <v>464</v>
      </c>
      <c r="E289" s="169" t="s">
        <v>449</v>
      </c>
      <c r="F289" s="169" t="s">
        <v>450</v>
      </c>
      <c r="G289" s="169" t="s">
        <v>446</v>
      </c>
      <c r="H289" s="169" t="s">
        <v>470</v>
      </c>
      <c r="I289" s="169" t="s">
        <v>468</v>
      </c>
    </row>
    <row r="290" spans="1:9">
      <c r="A290" s="170" t="s">
        <v>744</v>
      </c>
      <c r="B290" s="108" t="s">
        <v>446</v>
      </c>
      <c r="C290" s="108" t="s">
        <v>447</v>
      </c>
      <c r="D290" s="108" t="s">
        <v>463</v>
      </c>
      <c r="E290" s="108" t="s">
        <v>449</v>
      </c>
      <c r="F290" s="108" t="s">
        <v>450</v>
      </c>
      <c r="G290" s="108" t="s">
        <v>451</v>
      </c>
      <c r="H290" s="108" t="s">
        <v>464</v>
      </c>
      <c r="I290" s="108" t="s">
        <v>468</v>
      </c>
    </row>
    <row r="291" spans="1:9">
      <c r="A291" s="168" t="s">
        <v>745</v>
      </c>
      <c r="B291" s="169" t="s">
        <v>446</v>
      </c>
      <c r="C291" s="169" t="s">
        <v>447</v>
      </c>
      <c r="D291" s="169" t="s">
        <v>463</v>
      </c>
      <c r="E291" s="169" t="s">
        <v>449</v>
      </c>
      <c r="F291" s="169" t="s">
        <v>450</v>
      </c>
      <c r="G291" s="169" t="s">
        <v>451</v>
      </c>
      <c r="H291" s="169" t="s">
        <v>470</v>
      </c>
      <c r="I291" s="169" t="s">
        <v>464</v>
      </c>
    </row>
    <row r="292" spans="1:9">
      <c r="A292" s="170" t="s">
        <v>746</v>
      </c>
      <c r="B292" s="108" t="s">
        <v>446</v>
      </c>
      <c r="C292" s="108" t="s">
        <v>447</v>
      </c>
      <c r="D292" s="108" t="s">
        <v>464</v>
      </c>
      <c r="E292" s="108" t="s">
        <v>449</v>
      </c>
      <c r="F292" s="108" t="s">
        <v>450</v>
      </c>
      <c r="G292" s="108" t="s">
        <v>451</v>
      </c>
      <c r="H292" s="108" t="s">
        <v>470</v>
      </c>
      <c r="I292" s="108" t="s">
        <v>468</v>
      </c>
    </row>
    <row r="293" spans="1:9">
      <c r="A293" s="168" t="s">
        <v>747</v>
      </c>
      <c r="B293" s="169" t="s">
        <v>446</v>
      </c>
      <c r="C293" s="169" t="s">
        <v>447</v>
      </c>
      <c r="D293" s="169" t="s">
        <v>463</v>
      </c>
      <c r="E293" s="169" t="s">
        <v>449</v>
      </c>
      <c r="F293" s="169" t="s">
        <v>450</v>
      </c>
      <c r="G293" s="169" t="s">
        <v>451</v>
      </c>
      <c r="H293" s="169" t="s">
        <v>470</v>
      </c>
      <c r="I293" s="169" t="s">
        <v>468</v>
      </c>
    </row>
    <row r="294" spans="1:9">
      <c r="A294" s="170" t="s">
        <v>748</v>
      </c>
      <c r="B294" s="108" t="s">
        <v>464</v>
      </c>
      <c r="C294" s="108" t="s">
        <v>447</v>
      </c>
      <c r="D294" s="108" t="s">
        <v>463</v>
      </c>
      <c r="E294" s="108" t="s">
        <v>449</v>
      </c>
      <c r="F294" s="108" t="s">
        <v>450</v>
      </c>
      <c r="G294" s="108" t="s">
        <v>451</v>
      </c>
      <c r="H294" s="108" t="s">
        <v>470</v>
      </c>
      <c r="I294" s="108" t="s">
        <v>468</v>
      </c>
    </row>
    <row r="295" spans="1:9">
      <c r="A295" s="168" t="s">
        <v>749</v>
      </c>
      <c r="B295" s="169" t="s">
        <v>446</v>
      </c>
      <c r="C295" s="169" t="s">
        <v>463</v>
      </c>
      <c r="D295" s="169" t="s">
        <v>464</v>
      </c>
      <c r="E295" s="169" t="s">
        <v>449</v>
      </c>
      <c r="F295" s="169" t="s">
        <v>450</v>
      </c>
      <c r="G295" s="169" t="s">
        <v>451</v>
      </c>
      <c r="H295" s="169" t="s">
        <v>470</v>
      </c>
      <c r="I295" s="169" t="s">
        <v>468</v>
      </c>
    </row>
    <row r="296" spans="1:9">
      <c r="A296" s="170" t="s">
        <v>750</v>
      </c>
      <c r="B296" s="108" t="s">
        <v>446</v>
      </c>
      <c r="C296" s="108" t="s">
        <v>463</v>
      </c>
      <c r="D296" s="108" t="s">
        <v>464</v>
      </c>
      <c r="E296" s="108" t="s">
        <v>449</v>
      </c>
      <c r="F296" s="108" t="s">
        <v>450</v>
      </c>
      <c r="G296" s="108" t="s">
        <v>447</v>
      </c>
      <c r="H296" s="108" t="s">
        <v>470</v>
      </c>
      <c r="I296" s="108" t="s">
        <v>468</v>
      </c>
    </row>
    <row r="297" spans="1:9">
      <c r="A297" s="168" t="s">
        <v>751</v>
      </c>
      <c r="B297" s="169" t="s">
        <v>446</v>
      </c>
      <c r="C297" s="169" t="s">
        <v>447</v>
      </c>
      <c r="D297" s="169" t="s">
        <v>463</v>
      </c>
      <c r="E297" s="169" t="s">
        <v>452</v>
      </c>
      <c r="F297" s="169" t="s">
        <v>450</v>
      </c>
      <c r="G297" s="169" t="s">
        <v>451</v>
      </c>
      <c r="H297" s="169" t="s">
        <v>453</v>
      </c>
      <c r="I297" s="169" t="s">
        <v>464</v>
      </c>
    </row>
    <row r="298" spans="1:9">
      <c r="A298" s="170" t="s">
        <v>752</v>
      </c>
      <c r="B298" s="108" t="s">
        <v>446</v>
      </c>
      <c r="C298" s="108" t="s">
        <v>447</v>
      </c>
      <c r="D298" s="108" t="s">
        <v>453</v>
      </c>
      <c r="E298" s="108" t="s">
        <v>452</v>
      </c>
      <c r="F298" s="108" t="s">
        <v>450</v>
      </c>
      <c r="G298" s="108" t="s">
        <v>451</v>
      </c>
      <c r="H298" s="108" t="s">
        <v>464</v>
      </c>
      <c r="I298" s="108" t="s">
        <v>468</v>
      </c>
    </row>
    <row r="299" spans="1:9">
      <c r="A299" s="168" t="s">
        <v>753</v>
      </c>
      <c r="B299" s="169" t="s">
        <v>446</v>
      </c>
      <c r="C299" s="169" t="s">
        <v>447</v>
      </c>
      <c r="D299" s="169" t="s">
        <v>453</v>
      </c>
      <c r="E299" s="169" t="s">
        <v>452</v>
      </c>
      <c r="F299" s="169" t="s">
        <v>450</v>
      </c>
      <c r="G299" s="169" t="s">
        <v>451</v>
      </c>
      <c r="H299" s="169" t="s">
        <v>470</v>
      </c>
      <c r="I299" s="169" t="s">
        <v>464</v>
      </c>
    </row>
    <row r="300" spans="1:9">
      <c r="A300" s="170" t="s">
        <v>754</v>
      </c>
      <c r="B300" s="108" t="s">
        <v>446</v>
      </c>
      <c r="C300" s="108" t="s">
        <v>447</v>
      </c>
      <c r="D300" s="108" t="s">
        <v>463</v>
      </c>
      <c r="E300" s="108" t="s">
        <v>452</v>
      </c>
      <c r="F300" s="108" t="s">
        <v>450</v>
      </c>
      <c r="G300" s="108" t="s">
        <v>451</v>
      </c>
      <c r="H300" s="108" t="s">
        <v>453</v>
      </c>
      <c r="I300" s="108" t="s">
        <v>468</v>
      </c>
    </row>
    <row r="301" spans="1:9">
      <c r="A301" s="168" t="s">
        <v>755</v>
      </c>
      <c r="B301" s="169" t="s">
        <v>446</v>
      </c>
      <c r="C301" s="169" t="s">
        <v>447</v>
      </c>
      <c r="D301" s="169" t="s">
        <v>463</v>
      </c>
      <c r="E301" s="169" t="s">
        <v>452</v>
      </c>
      <c r="F301" s="169" t="s">
        <v>450</v>
      </c>
      <c r="G301" s="169" t="s">
        <v>451</v>
      </c>
      <c r="H301" s="169" t="s">
        <v>470</v>
      </c>
      <c r="I301" s="169" t="s">
        <v>453</v>
      </c>
    </row>
    <row r="302" spans="1:9">
      <c r="A302" s="170" t="s">
        <v>756</v>
      </c>
      <c r="B302" s="108" t="s">
        <v>446</v>
      </c>
      <c r="C302" s="108" t="s">
        <v>447</v>
      </c>
      <c r="D302" s="108" t="s">
        <v>453</v>
      </c>
      <c r="E302" s="108" t="s">
        <v>452</v>
      </c>
      <c r="F302" s="108" t="s">
        <v>450</v>
      </c>
      <c r="G302" s="108" t="s">
        <v>451</v>
      </c>
      <c r="H302" s="108" t="s">
        <v>470</v>
      </c>
      <c r="I302" s="108" t="s">
        <v>468</v>
      </c>
    </row>
    <row r="303" spans="1:9">
      <c r="A303" s="168" t="s">
        <v>757</v>
      </c>
      <c r="B303" s="169" t="s">
        <v>453</v>
      </c>
      <c r="C303" s="169" t="s">
        <v>447</v>
      </c>
      <c r="D303" s="169" t="s">
        <v>463</v>
      </c>
      <c r="E303" s="169" t="s">
        <v>452</v>
      </c>
      <c r="F303" s="169" t="s">
        <v>450</v>
      </c>
      <c r="G303" s="169" t="s">
        <v>451</v>
      </c>
      <c r="H303" s="169" t="s">
        <v>464</v>
      </c>
      <c r="I303" s="169" t="s">
        <v>468</v>
      </c>
    </row>
    <row r="304" spans="1:9">
      <c r="A304" s="170" t="s">
        <v>758</v>
      </c>
      <c r="B304" s="108" t="s">
        <v>453</v>
      </c>
      <c r="C304" s="108" t="s">
        <v>447</v>
      </c>
      <c r="D304" s="108" t="s">
        <v>463</v>
      </c>
      <c r="E304" s="108" t="s">
        <v>452</v>
      </c>
      <c r="F304" s="108" t="s">
        <v>450</v>
      </c>
      <c r="G304" s="108" t="s">
        <v>451</v>
      </c>
      <c r="H304" s="108" t="s">
        <v>470</v>
      </c>
      <c r="I304" s="108" t="s">
        <v>464</v>
      </c>
    </row>
    <row r="305" spans="1:9">
      <c r="A305" s="168" t="s">
        <v>759</v>
      </c>
      <c r="B305" s="169" t="s">
        <v>453</v>
      </c>
      <c r="C305" s="169" t="s">
        <v>447</v>
      </c>
      <c r="D305" s="169" t="s">
        <v>464</v>
      </c>
      <c r="E305" s="169" t="s">
        <v>452</v>
      </c>
      <c r="F305" s="169" t="s">
        <v>450</v>
      </c>
      <c r="G305" s="169" t="s">
        <v>451</v>
      </c>
      <c r="H305" s="169" t="s">
        <v>470</v>
      </c>
      <c r="I305" s="169" t="s">
        <v>468</v>
      </c>
    </row>
    <row r="306" spans="1:9">
      <c r="A306" s="170" t="s">
        <v>760</v>
      </c>
      <c r="B306" s="108" t="s">
        <v>453</v>
      </c>
      <c r="C306" s="108" t="s">
        <v>447</v>
      </c>
      <c r="D306" s="108" t="s">
        <v>463</v>
      </c>
      <c r="E306" s="108" t="s">
        <v>452</v>
      </c>
      <c r="F306" s="108" t="s">
        <v>450</v>
      </c>
      <c r="G306" s="108" t="s">
        <v>451</v>
      </c>
      <c r="H306" s="108" t="s">
        <v>470</v>
      </c>
      <c r="I306" s="108" t="s">
        <v>468</v>
      </c>
    </row>
    <row r="307" spans="1:9">
      <c r="A307" s="168" t="s">
        <v>761</v>
      </c>
      <c r="B307" s="169" t="s">
        <v>446</v>
      </c>
      <c r="C307" s="169" t="s">
        <v>463</v>
      </c>
      <c r="D307" s="169" t="s">
        <v>453</v>
      </c>
      <c r="E307" s="169" t="s">
        <v>452</v>
      </c>
      <c r="F307" s="169" t="s">
        <v>450</v>
      </c>
      <c r="G307" s="169" t="s">
        <v>451</v>
      </c>
      <c r="H307" s="169" t="s">
        <v>464</v>
      </c>
      <c r="I307" s="169" t="s">
        <v>468</v>
      </c>
    </row>
    <row r="308" spans="1:9">
      <c r="A308" s="170" t="s">
        <v>762</v>
      </c>
      <c r="B308" s="108" t="s">
        <v>446</v>
      </c>
      <c r="C308" s="108" t="s">
        <v>463</v>
      </c>
      <c r="D308" s="108" t="s">
        <v>453</v>
      </c>
      <c r="E308" s="108" t="s">
        <v>452</v>
      </c>
      <c r="F308" s="108" t="s">
        <v>450</v>
      </c>
      <c r="G308" s="108" t="s">
        <v>451</v>
      </c>
      <c r="H308" s="108" t="s">
        <v>470</v>
      </c>
      <c r="I308" s="108" t="s">
        <v>464</v>
      </c>
    </row>
    <row r="309" spans="1:9">
      <c r="A309" s="168" t="s">
        <v>763</v>
      </c>
      <c r="B309" s="169" t="s">
        <v>446</v>
      </c>
      <c r="C309" s="169" t="s">
        <v>453</v>
      </c>
      <c r="D309" s="169" t="s">
        <v>464</v>
      </c>
      <c r="E309" s="169" t="s">
        <v>452</v>
      </c>
      <c r="F309" s="169" t="s">
        <v>450</v>
      </c>
      <c r="G309" s="169" t="s">
        <v>451</v>
      </c>
      <c r="H309" s="169" t="s">
        <v>470</v>
      </c>
      <c r="I309" s="169" t="s">
        <v>468</v>
      </c>
    </row>
    <row r="310" spans="1:9">
      <c r="A310" s="170" t="s">
        <v>764</v>
      </c>
      <c r="B310" s="108" t="s">
        <v>446</v>
      </c>
      <c r="C310" s="108" t="s">
        <v>463</v>
      </c>
      <c r="D310" s="108" t="s">
        <v>453</v>
      </c>
      <c r="E310" s="108" t="s">
        <v>452</v>
      </c>
      <c r="F310" s="108" t="s">
        <v>450</v>
      </c>
      <c r="G310" s="108" t="s">
        <v>451</v>
      </c>
      <c r="H310" s="108" t="s">
        <v>470</v>
      </c>
      <c r="I310" s="108" t="s">
        <v>468</v>
      </c>
    </row>
    <row r="311" spans="1:9">
      <c r="A311" s="168" t="s">
        <v>765</v>
      </c>
      <c r="B311" s="169" t="s">
        <v>453</v>
      </c>
      <c r="C311" s="169" t="s">
        <v>463</v>
      </c>
      <c r="D311" s="169" t="s">
        <v>464</v>
      </c>
      <c r="E311" s="169" t="s">
        <v>452</v>
      </c>
      <c r="F311" s="169" t="s">
        <v>450</v>
      </c>
      <c r="G311" s="169" t="s">
        <v>451</v>
      </c>
      <c r="H311" s="169" t="s">
        <v>470</v>
      </c>
      <c r="I311" s="169" t="s">
        <v>468</v>
      </c>
    </row>
    <row r="312" spans="1:9">
      <c r="A312" s="170" t="s">
        <v>766</v>
      </c>
      <c r="B312" s="108" t="s">
        <v>453</v>
      </c>
      <c r="C312" s="108" t="s">
        <v>447</v>
      </c>
      <c r="D312" s="108" t="s">
        <v>463</v>
      </c>
      <c r="E312" s="108" t="s">
        <v>452</v>
      </c>
      <c r="F312" s="108" t="s">
        <v>450</v>
      </c>
      <c r="G312" s="108" t="s">
        <v>446</v>
      </c>
      <c r="H312" s="108" t="s">
        <v>464</v>
      </c>
      <c r="I312" s="108" t="s">
        <v>468</v>
      </c>
    </row>
    <row r="313" spans="1:9">
      <c r="A313" s="168" t="s">
        <v>767</v>
      </c>
      <c r="B313" s="169" t="s">
        <v>453</v>
      </c>
      <c r="C313" s="169" t="s">
        <v>463</v>
      </c>
      <c r="D313" s="169" t="s">
        <v>464</v>
      </c>
      <c r="E313" s="169" t="s">
        <v>452</v>
      </c>
      <c r="F313" s="169" t="s">
        <v>450</v>
      </c>
      <c r="G313" s="169" t="s">
        <v>447</v>
      </c>
      <c r="H313" s="169" t="s">
        <v>470</v>
      </c>
      <c r="I313" s="169" t="s">
        <v>468</v>
      </c>
    </row>
    <row r="314" spans="1:9">
      <c r="A314" s="170" t="s">
        <v>768</v>
      </c>
      <c r="B314" s="108" t="s">
        <v>453</v>
      </c>
      <c r="C314" s="108" t="s">
        <v>447</v>
      </c>
      <c r="D314" s="108" t="s">
        <v>464</v>
      </c>
      <c r="E314" s="108" t="s">
        <v>452</v>
      </c>
      <c r="F314" s="108" t="s">
        <v>450</v>
      </c>
      <c r="G314" s="108" t="s">
        <v>446</v>
      </c>
      <c r="H314" s="108" t="s">
        <v>470</v>
      </c>
      <c r="I314" s="108" t="s">
        <v>468</v>
      </c>
    </row>
    <row r="315" spans="1:9">
      <c r="A315" s="168" t="s">
        <v>769</v>
      </c>
      <c r="B315" s="169" t="s">
        <v>453</v>
      </c>
      <c r="C315" s="169" t="s">
        <v>447</v>
      </c>
      <c r="D315" s="169" t="s">
        <v>463</v>
      </c>
      <c r="E315" s="169" t="s">
        <v>452</v>
      </c>
      <c r="F315" s="169" t="s">
        <v>450</v>
      </c>
      <c r="G315" s="169" t="s">
        <v>446</v>
      </c>
      <c r="H315" s="169" t="s">
        <v>470</v>
      </c>
      <c r="I315" s="169" t="s">
        <v>468</v>
      </c>
    </row>
    <row r="316" spans="1:9">
      <c r="A316" s="170" t="s">
        <v>770</v>
      </c>
      <c r="B316" s="108" t="s">
        <v>446</v>
      </c>
      <c r="C316" s="108" t="s">
        <v>447</v>
      </c>
      <c r="D316" s="108" t="s">
        <v>448</v>
      </c>
      <c r="E316" s="108" t="s">
        <v>449</v>
      </c>
      <c r="F316" s="108" t="s">
        <v>450</v>
      </c>
      <c r="G316" s="108" t="s">
        <v>451</v>
      </c>
      <c r="H316" s="108" t="s">
        <v>452</v>
      </c>
      <c r="I316" s="108" t="s">
        <v>453</v>
      </c>
    </row>
    <row r="317" spans="1:9">
      <c r="A317" s="168" t="s">
        <v>771</v>
      </c>
      <c r="B317" s="169" t="s">
        <v>453</v>
      </c>
      <c r="C317" s="169" t="s">
        <v>463</v>
      </c>
      <c r="D317" s="169" t="s">
        <v>464</v>
      </c>
      <c r="E317" s="169" t="s">
        <v>452</v>
      </c>
      <c r="F317" s="169" t="s">
        <v>450</v>
      </c>
      <c r="G317" s="169" t="s">
        <v>446</v>
      </c>
      <c r="H317" s="169" t="s">
        <v>470</v>
      </c>
      <c r="I317" s="169" t="s">
        <v>468</v>
      </c>
    </row>
    <row r="318" spans="1:9">
      <c r="A318" s="170" t="s">
        <v>772</v>
      </c>
      <c r="B318" s="108" t="s">
        <v>446</v>
      </c>
      <c r="C318" s="108" t="s">
        <v>447</v>
      </c>
      <c r="D318" s="108" t="s">
        <v>463</v>
      </c>
      <c r="E318" s="108" t="s">
        <v>452</v>
      </c>
      <c r="F318" s="108" t="s">
        <v>450</v>
      </c>
      <c r="G318" s="108" t="s">
        <v>451</v>
      </c>
      <c r="H318" s="108" t="s">
        <v>464</v>
      </c>
      <c r="I318" s="108" t="s">
        <v>468</v>
      </c>
    </row>
    <row r="319" spans="1:9">
      <c r="A319" s="168" t="s">
        <v>773</v>
      </c>
      <c r="B319" s="169" t="s">
        <v>446</v>
      </c>
      <c r="C319" s="169" t="s">
        <v>447</v>
      </c>
      <c r="D319" s="169" t="s">
        <v>463</v>
      </c>
      <c r="E319" s="169" t="s">
        <v>452</v>
      </c>
      <c r="F319" s="169" t="s">
        <v>450</v>
      </c>
      <c r="G319" s="169" t="s">
        <v>451</v>
      </c>
      <c r="H319" s="169" t="s">
        <v>470</v>
      </c>
      <c r="I319" s="169" t="s">
        <v>464</v>
      </c>
    </row>
    <row r="320" spans="1:9">
      <c r="A320" s="170" t="s">
        <v>774</v>
      </c>
      <c r="B320" s="108" t="s">
        <v>446</v>
      </c>
      <c r="C320" s="108" t="s">
        <v>447</v>
      </c>
      <c r="D320" s="108" t="s">
        <v>464</v>
      </c>
      <c r="E320" s="108" t="s">
        <v>452</v>
      </c>
      <c r="F320" s="108" t="s">
        <v>450</v>
      </c>
      <c r="G320" s="108" t="s">
        <v>451</v>
      </c>
      <c r="H320" s="108" t="s">
        <v>470</v>
      </c>
      <c r="I320" s="108" t="s">
        <v>468</v>
      </c>
    </row>
    <row r="321" spans="1:9">
      <c r="A321" s="168" t="s">
        <v>775</v>
      </c>
      <c r="B321" s="169" t="s">
        <v>446</v>
      </c>
      <c r="C321" s="169" t="s">
        <v>447</v>
      </c>
      <c r="D321" s="169" t="s">
        <v>463</v>
      </c>
      <c r="E321" s="169" t="s">
        <v>452</v>
      </c>
      <c r="F321" s="169" t="s">
        <v>450</v>
      </c>
      <c r="G321" s="169" t="s">
        <v>451</v>
      </c>
      <c r="H321" s="169" t="s">
        <v>470</v>
      </c>
      <c r="I321" s="169" t="s">
        <v>468</v>
      </c>
    </row>
    <row r="322" spans="1:9">
      <c r="A322" s="170" t="s">
        <v>776</v>
      </c>
      <c r="B322" s="108" t="s">
        <v>464</v>
      </c>
      <c r="C322" s="108" t="s">
        <v>447</v>
      </c>
      <c r="D322" s="108" t="s">
        <v>463</v>
      </c>
      <c r="E322" s="108" t="s">
        <v>452</v>
      </c>
      <c r="F322" s="108" t="s">
        <v>450</v>
      </c>
      <c r="G322" s="108" t="s">
        <v>451</v>
      </c>
      <c r="H322" s="108" t="s">
        <v>470</v>
      </c>
      <c r="I322" s="108" t="s">
        <v>468</v>
      </c>
    </row>
    <row r="323" spans="1:9">
      <c r="A323" s="168" t="s">
        <v>777</v>
      </c>
      <c r="B323" s="169" t="s">
        <v>446</v>
      </c>
      <c r="C323" s="169" t="s">
        <v>463</v>
      </c>
      <c r="D323" s="169" t="s">
        <v>464</v>
      </c>
      <c r="E323" s="169" t="s">
        <v>452</v>
      </c>
      <c r="F323" s="169" t="s">
        <v>450</v>
      </c>
      <c r="G323" s="169" t="s">
        <v>451</v>
      </c>
      <c r="H323" s="169" t="s">
        <v>470</v>
      </c>
      <c r="I323" s="169" t="s">
        <v>468</v>
      </c>
    </row>
    <row r="324" spans="1:9">
      <c r="A324" s="170" t="s">
        <v>778</v>
      </c>
      <c r="B324" s="108" t="s">
        <v>446</v>
      </c>
      <c r="C324" s="108" t="s">
        <v>463</v>
      </c>
      <c r="D324" s="108" t="s">
        <v>464</v>
      </c>
      <c r="E324" s="108" t="s">
        <v>452</v>
      </c>
      <c r="F324" s="108" t="s">
        <v>450</v>
      </c>
      <c r="G324" s="108" t="s">
        <v>447</v>
      </c>
      <c r="H324" s="108" t="s">
        <v>470</v>
      </c>
      <c r="I324" s="108" t="s">
        <v>468</v>
      </c>
    </row>
    <row r="325" spans="1:9">
      <c r="A325" s="168" t="s">
        <v>779</v>
      </c>
      <c r="B325" s="169" t="s">
        <v>453</v>
      </c>
      <c r="C325" s="169" t="s">
        <v>447</v>
      </c>
      <c r="D325" s="169" t="s">
        <v>463</v>
      </c>
      <c r="E325" s="169" t="s">
        <v>451</v>
      </c>
      <c r="F325" s="169" t="s">
        <v>450</v>
      </c>
      <c r="G325" s="169" t="s">
        <v>446</v>
      </c>
      <c r="H325" s="169" t="s">
        <v>464</v>
      </c>
      <c r="I325" s="169" t="s">
        <v>468</v>
      </c>
    </row>
    <row r="326" spans="1:9">
      <c r="A326" s="170" t="s">
        <v>780</v>
      </c>
      <c r="B326" s="108" t="s">
        <v>453</v>
      </c>
      <c r="C326" s="108" t="s">
        <v>447</v>
      </c>
      <c r="D326" s="108" t="s">
        <v>463</v>
      </c>
      <c r="E326" s="108" t="s">
        <v>451</v>
      </c>
      <c r="F326" s="108" t="s">
        <v>450</v>
      </c>
      <c r="G326" s="108" t="s">
        <v>446</v>
      </c>
      <c r="H326" s="108" t="s">
        <v>470</v>
      </c>
      <c r="I326" s="108" t="s">
        <v>464</v>
      </c>
    </row>
    <row r="327" spans="1:9">
      <c r="A327" s="168" t="s">
        <v>781</v>
      </c>
      <c r="B327" s="169" t="s">
        <v>453</v>
      </c>
      <c r="C327" s="169" t="s">
        <v>447</v>
      </c>
      <c r="D327" s="169" t="s">
        <v>464</v>
      </c>
      <c r="E327" s="169" t="s">
        <v>451</v>
      </c>
      <c r="F327" s="169" t="s">
        <v>450</v>
      </c>
      <c r="G327" s="169" t="s">
        <v>446</v>
      </c>
      <c r="H327" s="169" t="s">
        <v>470</v>
      </c>
      <c r="I327" s="169" t="s">
        <v>468</v>
      </c>
    </row>
    <row r="328" spans="1:9">
      <c r="A328" s="170" t="s">
        <v>782</v>
      </c>
      <c r="B328" s="108" t="s">
        <v>453</v>
      </c>
      <c r="C328" s="108" t="s">
        <v>447</v>
      </c>
      <c r="D328" s="108" t="s">
        <v>463</v>
      </c>
      <c r="E328" s="108" t="s">
        <v>451</v>
      </c>
      <c r="F328" s="108" t="s">
        <v>450</v>
      </c>
      <c r="G328" s="108" t="s">
        <v>446</v>
      </c>
      <c r="H328" s="108" t="s">
        <v>470</v>
      </c>
      <c r="I328" s="108" t="s">
        <v>468</v>
      </c>
    </row>
    <row r="329" spans="1:9">
      <c r="A329" s="168" t="s">
        <v>783</v>
      </c>
      <c r="B329" s="169" t="s">
        <v>453</v>
      </c>
      <c r="C329" s="169" t="s">
        <v>463</v>
      </c>
      <c r="D329" s="169" t="s">
        <v>464</v>
      </c>
      <c r="E329" s="169" t="s">
        <v>451</v>
      </c>
      <c r="F329" s="169" t="s">
        <v>450</v>
      </c>
      <c r="G329" s="169" t="s">
        <v>447</v>
      </c>
      <c r="H329" s="169" t="s">
        <v>470</v>
      </c>
      <c r="I329" s="169" t="s">
        <v>468</v>
      </c>
    </row>
    <row r="330" spans="1:9">
      <c r="A330" s="170" t="s">
        <v>784</v>
      </c>
      <c r="B330" s="108" t="s">
        <v>453</v>
      </c>
      <c r="C330" s="108" t="s">
        <v>463</v>
      </c>
      <c r="D330" s="108" t="s">
        <v>464</v>
      </c>
      <c r="E330" s="108" t="s">
        <v>451</v>
      </c>
      <c r="F330" s="108" t="s">
        <v>450</v>
      </c>
      <c r="G330" s="108" t="s">
        <v>446</v>
      </c>
      <c r="H330" s="108" t="s">
        <v>470</v>
      </c>
      <c r="I330" s="108" t="s">
        <v>468</v>
      </c>
    </row>
    <row r="331" spans="1:9">
      <c r="A331" s="168" t="s">
        <v>785</v>
      </c>
      <c r="B331" s="169" t="s">
        <v>453</v>
      </c>
      <c r="C331" s="169" t="s">
        <v>463</v>
      </c>
      <c r="D331" s="169" t="s">
        <v>464</v>
      </c>
      <c r="E331" s="169" t="s">
        <v>450</v>
      </c>
      <c r="F331" s="169" t="s">
        <v>446</v>
      </c>
      <c r="G331" s="169" t="s">
        <v>447</v>
      </c>
      <c r="H331" s="169" t="s">
        <v>470</v>
      </c>
      <c r="I331" s="169" t="s">
        <v>468</v>
      </c>
    </row>
    <row r="332" spans="1:9">
      <c r="A332" s="170" t="s">
        <v>786</v>
      </c>
      <c r="B332" s="108" t="s">
        <v>446</v>
      </c>
      <c r="C332" s="108" t="s">
        <v>463</v>
      </c>
      <c r="D332" s="108" t="s">
        <v>464</v>
      </c>
      <c r="E332" s="108" t="s">
        <v>451</v>
      </c>
      <c r="F332" s="108" t="s">
        <v>450</v>
      </c>
      <c r="G332" s="108" t="s">
        <v>447</v>
      </c>
      <c r="H332" s="108" t="s">
        <v>470</v>
      </c>
      <c r="I332" s="108" t="s">
        <v>468</v>
      </c>
    </row>
    <row r="333" spans="1:9">
      <c r="A333" s="168" t="s">
        <v>787</v>
      </c>
      <c r="B333" s="169" t="s">
        <v>446</v>
      </c>
      <c r="C333" s="169" t="s">
        <v>447</v>
      </c>
      <c r="D333" s="169" t="s">
        <v>448</v>
      </c>
      <c r="E333" s="169" t="s">
        <v>449</v>
      </c>
      <c r="F333" s="169" t="s">
        <v>464</v>
      </c>
      <c r="G333" s="169" t="s">
        <v>451</v>
      </c>
      <c r="H333" s="169" t="s">
        <v>452</v>
      </c>
      <c r="I333" s="169" t="s">
        <v>453</v>
      </c>
    </row>
    <row r="334" spans="1:9">
      <c r="A334" s="170" t="s">
        <v>788</v>
      </c>
      <c r="B334" s="108" t="s">
        <v>446</v>
      </c>
      <c r="C334" s="108" t="s">
        <v>447</v>
      </c>
      <c r="D334" s="108" t="s">
        <v>448</v>
      </c>
      <c r="E334" s="108" t="s">
        <v>449</v>
      </c>
      <c r="F334" s="108" t="s">
        <v>463</v>
      </c>
      <c r="G334" s="108" t="s">
        <v>451</v>
      </c>
      <c r="H334" s="108" t="s">
        <v>452</v>
      </c>
      <c r="I334" s="108" t="s">
        <v>453</v>
      </c>
    </row>
    <row r="335" spans="1:9">
      <c r="A335" s="168" t="s">
        <v>789</v>
      </c>
      <c r="B335" s="169" t="s">
        <v>449</v>
      </c>
      <c r="C335" s="169" t="s">
        <v>447</v>
      </c>
      <c r="D335" s="169" t="s">
        <v>448</v>
      </c>
      <c r="E335" s="169" t="s">
        <v>452</v>
      </c>
      <c r="F335" s="169" t="s">
        <v>446</v>
      </c>
      <c r="G335" s="169" t="s">
        <v>451</v>
      </c>
      <c r="H335" s="169" t="s">
        <v>453</v>
      </c>
      <c r="I335" s="169" t="s">
        <v>468</v>
      </c>
    </row>
    <row r="336" spans="1:9">
      <c r="A336" s="170" t="s">
        <v>790</v>
      </c>
      <c r="B336" s="108" t="s">
        <v>449</v>
      </c>
      <c r="C336" s="108" t="s">
        <v>447</v>
      </c>
      <c r="D336" s="108" t="s">
        <v>448</v>
      </c>
      <c r="E336" s="108" t="s">
        <v>452</v>
      </c>
      <c r="F336" s="108" t="s">
        <v>446</v>
      </c>
      <c r="G336" s="108" t="s">
        <v>451</v>
      </c>
      <c r="H336" s="108" t="s">
        <v>470</v>
      </c>
      <c r="I336" s="108" t="s">
        <v>453</v>
      </c>
    </row>
    <row r="337" spans="1:9">
      <c r="A337" s="168" t="s">
        <v>791</v>
      </c>
      <c r="B337" s="169" t="s">
        <v>449</v>
      </c>
      <c r="C337" s="169" t="s">
        <v>447</v>
      </c>
      <c r="D337" s="169" t="s">
        <v>448</v>
      </c>
      <c r="E337" s="169" t="s">
        <v>452</v>
      </c>
      <c r="F337" s="169" t="s">
        <v>463</v>
      </c>
      <c r="G337" s="169" t="s">
        <v>451</v>
      </c>
      <c r="H337" s="169" t="s">
        <v>453</v>
      </c>
      <c r="I337" s="169" t="s">
        <v>464</v>
      </c>
    </row>
    <row r="338" spans="1:9">
      <c r="A338" s="170" t="s">
        <v>792</v>
      </c>
      <c r="B338" s="108" t="s">
        <v>449</v>
      </c>
      <c r="C338" s="108" t="s">
        <v>447</v>
      </c>
      <c r="D338" s="108" t="s">
        <v>448</v>
      </c>
      <c r="E338" s="108" t="s">
        <v>452</v>
      </c>
      <c r="F338" s="108" t="s">
        <v>453</v>
      </c>
      <c r="G338" s="108" t="s">
        <v>451</v>
      </c>
      <c r="H338" s="108" t="s">
        <v>464</v>
      </c>
      <c r="I338" s="108" t="s">
        <v>468</v>
      </c>
    </row>
    <row r="339" spans="1:9">
      <c r="A339" s="168" t="s">
        <v>793</v>
      </c>
      <c r="B339" s="169" t="s">
        <v>449</v>
      </c>
      <c r="C339" s="169" t="s">
        <v>447</v>
      </c>
      <c r="D339" s="169" t="s">
        <v>448</v>
      </c>
      <c r="E339" s="169" t="s">
        <v>452</v>
      </c>
      <c r="F339" s="169" t="s">
        <v>453</v>
      </c>
      <c r="G339" s="169" t="s">
        <v>451</v>
      </c>
      <c r="H339" s="169" t="s">
        <v>470</v>
      </c>
      <c r="I339" s="169" t="s">
        <v>464</v>
      </c>
    </row>
    <row r="340" spans="1:9">
      <c r="A340" s="170" t="s">
        <v>794</v>
      </c>
      <c r="B340" s="108" t="s">
        <v>449</v>
      </c>
      <c r="C340" s="108" t="s">
        <v>447</v>
      </c>
      <c r="D340" s="108" t="s">
        <v>448</v>
      </c>
      <c r="E340" s="108" t="s">
        <v>452</v>
      </c>
      <c r="F340" s="108" t="s">
        <v>463</v>
      </c>
      <c r="G340" s="108" t="s">
        <v>451</v>
      </c>
      <c r="H340" s="108" t="s">
        <v>453</v>
      </c>
      <c r="I340" s="108" t="s">
        <v>468</v>
      </c>
    </row>
    <row r="341" spans="1:9">
      <c r="A341" s="168" t="s">
        <v>795</v>
      </c>
      <c r="B341" s="169" t="s">
        <v>449</v>
      </c>
      <c r="C341" s="169" t="s">
        <v>447</v>
      </c>
      <c r="D341" s="169" t="s">
        <v>448</v>
      </c>
      <c r="E341" s="169" t="s">
        <v>452</v>
      </c>
      <c r="F341" s="169" t="s">
        <v>463</v>
      </c>
      <c r="G341" s="169" t="s">
        <v>451</v>
      </c>
      <c r="H341" s="169" t="s">
        <v>470</v>
      </c>
      <c r="I341" s="169" t="s">
        <v>453</v>
      </c>
    </row>
    <row r="342" spans="1:9">
      <c r="A342" s="170" t="s">
        <v>796</v>
      </c>
      <c r="B342" s="108" t="s">
        <v>449</v>
      </c>
      <c r="C342" s="108" t="s">
        <v>447</v>
      </c>
      <c r="D342" s="108" t="s">
        <v>448</v>
      </c>
      <c r="E342" s="108" t="s">
        <v>452</v>
      </c>
      <c r="F342" s="108" t="s">
        <v>453</v>
      </c>
      <c r="G342" s="108" t="s">
        <v>451</v>
      </c>
      <c r="H342" s="108" t="s">
        <v>470</v>
      </c>
      <c r="I342" s="108" t="s">
        <v>468</v>
      </c>
    </row>
    <row r="343" spans="1:9">
      <c r="A343" s="168" t="s">
        <v>797</v>
      </c>
      <c r="B343" s="169" t="s">
        <v>449</v>
      </c>
      <c r="C343" s="169" t="s">
        <v>463</v>
      </c>
      <c r="D343" s="169" t="s">
        <v>448</v>
      </c>
      <c r="E343" s="169" t="s">
        <v>452</v>
      </c>
      <c r="F343" s="169" t="s">
        <v>446</v>
      </c>
      <c r="G343" s="169" t="s">
        <v>451</v>
      </c>
      <c r="H343" s="169" t="s">
        <v>453</v>
      </c>
      <c r="I343" s="169" t="s">
        <v>464</v>
      </c>
    </row>
    <row r="344" spans="1:9">
      <c r="A344" s="170" t="s">
        <v>798</v>
      </c>
      <c r="B344" s="108" t="s">
        <v>449</v>
      </c>
      <c r="C344" s="108" t="s">
        <v>453</v>
      </c>
      <c r="D344" s="108" t="s">
        <v>448</v>
      </c>
      <c r="E344" s="108" t="s">
        <v>452</v>
      </c>
      <c r="F344" s="108" t="s">
        <v>446</v>
      </c>
      <c r="G344" s="108" t="s">
        <v>451</v>
      </c>
      <c r="H344" s="108" t="s">
        <v>464</v>
      </c>
      <c r="I344" s="108" t="s">
        <v>468</v>
      </c>
    </row>
    <row r="345" spans="1:9">
      <c r="A345" s="168" t="s">
        <v>799</v>
      </c>
      <c r="B345" s="169" t="s">
        <v>449</v>
      </c>
      <c r="C345" s="169" t="s">
        <v>453</v>
      </c>
      <c r="D345" s="169" t="s">
        <v>448</v>
      </c>
      <c r="E345" s="169" t="s">
        <v>452</v>
      </c>
      <c r="F345" s="169" t="s">
        <v>446</v>
      </c>
      <c r="G345" s="169" t="s">
        <v>451</v>
      </c>
      <c r="H345" s="169" t="s">
        <v>470</v>
      </c>
      <c r="I345" s="169" t="s">
        <v>464</v>
      </c>
    </row>
    <row r="346" spans="1:9">
      <c r="A346" s="170" t="s">
        <v>800</v>
      </c>
      <c r="B346" s="108" t="s">
        <v>449</v>
      </c>
      <c r="C346" s="108" t="s">
        <v>463</v>
      </c>
      <c r="D346" s="108" t="s">
        <v>448</v>
      </c>
      <c r="E346" s="108" t="s">
        <v>452</v>
      </c>
      <c r="F346" s="108" t="s">
        <v>446</v>
      </c>
      <c r="G346" s="108" t="s">
        <v>451</v>
      </c>
      <c r="H346" s="108" t="s">
        <v>453</v>
      </c>
      <c r="I346" s="108" t="s">
        <v>468</v>
      </c>
    </row>
    <row r="347" spans="1:9">
      <c r="A347" s="168" t="s">
        <v>801</v>
      </c>
      <c r="B347" s="169" t="s">
        <v>449</v>
      </c>
      <c r="C347" s="169" t="s">
        <v>463</v>
      </c>
      <c r="D347" s="169" t="s">
        <v>448</v>
      </c>
      <c r="E347" s="169" t="s">
        <v>452</v>
      </c>
      <c r="F347" s="169" t="s">
        <v>446</v>
      </c>
      <c r="G347" s="169" t="s">
        <v>451</v>
      </c>
      <c r="H347" s="169" t="s">
        <v>470</v>
      </c>
      <c r="I347" s="169" t="s">
        <v>453</v>
      </c>
    </row>
    <row r="348" spans="1:9">
      <c r="A348" s="170" t="s">
        <v>802</v>
      </c>
      <c r="B348" s="108" t="s">
        <v>449</v>
      </c>
      <c r="C348" s="108" t="s">
        <v>453</v>
      </c>
      <c r="D348" s="108" t="s">
        <v>448</v>
      </c>
      <c r="E348" s="108" t="s">
        <v>452</v>
      </c>
      <c r="F348" s="108" t="s">
        <v>446</v>
      </c>
      <c r="G348" s="108" t="s">
        <v>451</v>
      </c>
      <c r="H348" s="108" t="s">
        <v>470</v>
      </c>
      <c r="I348" s="108" t="s">
        <v>468</v>
      </c>
    </row>
    <row r="349" spans="1:9">
      <c r="A349" s="168" t="s">
        <v>803</v>
      </c>
      <c r="B349" s="169" t="s">
        <v>449</v>
      </c>
      <c r="C349" s="169" t="s">
        <v>463</v>
      </c>
      <c r="D349" s="169" t="s">
        <v>448</v>
      </c>
      <c r="E349" s="169" t="s">
        <v>452</v>
      </c>
      <c r="F349" s="169" t="s">
        <v>453</v>
      </c>
      <c r="G349" s="169" t="s">
        <v>451</v>
      </c>
      <c r="H349" s="169" t="s">
        <v>464</v>
      </c>
      <c r="I349" s="169" t="s">
        <v>468</v>
      </c>
    </row>
    <row r="350" spans="1:9">
      <c r="A350" s="170" t="s">
        <v>804</v>
      </c>
      <c r="B350" s="108" t="s">
        <v>449</v>
      </c>
      <c r="C350" s="108" t="s">
        <v>463</v>
      </c>
      <c r="D350" s="108" t="s">
        <v>448</v>
      </c>
      <c r="E350" s="108" t="s">
        <v>452</v>
      </c>
      <c r="F350" s="108" t="s">
        <v>453</v>
      </c>
      <c r="G350" s="108" t="s">
        <v>451</v>
      </c>
      <c r="H350" s="108" t="s">
        <v>470</v>
      </c>
      <c r="I350" s="108" t="s">
        <v>464</v>
      </c>
    </row>
    <row r="351" spans="1:9">
      <c r="A351" s="168" t="s">
        <v>805</v>
      </c>
      <c r="B351" s="169" t="s">
        <v>446</v>
      </c>
      <c r="C351" s="169" t="s">
        <v>447</v>
      </c>
      <c r="D351" s="169" t="s">
        <v>448</v>
      </c>
      <c r="E351" s="169" t="s">
        <v>449</v>
      </c>
      <c r="F351" s="169" t="s">
        <v>450</v>
      </c>
      <c r="G351" s="169" t="s">
        <v>451</v>
      </c>
      <c r="H351" s="169" t="s">
        <v>452</v>
      </c>
      <c r="I351" s="169" t="s">
        <v>453</v>
      </c>
    </row>
    <row r="352" spans="1:9">
      <c r="A352" s="170" t="s">
        <v>806</v>
      </c>
      <c r="B352" s="108" t="s">
        <v>449</v>
      </c>
      <c r="C352" s="108" t="s">
        <v>463</v>
      </c>
      <c r="D352" s="108" t="s">
        <v>448</v>
      </c>
      <c r="E352" s="108" t="s">
        <v>452</v>
      </c>
      <c r="F352" s="108" t="s">
        <v>453</v>
      </c>
      <c r="G352" s="108" t="s">
        <v>451</v>
      </c>
      <c r="H352" s="108" t="s">
        <v>470</v>
      </c>
      <c r="I352" s="108" t="s">
        <v>468</v>
      </c>
    </row>
    <row r="353" spans="1:9">
      <c r="A353" s="168" t="s">
        <v>807</v>
      </c>
      <c r="B353" s="169" t="s">
        <v>446</v>
      </c>
      <c r="C353" s="169" t="s">
        <v>447</v>
      </c>
      <c r="D353" s="169" t="s">
        <v>448</v>
      </c>
      <c r="E353" s="169" t="s">
        <v>449</v>
      </c>
      <c r="F353" s="169" t="s">
        <v>463</v>
      </c>
      <c r="G353" s="169" t="s">
        <v>452</v>
      </c>
      <c r="H353" s="169" t="s">
        <v>453</v>
      </c>
      <c r="I353" s="169" t="s">
        <v>464</v>
      </c>
    </row>
    <row r="354" spans="1:9">
      <c r="A354" s="170" t="s">
        <v>808</v>
      </c>
      <c r="B354" s="108" t="s">
        <v>453</v>
      </c>
      <c r="C354" s="108" t="s">
        <v>447</v>
      </c>
      <c r="D354" s="108" t="s">
        <v>448</v>
      </c>
      <c r="E354" s="108" t="s">
        <v>449</v>
      </c>
      <c r="F354" s="108" t="s">
        <v>446</v>
      </c>
      <c r="G354" s="108" t="s">
        <v>452</v>
      </c>
      <c r="H354" s="108" t="s">
        <v>464</v>
      </c>
      <c r="I354" s="108" t="s">
        <v>468</v>
      </c>
    </row>
    <row r="355" spans="1:9">
      <c r="A355" s="168" t="s">
        <v>809</v>
      </c>
      <c r="B355" s="169" t="s">
        <v>453</v>
      </c>
      <c r="C355" s="169" t="s">
        <v>447</v>
      </c>
      <c r="D355" s="169" t="s">
        <v>448</v>
      </c>
      <c r="E355" s="169" t="s">
        <v>449</v>
      </c>
      <c r="F355" s="169" t="s">
        <v>446</v>
      </c>
      <c r="G355" s="169" t="s">
        <v>452</v>
      </c>
      <c r="H355" s="169" t="s">
        <v>470</v>
      </c>
      <c r="I355" s="169" t="s">
        <v>464</v>
      </c>
    </row>
    <row r="356" spans="1:9">
      <c r="A356" s="170" t="s">
        <v>810</v>
      </c>
      <c r="B356" s="108" t="s">
        <v>446</v>
      </c>
      <c r="C356" s="108" t="s">
        <v>447</v>
      </c>
      <c r="D356" s="108" t="s">
        <v>448</v>
      </c>
      <c r="E356" s="108" t="s">
        <v>449</v>
      </c>
      <c r="F356" s="108" t="s">
        <v>463</v>
      </c>
      <c r="G356" s="108" t="s">
        <v>452</v>
      </c>
      <c r="H356" s="108" t="s">
        <v>453</v>
      </c>
      <c r="I356" s="108" t="s">
        <v>468</v>
      </c>
    </row>
    <row r="357" spans="1:9">
      <c r="A357" s="168" t="s">
        <v>811</v>
      </c>
      <c r="B357" s="169" t="s">
        <v>446</v>
      </c>
      <c r="C357" s="169" t="s">
        <v>447</v>
      </c>
      <c r="D357" s="169" t="s">
        <v>448</v>
      </c>
      <c r="E357" s="169" t="s">
        <v>449</v>
      </c>
      <c r="F357" s="169" t="s">
        <v>463</v>
      </c>
      <c r="G357" s="169" t="s">
        <v>452</v>
      </c>
      <c r="H357" s="169" t="s">
        <v>470</v>
      </c>
      <c r="I357" s="169" t="s">
        <v>453</v>
      </c>
    </row>
    <row r="358" spans="1:9">
      <c r="A358" s="170" t="s">
        <v>812</v>
      </c>
      <c r="B358" s="108" t="s">
        <v>453</v>
      </c>
      <c r="C358" s="108" t="s">
        <v>447</v>
      </c>
      <c r="D358" s="108" t="s">
        <v>448</v>
      </c>
      <c r="E358" s="108" t="s">
        <v>449</v>
      </c>
      <c r="F358" s="108" t="s">
        <v>446</v>
      </c>
      <c r="G358" s="108" t="s">
        <v>452</v>
      </c>
      <c r="H358" s="108" t="s">
        <v>470</v>
      </c>
      <c r="I358" s="108" t="s">
        <v>468</v>
      </c>
    </row>
    <row r="359" spans="1:9">
      <c r="A359" s="168" t="s">
        <v>813</v>
      </c>
      <c r="B359" s="169" t="s">
        <v>453</v>
      </c>
      <c r="C359" s="169" t="s">
        <v>447</v>
      </c>
      <c r="D359" s="169" t="s">
        <v>448</v>
      </c>
      <c r="E359" s="169" t="s">
        <v>449</v>
      </c>
      <c r="F359" s="169" t="s">
        <v>463</v>
      </c>
      <c r="G359" s="169" t="s">
        <v>452</v>
      </c>
      <c r="H359" s="169" t="s">
        <v>464</v>
      </c>
      <c r="I359" s="169" t="s">
        <v>468</v>
      </c>
    </row>
    <row r="360" spans="1:9">
      <c r="A360" s="170" t="s">
        <v>814</v>
      </c>
      <c r="B360" s="108" t="s">
        <v>453</v>
      </c>
      <c r="C360" s="108" t="s">
        <v>447</v>
      </c>
      <c r="D360" s="108" t="s">
        <v>448</v>
      </c>
      <c r="E360" s="108" t="s">
        <v>449</v>
      </c>
      <c r="F360" s="108" t="s">
        <v>463</v>
      </c>
      <c r="G360" s="108" t="s">
        <v>452</v>
      </c>
      <c r="H360" s="108" t="s">
        <v>470</v>
      </c>
      <c r="I360" s="108" t="s">
        <v>464</v>
      </c>
    </row>
    <row r="361" spans="1:9">
      <c r="A361" s="168" t="s">
        <v>815</v>
      </c>
      <c r="B361" s="169" t="s">
        <v>453</v>
      </c>
      <c r="C361" s="169" t="s">
        <v>447</v>
      </c>
      <c r="D361" s="169" t="s">
        <v>448</v>
      </c>
      <c r="E361" s="169" t="s">
        <v>449</v>
      </c>
      <c r="F361" s="169" t="s">
        <v>464</v>
      </c>
      <c r="G361" s="169" t="s">
        <v>452</v>
      </c>
      <c r="H361" s="169" t="s">
        <v>470</v>
      </c>
      <c r="I361" s="169" t="s">
        <v>468</v>
      </c>
    </row>
    <row r="362" spans="1:9">
      <c r="A362" s="170" t="s">
        <v>816</v>
      </c>
      <c r="B362" s="108" t="s">
        <v>453</v>
      </c>
      <c r="C362" s="108" t="s">
        <v>447</v>
      </c>
      <c r="D362" s="108" t="s">
        <v>448</v>
      </c>
      <c r="E362" s="108" t="s">
        <v>449</v>
      </c>
      <c r="F362" s="108" t="s">
        <v>463</v>
      </c>
      <c r="G362" s="108" t="s">
        <v>452</v>
      </c>
      <c r="H362" s="108" t="s">
        <v>470</v>
      </c>
      <c r="I362" s="108" t="s">
        <v>468</v>
      </c>
    </row>
    <row r="363" spans="1:9">
      <c r="A363" s="168" t="s">
        <v>817</v>
      </c>
      <c r="B363" s="169" t="s">
        <v>453</v>
      </c>
      <c r="C363" s="169" t="s">
        <v>463</v>
      </c>
      <c r="D363" s="169" t="s">
        <v>448</v>
      </c>
      <c r="E363" s="169" t="s">
        <v>449</v>
      </c>
      <c r="F363" s="169" t="s">
        <v>446</v>
      </c>
      <c r="G363" s="169" t="s">
        <v>452</v>
      </c>
      <c r="H363" s="169" t="s">
        <v>464</v>
      </c>
      <c r="I363" s="169" t="s">
        <v>468</v>
      </c>
    </row>
    <row r="364" spans="1:9">
      <c r="A364" s="170" t="s">
        <v>818</v>
      </c>
      <c r="B364" s="108" t="s">
        <v>453</v>
      </c>
      <c r="C364" s="108" t="s">
        <v>463</v>
      </c>
      <c r="D364" s="108" t="s">
        <v>448</v>
      </c>
      <c r="E364" s="108" t="s">
        <v>449</v>
      </c>
      <c r="F364" s="108" t="s">
        <v>464</v>
      </c>
      <c r="G364" s="108" t="s">
        <v>452</v>
      </c>
      <c r="H364" s="108" t="s">
        <v>470</v>
      </c>
      <c r="I364" s="108" t="s">
        <v>468</v>
      </c>
    </row>
    <row r="365" spans="1:9">
      <c r="A365" s="168" t="s">
        <v>819</v>
      </c>
      <c r="B365" s="169" t="s">
        <v>453</v>
      </c>
      <c r="C365" s="169" t="s">
        <v>464</v>
      </c>
      <c r="D365" s="169" t="s">
        <v>448</v>
      </c>
      <c r="E365" s="169" t="s">
        <v>449</v>
      </c>
      <c r="F365" s="169" t="s">
        <v>446</v>
      </c>
      <c r="G365" s="169" t="s">
        <v>452</v>
      </c>
      <c r="H365" s="169" t="s">
        <v>470</v>
      </c>
      <c r="I365" s="169" t="s">
        <v>468</v>
      </c>
    </row>
    <row r="366" spans="1:9">
      <c r="A366" s="170" t="s">
        <v>820</v>
      </c>
      <c r="B366" s="108" t="s">
        <v>453</v>
      </c>
      <c r="C366" s="108" t="s">
        <v>463</v>
      </c>
      <c r="D366" s="108" t="s">
        <v>448</v>
      </c>
      <c r="E366" s="108" t="s">
        <v>449</v>
      </c>
      <c r="F366" s="108" t="s">
        <v>446</v>
      </c>
      <c r="G366" s="108" t="s">
        <v>452</v>
      </c>
      <c r="H366" s="108" t="s">
        <v>470</v>
      </c>
      <c r="I366" s="108" t="s">
        <v>468</v>
      </c>
    </row>
    <row r="367" spans="1:9">
      <c r="A367" s="168" t="s">
        <v>821</v>
      </c>
      <c r="B367" s="169" t="s">
        <v>446</v>
      </c>
      <c r="C367" s="169" t="s">
        <v>447</v>
      </c>
      <c r="D367" s="169" t="s">
        <v>448</v>
      </c>
      <c r="E367" s="169" t="s">
        <v>449</v>
      </c>
      <c r="F367" s="169" t="s">
        <v>450</v>
      </c>
      <c r="G367" s="169" t="s">
        <v>451</v>
      </c>
      <c r="H367" s="169" t="s">
        <v>452</v>
      </c>
      <c r="I367" s="169" t="s">
        <v>453</v>
      </c>
    </row>
    <row r="368" spans="1:9">
      <c r="A368" s="170" t="s">
        <v>822</v>
      </c>
      <c r="B368" s="108" t="s">
        <v>446</v>
      </c>
      <c r="C368" s="108" t="s">
        <v>447</v>
      </c>
      <c r="D368" s="108" t="s">
        <v>448</v>
      </c>
      <c r="E368" s="108" t="s">
        <v>449</v>
      </c>
      <c r="F368" s="108" t="s">
        <v>463</v>
      </c>
      <c r="G368" s="108" t="s">
        <v>451</v>
      </c>
      <c r="H368" s="108" t="s">
        <v>452</v>
      </c>
      <c r="I368" s="108" t="s">
        <v>464</v>
      </c>
    </row>
    <row r="369" spans="1:9">
      <c r="A369" s="168" t="s">
        <v>823</v>
      </c>
      <c r="B369" s="169" t="s">
        <v>449</v>
      </c>
      <c r="C369" s="169" t="s">
        <v>447</v>
      </c>
      <c r="D369" s="169" t="s">
        <v>448</v>
      </c>
      <c r="E369" s="169" t="s">
        <v>452</v>
      </c>
      <c r="F369" s="169" t="s">
        <v>446</v>
      </c>
      <c r="G369" s="169" t="s">
        <v>451</v>
      </c>
      <c r="H369" s="169" t="s">
        <v>464</v>
      </c>
      <c r="I369" s="169" t="s">
        <v>468</v>
      </c>
    </row>
    <row r="370" spans="1:9">
      <c r="A370" s="170" t="s">
        <v>824</v>
      </c>
      <c r="B370" s="108" t="s">
        <v>449</v>
      </c>
      <c r="C370" s="108" t="s">
        <v>447</v>
      </c>
      <c r="D370" s="108" t="s">
        <v>448</v>
      </c>
      <c r="E370" s="108" t="s">
        <v>452</v>
      </c>
      <c r="F370" s="108" t="s">
        <v>446</v>
      </c>
      <c r="G370" s="108" t="s">
        <v>451</v>
      </c>
      <c r="H370" s="108" t="s">
        <v>470</v>
      </c>
      <c r="I370" s="108" t="s">
        <v>464</v>
      </c>
    </row>
    <row r="371" spans="1:9">
      <c r="A371" s="168" t="s">
        <v>825</v>
      </c>
      <c r="B371" s="169" t="s">
        <v>446</v>
      </c>
      <c r="C371" s="169" t="s">
        <v>447</v>
      </c>
      <c r="D371" s="169" t="s">
        <v>448</v>
      </c>
      <c r="E371" s="169" t="s">
        <v>449</v>
      </c>
      <c r="F371" s="169" t="s">
        <v>463</v>
      </c>
      <c r="G371" s="169" t="s">
        <v>451</v>
      </c>
      <c r="H371" s="169" t="s">
        <v>452</v>
      </c>
      <c r="I371" s="169" t="s">
        <v>468</v>
      </c>
    </row>
    <row r="372" spans="1:9">
      <c r="A372" s="170" t="s">
        <v>826</v>
      </c>
      <c r="B372" s="108" t="s">
        <v>449</v>
      </c>
      <c r="C372" s="108" t="s">
        <v>447</v>
      </c>
      <c r="D372" s="108" t="s">
        <v>448</v>
      </c>
      <c r="E372" s="108" t="s">
        <v>452</v>
      </c>
      <c r="F372" s="108" t="s">
        <v>446</v>
      </c>
      <c r="G372" s="108" t="s">
        <v>451</v>
      </c>
      <c r="H372" s="108" t="s">
        <v>470</v>
      </c>
      <c r="I372" s="108" t="s">
        <v>463</v>
      </c>
    </row>
    <row r="373" spans="1:9">
      <c r="A373" s="168" t="s">
        <v>827</v>
      </c>
      <c r="B373" s="169" t="s">
        <v>449</v>
      </c>
      <c r="C373" s="169" t="s">
        <v>447</v>
      </c>
      <c r="D373" s="169" t="s">
        <v>448</v>
      </c>
      <c r="E373" s="169" t="s">
        <v>452</v>
      </c>
      <c r="F373" s="169" t="s">
        <v>446</v>
      </c>
      <c r="G373" s="169" t="s">
        <v>451</v>
      </c>
      <c r="H373" s="169" t="s">
        <v>470</v>
      </c>
      <c r="I373" s="169" t="s">
        <v>468</v>
      </c>
    </row>
    <row r="374" spans="1:9">
      <c r="A374" s="170" t="s">
        <v>828</v>
      </c>
      <c r="B374" s="108" t="s">
        <v>449</v>
      </c>
      <c r="C374" s="108" t="s">
        <v>447</v>
      </c>
      <c r="D374" s="108" t="s">
        <v>448</v>
      </c>
      <c r="E374" s="108" t="s">
        <v>452</v>
      </c>
      <c r="F374" s="108" t="s">
        <v>463</v>
      </c>
      <c r="G374" s="108" t="s">
        <v>451</v>
      </c>
      <c r="H374" s="108" t="s">
        <v>464</v>
      </c>
      <c r="I374" s="108" t="s">
        <v>468</v>
      </c>
    </row>
    <row r="375" spans="1:9">
      <c r="A375" s="168" t="s">
        <v>829</v>
      </c>
      <c r="B375" s="169" t="s">
        <v>449</v>
      </c>
      <c r="C375" s="169" t="s">
        <v>447</v>
      </c>
      <c r="D375" s="169" t="s">
        <v>448</v>
      </c>
      <c r="E375" s="169" t="s">
        <v>452</v>
      </c>
      <c r="F375" s="169" t="s">
        <v>463</v>
      </c>
      <c r="G375" s="169" t="s">
        <v>451</v>
      </c>
      <c r="H375" s="169" t="s">
        <v>470</v>
      </c>
      <c r="I375" s="169" t="s">
        <v>464</v>
      </c>
    </row>
    <row r="376" spans="1:9">
      <c r="A376" s="170" t="s">
        <v>830</v>
      </c>
      <c r="B376" s="108" t="s">
        <v>449</v>
      </c>
      <c r="C376" s="108" t="s">
        <v>447</v>
      </c>
      <c r="D376" s="108" t="s">
        <v>448</v>
      </c>
      <c r="E376" s="108" t="s">
        <v>452</v>
      </c>
      <c r="F376" s="108" t="s">
        <v>464</v>
      </c>
      <c r="G376" s="108" t="s">
        <v>451</v>
      </c>
      <c r="H376" s="108" t="s">
        <v>470</v>
      </c>
      <c r="I376" s="108" t="s">
        <v>468</v>
      </c>
    </row>
    <row r="377" spans="1:9">
      <c r="A377" s="168" t="s">
        <v>831</v>
      </c>
      <c r="B377" s="169" t="s">
        <v>449</v>
      </c>
      <c r="C377" s="169" t="s">
        <v>447</v>
      </c>
      <c r="D377" s="169" t="s">
        <v>448</v>
      </c>
      <c r="E377" s="169" t="s">
        <v>452</v>
      </c>
      <c r="F377" s="169" t="s">
        <v>463</v>
      </c>
      <c r="G377" s="169" t="s">
        <v>451</v>
      </c>
      <c r="H377" s="169" t="s">
        <v>470</v>
      </c>
      <c r="I377" s="169" t="s">
        <v>468</v>
      </c>
    </row>
    <row r="378" spans="1:9">
      <c r="A378" s="170" t="s">
        <v>832</v>
      </c>
      <c r="B378" s="108" t="s">
        <v>449</v>
      </c>
      <c r="C378" s="108" t="s">
        <v>463</v>
      </c>
      <c r="D378" s="108" t="s">
        <v>448</v>
      </c>
      <c r="E378" s="108" t="s">
        <v>452</v>
      </c>
      <c r="F378" s="108" t="s">
        <v>446</v>
      </c>
      <c r="G378" s="108" t="s">
        <v>451</v>
      </c>
      <c r="H378" s="108" t="s">
        <v>464</v>
      </c>
      <c r="I378" s="108" t="s">
        <v>468</v>
      </c>
    </row>
    <row r="379" spans="1:9">
      <c r="A379" s="168" t="s">
        <v>833</v>
      </c>
      <c r="B379" s="169" t="s">
        <v>449</v>
      </c>
      <c r="C379" s="169" t="s">
        <v>463</v>
      </c>
      <c r="D379" s="169" t="s">
        <v>448</v>
      </c>
      <c r="E379" s="169" t="s">
        <v>452</v>
      </c>
      <c r="F379" s="169" t="s">
        <v>446</v>
      </c>
      <c r="G379" s="169" t="s">
        <v>451</v>
      </c>
      <c r="H379" s="169" t="s">
        <v>470</v>
      </c>
      <c r="I379" s="169" t="s">
        <v>464</v>
      </c>
    </row>
    <row r="380" spans="1:9">
      <c r="A380" s="170" t="s">
        <v>834</v>
      </c>
      <c r="B380" s="108" t="s">
        <v>449</v>
      </c>
      <c r="C380" s="108" t="s">
        <v>464</v>
      </c>
      <c r="D380" s="108" t="s">
        <v>448</v>
      </c>
      <c r="E380" s="108" t="s">
        <v>452</v>
      </c>
      <c r="F380" s="108" t="s">
        <v>446</v>
      </c>
      <c r="G380" s="108" t="s">
        <v>451</v>
      </c>
      <c r="H380" s="108" t="s">
        <v>470</v>
      </c>
      <c r="I380" s="108" t="s">
        <v>468</v>
      </c>
    </row>
    <row r="381" spans="1:9">
      <c r="A381" s="168" t="s">
        <v>835</v>
      </c>
      <c r="B381" s="169" t="s">
        <v>449</v>
      </c>
      <c r="C381" s="169" t="s">
        <v>463</v>
      </c>
      <c r="D381" s="169" t="s">
        <v>448</v>
      </c>
      <c r="E381" s="169" t="s">
        <v>452</v>
      </c>
      <c r="F381" s="169" t="s">
        <v>446</v>
      </c>
      <c r="G381" s="169" t="s">
        <v>451</v>
      </c>
      <c r="H381" s="169" t="s">
        <v>470</v>
      </c>
      <c r="I381" s="169" t="s">
        <v>468</v>
      </c>
    </row>
    <row r="382" spans="1:9">
      <c r="A382" s="170" t="s">
        <v>836</v>
      </c>
      <c r="B382" s="108" t="s">
        <v>449</v>
      </c>
      <c r="C382" s="108" t="s">
        <v>463</v>
      </c>
      <c r="D382" s="108" t="s">
        <v>448</v>
      </c>
      <c r="E382" s="108" t="s">
        <v>452</v>
      </c>
      <c r="F382" s="108" t="s">
        <v>464</v>
      </c>
      <c r="G382" s="108" t="s">
        <v>451</v>
      </c>
      <c r="H382" s="108" t="s">
        <v>470</v>
      </c>
      <c r="I382" s="108" t="s">
        <v>468</v>
      </c>
    </row>
    <row r="383" spans="1:9">
      <c r="A383" s="168" t="s">
        <v>837</v>
      </c>
      <c r="B383" s="169" t="s">
        <v>446</v>
      </c>
      <c r="C383" s="169" t="s">
        <v>447</v>
      </c>
      <c r="D383" s="169" t="s">
        <v>448</v>
      </c>
      <c r="E383" s="169" t="s">
        <v>449</v>
      </c>
      <c r="F383" s="169" t="s">
        <v>463</v>
      </c>
      <c r="G383" s="169" t="s">
        <v>452</v>
      </c>
      <c r="H383" s="169" t="s">
        <v>464</v>
      </c>
      <c r="I383" s="169" t="s">
        <v>468</v>
      </c>
    </row>
    <row r="384" spans="1:9">
      <c r="A384" s="170" t="s">
        <v>838</v>
      </c>
      <c r="B384" s="108" t="s">
        <v>464</v>
      </c>
      <c r="C384" s="108" t="s">
        <v>447</v>
      </c>
      <c r="D384" s="108" t="s">
        <v>448</v>
      </c>
      <c r="E384" s="108" t="s">
        <v>449</v>
      </c>
      <c r="F384" s="108" t="s">
        <v>463</v>
      </c>
      <c r="G384" s="108" t="s">
        <v>452</v>
      </c>
      <c r="H384" s="108" t="s">
        <v>470</v>
      </c>
      <c r="I384" s="108" t="s">
        <v>468</v>
      </c>
    </row>
    <row r="385" spans="1:9">
      <c r="A385" s="168" t="s">
        <v>839</v>
      </c>
      <c r="B385" s="169" t="s">
        <v>446</v>
      </c>
      <c r="C385" s="169" t="s">
        <v>447</v>
      </c>
      <c r="D385" s="169" t="s">
        <v>448</v>
      </c>
      <c r="E385" s="169" t="s">
        <v>449</v>
      </c>
      <c r="F385" s="169" t="s">
        <v>464</v>
      </c>
      <c r="G385" s="169" t="s">
        <v>452</v>
      </c>
      <c r="H385" s="169" t="s">
        <v>470</v>
      </c>
      <c r="I385" s="169" t="s">
        <v>468</v>
      </c>
    </row>
    <row r="386" spans="1:9">
      <c r="A386" s="170" t="s">
        <v>840</v>
      </c>
      <c r="B386" s="108" t="s">
        <v>446</v>
      </c>
      <c r="C386" s="108" t="s">
        <v>447</v>
      </c>
      <c r="D386" s="108" t="s">
        <v>448</v>
      </c>
      <c r="E386" s="108" t="s">
        <v>449</v>
      </c>
      <c r="F386" s="108" t="s">
        <v>463</v>
      </c>
      <c r="G386" s="108" t="s">
        <v>452</v>
      </c>
      <c r="H386" s="108" t="s">
        <v>470</v>
      </c>
      <c r="I386" s="108" t="s">
        <v>468</v>
      </c>
    </row>
    <row r="387" spans="1:9">
      <c r="A387" s="168" t="s">
        <v>841</v>
      </c>
      <c r="B387" s="169" t="s">
        <v>446</v>
      </c>
      <c r="C387" s="169" t="s">
        <v>447</v>
      </c>
      <c r="D387" s="169" t="s">
        <v>448</v>
      </c>
      <c r="E387" s="169" t="s">
        <v>449</v>
      </c>
      <c r="F387" s="169" t="s">
        <v>450</v>
      </c>
      <c r="G387" s="169" t="s">
        <v>451</v>
      </c>
      <c r="H387" s="169" t="s">
        <v>452</v>
      </c>
      <c r="I387" s="169" t="s">
        <v>453</v>
      </c>
    </row>
    <row r="388" spans="1:9">
      <c r="A388" s="170" t="s">
        <v>842</v>
      </c>
      <c r="B388" s="108" t="s">
        <v>446</v>
      </c>
      <c r="C388" s="108" t="s">
        <v>463</v>
      </c>
      <c r="D388" s="108" t="s">
        <v>448</v>
      </c>
      <c r="E388" s="108" t="s">
        <v>449</v>
      </c>
      <c r="F388" s="108" t="s">
        <v>464</v>
      </c>
      <c r="G388" s="108" t="s">
        <v>452</v>
      </c>
      <c r="H388" s="108" t="s">
        <v>470</v>
      </c>
      <c r="I388" s="108" t="s">
        <v>468</v>
      </c>
    </row>
    <row r="389" spans="1:9">
      <c r="A389" s="168" t="s">
        <v>843</v>
      </c>
      <c r="B389" s="169" t="s">
        <v>446</v>
      </c>
      <c r="C389" s="169" t="s">
        <v>447</v>
      </c>
      <c r="D389" s="169" t="s">
        <v>448</v>
      </c>
      <c r="E389" s="169" t="s">
        <v>449</v>
      </c>
      <c r="F389" s="169" t="s">
        <v>463</v>
      </c>
      <c r="G389" s="169" t="s">
        <v>451</v>
      </c>
      <c r="H389" s="169" t="s">
        <v>453</v>
      </c>
      <c r="I389" s="169" t="s">
        <v>464</v>
      </c>
    </row>
    <row r="390" spans="1:9">
      <c r="A390" s="170" t="s">
        <v>844</v>
      </c>
      <c r="B390" s="108" t="s">
        <v>453</v>
      </c>
      <c r="C390" s="108" t="s">
        <v>447</v>
      </c>
      <c r="D390" s="108" t="s">
        <v>448</v>
      </c>
      <c r="E390" s="108" t="s">
        <v>449</v>
      </c>
      <c r="F390" s="108" t="s">
        <v>446</v>
      </c>
      <c r="G390" s="108" t="s">
        <v>451</v>
      </c>
      <c r="H390" s="108" t="s">
        <v>464</v>
      </c>
      <c r="I390" s="108" t="s">
        <v>468</v>
      </c>
    </row>
    <row r="391" spans="1:9">
      <c r="A391" s="168" t="s">
        <v>845</v>
      </c>
      <c r="B391" s="169" t="s">
        <v>453</v>
      </c>
      <c r="C391" s="169" t="s">
        <v>447</v>
      </c>
      <c r="D391" s="169" t="s">
        <v>448</v>
      </c>
      <c r="E391" s="169" t="s">
        <v>449</v>
      </c>
      <c r="F391" s="169" t="s">
        <v>446</v>
      </c>
      <c r="G391" s="169" t="s">
        <v>451</v>
      </c>
      <c r="H391" s="169" t="s">
        <v>470</v>
      </c>
      <c r="I391" s="169" t="s">
        <v>464</v>
      </c>
    </row>
    <row r="392" spans="1:9">
      <c r="A392" s="170" t="s">
        <v>846</v>
      </c>
      <c r="B392" s="108" t="s">
        <v>446</v>
      </c>
      <c r="C392" s="108" t="s">
        <v>447</v>
      </c>
      <c r="D392" s="108" t="s">
        <v>448</v>
      </c>
      <c r="E392" s="108" t="s">
        <v>449</v>
      </c>
      <c r="F392" s="108" t="s">
        <v>463</v>
      </c>
      <c r="G392" s="108" t="s">
        <v>451</v>
      </c>
      <c r="H392" s="108" t="s">
        <v>453</v>
      </c>
      <c r="I392" s="108" t="s">
        <v>468</v>
      </c>
    </row>
    <row r="393" spans="1:9">
      <c r="A393" s="168" t="s">
        <v>847</v>
      </c>
      <c r="B393" s="169" t="s">
        <v>446</v>
      </c>
      <c r="C393" s="169" t="s">
        <v>447</v>
      </c>
      <c r="D393" s="169" t="s">
        <v>448</v>
      </c>
      <c r="E393" s="169" t="s">
        <v>449</v>
      </c>
      <c r="F393" s="169" t="s">
        <v>463</v>
      </c>
      <c r="G393" s="169" t="s">
        <v>451</v>
      </c>
      <c r="H393" s="169" t="s">
        <v>470</v>
      </c>
      <c r="I393" s="169" t="s">
        <v>453</v>
      </c>
    </row>
    <row r="394" spans="1:9">
      <c r="A394" s="170" t="s">
        <v>848</v>
      </c>
      <c r="B394" s="108" t="s">
        <v>453</v>
      </c>
      <c r="C394" s="108" t="s">
        <v>447</v>
      </c>
      <c r="D394" s="108" t="s">
        <v>448</v>
      </c>
      <c r="E394" s="108" t="s">
        <v>449</v>
      </c>
      <c r="F394" s="108" t="s">
        <v>446</v>
      </c>
      <c r="G394" s="108" t="s">
        <v>451</v>
      </c>
      <c r="H394" s="108" t="s">
        <v>470</v>
      </c>
      <c r="I394" s="108" t="s">
        <v>468</v>
      </c>
    </row>
    <row r="395" spans="1:9">
      <c r="A395" s="168" t="s">
        <v>849</v>
      </c>
      <c r="B395" s="169" t="s">
        <v>453</v>
      </c>
      <c r="C395" s="169" t="s">
        <v>447</v>
      </c>
      <c r="D395" s="169" t="s">
        <v>448</v>
      </c>
      <c r="E395" s="169" t="s">
        <v>449</v>
      </c>
      <c r="F395" s="169" t="s">
        <v>463</v>
      </c>
      <c r="G395" s="169" t="s">
        <v>451</v>
      </c>
      <c r="H395" s="169" t="s">
        <v>464</v>
      </c>
      <c r="I395" s="169" t="s">
        <v>468</v>
      </c>
    </row>
    <row r="396" spans="1:9">
      <c r="A396" s="170" t="s">
        <v>850</v>
      </c>
      <c r="B396" s="108" t="s">
        <v>453</v>
      </c>
      <c r="C396" s="108" t="s">
        <v>447</v>
      </c>
      <c r="D396" s="108" t="s">
        <v>448</v>
      </c>
      <c r="E396" s="108" t="s">
        <v>449</v>
      </c>
      <c r="F396" s="108" t="s">
        <v>463</v>
      </c>
      <c r="G396" s="108" t="s">
        <v>451</v>
      </c>
      <c r="H396" s="108" t="s">
        <v>470</v>
      </c>
      <c r="I396" s="108" t="s">
        <v>464</v>
      </c>
    </row>
    <row r="397" spans="1:9">
      <c r="A397" s="168" t="s">
        <v>851</v>
      </c>
      <c r="B397" s="169" t="s">
        <v>453</v>
      </c>
      <c r="C397" s="169" t="s">
        <v>447</v>
      </c>
      <c r="D397" s="169" t="s">
        <v>448</v>
      </c>
      <c r="E397" s="169" t="s">
        <v>449</v>
      </c>
      <c r="F397" s="169" t="s">
        <v>464</v>
      </c>
      <c r="G397" s="169" t="s">
        <v>451</v>
      </c>
      <c r="H397" s="169" t="s">
        <v>470</v>
      </c>
      <c r="I397" s="169" t="s">
        <v>468</v>
      </c>
    </row>
    <row r="398" spans="1:9">
      <c r="A398" s="170" t="s">
        <v>852</v>
      </c>
      <c r="B398" s="108" t="s">
        <v>453</v>
      </c>
      <c r="C398" s="108" t="s">
        <v>447</v>
      </c>
      <c r="D398" s="108" t="s">
        <v>448</v>
      </c>
      <c r="E398" s="108" t="s">
        <v>449</v>
      </c>
      <c r="F398" s="108" t="s">
        <v>463</v>
      </c>
      <c r="G398" s="108" t="s">
        <v>451</v>
      </c>
      <c r="H398" s="108" t="s">
        <v>470</v>
      </c>
      <c r="I398" s="108" t="s">
        <v>468</v>
      </c>
    </row>
    <row r="399" spans="1:9">
      <c r="A399" s="168" t="s">
        <v>853</v>
      </c>
      <c r="B399" s="169" t="s">
        <v>453</v>
      </c>
      <c r="C399" s="169" t="s">
        <v>463</v>
      </c>
      <c r="D399" s="169" t="s">
        <v>448</v>
      </c>
      <c r="E399" s="169" t="s">
        <v>449</v>
      </c>
      <c r="F399" s="169" t="s">
        <v>446</v>
      </c>
      <c r="G399" s="169" t="s">
        <v>451</v>
      </c>
      <c r="H399" s="169" t="s">
        <v>464</v>
      </c>
      <c r="I399" s="169" t="s">
        <v>468</v>
      </c>
    </row>
    <row r="400" spans="1:9">
      <c r="A400" s="170" t="s">
        <v>854</v>
      </c>
      <c r="B400" s="108" t="s">
        <v>453</v>
      </c>
      <c r="C400" s="108" t="s">
        <v>463</v>
      </c>
      <c r="D400" s="108" t="s">
        <v>448</v>
      </c>
      <c r="E400" s="108" t="s">
        <v>449</v>
      </c>
      <c r="F400" s="108" t="s">
        <v>446</v>
      </c>
      <c r="G400" s="108" t="s">
        <v>451</v>
      </c>
      <c r="H400" s="108" t="s">
        <v>470</v>
      </c>
      <c r="I400" s="108" t="s">
        <v>464</v>
      </c>
    </row>
    <row r="401" spans="1:9">
      <c r="A401" s="168" t="s">
        <v>855</v>
      </c>
      <c r="B401" s="169" t="s">
        <v>453</v>
      </c>
      <c r="C401" s="169" t="s">
        <v>464</v>
      </c>
      <c r="D401" s="169" t="s">
        <v>448</v>
      </c>
      <c r="E401" s="169" t="s">
        <v>449</v>
      </c>
      <c r="F401" s="169" t="s">
        <v>446</v>
      </c>
      <c r="G401" s="169" t="s">
        <v>451</v>
      </c>
      <c r="H401" s="169" t="s">
        <v>470</v>
      </c>
      <c r="I401" s="169" t="s">
        <v>468</v>
      </c>
    </row>
    <row r="402" spans="1:9">
      <c r="A402" s="170" t="s">
        <v>856</v>
      </c>
      <c r="B402" s="108" t="s">
        <v>453</v>
      </c>
      <c r="C402" s="108" t="s">
        <v>463</v>
      </c>
      <c r="D402" s="108" t="s">
        <v>448</v>
      </c>
      <c r="E402" s="108" t="s">
        <v>449</v>
      </c>
      <c r="F402" s="108" t="s">
        <v>446</v>
      </c>
      <c r="G402" s="108" t="s">
        <v>451</v>
      </c>
      <c r="H402" s="108" t="s">
        <v>470</v>
      </c>
      <c r="I402" s="108" t="s">
        <v>468</v>
      </c>
    </row>
    <row r="403" spans="1:9">
      <c r="A403" s="168" t="s">
        <v>857</v>
      </c>
      <c r="B403" s="169" t="s">
        <v>453</v>
      </c>
      <c r="C403" s="169" t="s">
        <v>463</v>
      </c>
      <c r="D403" s="169" t="s">
        <v>448</v>
      </c>
      <c r="E403" s="169" t="s">
        <v>449</v>
      </c>
      <c r="F403" s="169" t="s">
        <v>464</v>
      </c>
      <c r="G403" s="169" t="s">
        <v>451</v>
      </c>
      <c r="H403" s="169" t="s">
        <v>470</v>
      </c>
      <c r="I403" s="169" t="s">
        <v>468</v>
      </c>
    </row>
    <row r="404" spans="1:9">
      <c r="A404" s="170" t="s">
        <v>858</v>
      </c>
      <c r="B404" s="108" t="s">
        <v>453</v>
      </c>
      <c r="C404" s="108" t="s">
        <v>463</v>
      </c>
      <c r="D404" s="108" t="s">
        <v>448</v>
      </c>
      <c r="E404" s="108" t="s">
        <v>449</v>
      </c>
      <c r="F404" s="108" t="s">
        <v>446</v>
      </c>
      <c r="G404" s="108" t="s">
        <v>447</v>
      </c>
      <c r="H404" s="108" t="s">
        <v>464</v>
      </c>
      <c r="I404" s="108" t="s">
        <v>468</v>
      </c>
    </row>
    <row r="405" spans="1:9">
      <c r="A405" s="168" t="s">
        <v>859</v>
      </c>
      <c r="B405" s="169" t="s">
        <v>453</v>
      </c>
      <c r="C405" s="169" t="s">
        <v>463</v>
      </c>
      <c r="D405" s="169" t="s">
        <v>448</v>
      </c>
      <c r="E405" s="169" t="s">
        <v>449</v>
      </c>
      <c r="F405" s="169" t="s">
        <v>464</v>
      </c>
      <c r="G405" s="169" t="s">
        <v>447</v>
      </c>
      <c r="H405" s="169" t="s">
        <v>470</v>
      </c>
      <c r="I405" s="169" t="s">
        <v>468</v>
      </c>
    </row>
    <row r="406" spans="1:9">
      <c r="A406" s="170" t="s">
        <v>860</v>
      </c>
      <c r="B406" s="108" t="s">
        <v>453</v>
      </c>
      <c r="C406" s="108" t="s">
        <v>447</v>
      </c>
      <c r="D406" s="108" t="s">
        <v>448</v>
      </c>
      <c r="E406" s="108" t="s">
        <v>449</v>
      </c>
      <c r="F406" s="108" t="s">
        <v>464</v>
      </c>
      <c r="G406" s="108" t="s">
        <v>446</v>
      </c>
      <c r="H406" s="108" t="s">
        <v>470</v>
      </c>
      <c r="I406" s="108" t="s">
        <v>468</v>
      </c>
    </row>
    <row r="407" spans="1:9">
      <c r="A407" s="168" t="s">
        <v>861</v>
      </c>
      <c r="B407" s="169" t="s">
        <v>453</v>
      </c>
      <c r="C407" s="169" t="s">
        <v>463</v>
      </c>
      <c r="D407" s="169" t="s">
        <v>448</v>
      </c>
      <c r="E407" s="169" t="s">
        <v>449</v>
      </c>
      <c r="F407" s="169" t="s">
        <v>446</v>
      </c>
      <c r="G407" s="169" t="s">
        <v>447</v>
      </c>
      <c r="H407" s="169" t="s">
        <v>470</v>
      </c>
      <c r="I407" s="169" t="s">
        <v>468</v>
      </c>
    </row>
    <row r="408" spans="1:9">
      <c r="A408" s="170" t="s">
        <v>862</v>
      </c>
      <c r="B408" s="108" t="s">
        <v>446</v>
      </c>
      <c r="C408" s="108" t="s">
        <v>447</v>
      </c>
      <c r="D408" s="108" t="s">
        <v>448</v>
      </c>
      <c r="E408" s="108" t="s">
        <v>449</v>
      </c>
      <c r="F408" s="108" t="s">
        <v>450</v>
      </c>
      <c r="G408" s="108" t="s">
        <v>451</v>
      </c>
      <c r="H408" s="108" t="s">
        <v>452</v>
      </c>
      <c r="I408" s="108" t="s">
        <v>453</v>
      </c>
    </row>
    <row r="409" spans="1:9">
      <c r="A409" s="168" t="s">
        <v>863</v>
      </c>
      <c r="B409" s="169" t="s">
        <v>453</v>
      </c>
      <c r="C409" s="169" t="s">
        <v>463</v>
      </c>
      <c r="D409" s="169" t="s">
        <v>448</v>
      </c>
      <c r="E409" s="169" t="s">
        <v>449</v>
      </c>
      <c r="F409" s="169" t="s">
        <v>464</v>
      </c>
      <c r="G409" s="169" t="s">
        <v>446</v>
      </c>
      <c r="H409" s="169" t="s">
        <v>470</v>
      </c>
      <c r="I409" s="169" t="s">
        <v>468</v>
      </c>
    </row>
    <row r="410" spans="1:9">
      <c r="A410" s="170" t="s">
        <v>864</v>
      </c>
      <c r="B410" s="108" t="s">
        <v>446</v>
      </c>
      <c r="C410" s="108" t="s">
        <v>447</v>
      </c>
      <c r="D410" s="108" t="s">
        <v>448</v>
      </c>
      <c r="E410" s="108" t="s">
        <v>449</v>
      </c>
      <c r="F410" s="108" t="s">
        <v>463</v>
      </c>
      <c r="G410" s="108" t="s">
        <v>451</v>
      </c>
      <c r="H410" s="108" t="s">
        <v>464</v>
      </c>
      <c r="I410" s="108" t="s">
        <v>468</v>
      </c>
    </row>
    <row r="411" spans="1:9">
      <c r="A411" s="168" t="s">
        <v>865</v>
      </c>
      <c r="B411" s="169" t="s">
        <v>446</v>
      </c>
      <c r="C411" s="169" t="s">
        <v>447</v>
      </c>
      <c r="D411" s="169" t="s">
        <v>448</v>
      </c>
      <c r="E411" s="169" t="s">
        <v>449</v>
      </c>
      <c r="F411" s="169" t="s">
        <v>463</v>
      </c>
      <c r="G411" s="169" t="s">
        <v>451</v>
      </c>
      <c r="H411" s="169" t="s">
        <v>470</v>
      </c>
      <c r="I411" s="169" t="s">
        <v>464</v>
      </c>
    </row>
    <row r="412" spans="1:9">
      <c r="A412" s="170" t="s">
        <v>866</v>
      </c>
      <c r="B412" s="108" t="s">
        <v>446</v>
      </c>
      <c r="C412" s="108" t="s">
        <v>447</v>
      </c>
      <c r="D412" s="108" t="s">
        <v>448</v>
      </c>
      <c r="E412" s="108" t="s">
        <v>449</v>
      </c>
      <c r="F412" s="108" t="s">
        <v>464</v>
      </c>
      <c r="G412" s="108" t="s">
        <v>451</v>
      </c>
      <c r="H412" s="108" t="s">
        <v>470</v>
      </c>
      <c r="I412" s="108" t="s">
        <v>468</v>
      </c>
    </row>
    <row r="413" spans="1:9">
      <c r="A413" s="168" t="s">
        <v>867</v>
      </c>
      <c r="B413" s="169" t="s">
        <v>446</v>
      </c>
      <c r="C413" s="169" t="s">
        <v>447</v>
      </c>
      <c r="D413" s="169" t="s">
        <v>448</v>
      </c>
      <c r="E413" s="169" t="s">
        <v>449</v>
      </c>
      <c r="F413" s="169" t="s">
        <v>463</v>
      </c>
      <c r="G413" s="169" t="s">
        <v>451</v>
      </c>
      <c r="H413" s="169" t="s">
        <v>470</v>
      </c>
      <c r="I413" s="169" t="s">
        <v>468</v>
      </c>
    </row>
    <row r="414" spans="1:9">
      <c r="A414" s="170" t="s">
        <v>868</v>
      </c>
      <c r="B414" s="108" t="s">
        <v>464</v>
      </c>
      <c r="C414" s="108" t="s">
        <v>447</v>
      </c>
      <c r="D414" s="108" t="s">
        <v>448</v>
      </c>
      <c r="E414" s="108" t="s">
        <v>449</v>
      </c>
      <c r="F414" s="108" t="s">
        <v>463</v>
      </c>
      <c r="G414" s="108" t="s">
        <v>451</v>
      </c>
      <c r="H414" s="108" t="s">
        <v>470</v>
      </c>
      <c r="I414" s="108" t="s">
        <v>468</v>
      </c>
    </row>
    <row r="415" spans="1:9">
      <c r="A415" s="168" t="s">
        <v>869</v>
      </c>
      <c r="B415" s="169" t="s">
        <v>446</v>
      </c>
      <c r="C415" s="169" t="s">
        <v>463</v>
      </c>
      <c r="D415" s="169" t="s">
        <v>448</v>
      </c>
      <c r="E415" s="169" t="s">
        <v>449</v>
      </c>
      <c r="F415" s="169" t="s">
        <v>464</v>
      </c>
      <c r="G415" s="169" t="s">
        <v>451</v>
      </c>
      <c r="H415" s="169" t="s">
        <v>470</v>
      </c>
      <c r="I415" s="169" t="s">
        <v>468</v>
      </c>
    </row>
    <row r="416" spans="1:9">
      <c r="A416" s="170" t="s">
        <v>870</v>
      </c>
      <c r="B416" s="108" t="s">
        <v>446</v>
      </c>
      <c r="C416" s="108" t="s">
        <v>463</v>
      </c>
      <c r="D416" s="108" t="s">
        <v>448</v>
      </c>
      <c r="E416" s="108" t="s">
        <v>449</v>
      </c>
      <c r="F416" s="108" t="s">
        <v>464</v>
      </c>
      <c r="G416" s="108" t="s">
        <v>447</v>
      </c>
      <c r="H416" s="108" t="s">
        <v>470</v>
      </c>
      <c r="I416" s="108" t="s">
        <v>468</v>
      </c>
    </row>
    <row r="417" spans="1:9">
      <c r="A417" s="168" t="s">
        <v>871</v>
      </c>
      <c r="B417" s="169" t="s">
        <v>446</v>
      </c>
      <c r="C417" s="169" t="s">
        <v>447</v>
      </c>
      <c r="D417" s="169" t="s">
        <v>448</v>
      </c>
      <c r="E417" s="169" t="s">
        <v>452</v>
      </c>
      <c r="F417" s="169" t="s">
        <v>463</v>
      </c>
      <c r="G417" s="169" t="s">
        <v>451</v>
      </c>
      <c r="H417" s="169" t="s">
        <v>453</v>
      </c>
      <c r="I417" s="169" t="s">
        <v>464</v>
      </c>
    </row>
    <row r="418" spans="1:9">
      <c r="A418" s="170" t="s">
        <v>872</v>
      </c>
      <c r="B418" s="108" t="s">
        <v>453</v>
      </c>
      <c r="C418" s="108" t="s">
        <v>447</v>
      </c>
      <c r="D418" s="108" t="s">
        <v>448</v>
      </c>
      <c r="E418" s="108" t="s">
        <v>452</v>
      </c>
      <c r="F418" s="108" t="s">
        <v>446</v>
      </c>
      <c r="G418" s="108" t="s">
        <v>451</v>
      </c>
      <c r="H418" s="108" t="s">
        <v>464</v>
      </c>
      <c r="I418" s="108" t="s">
        <v>468</v>
      </c>
    </row>
    <row r="419" spans="1:9">
      <c r="A419" s="168" t="s">
        <v>873</v>
      </c>
      <c r="B419" s="169" t="s">
        <v>453</v>
      </c>
      <c r="C419" s="169" t="s">
        <v>447</v>
      </c>
      <c r="D419" s="169" t="s">
        <v>448</v>
      </c>
      <c r="E419" s="169" t="s">
        <v>452</v>
      </c>
      <c r="F419" s="169" t="s">
        <v>446</v>
      </c>
      <c r="G419" s="169" t="s">
        <v>451</v>
      </c>
      <c r="H419" s="169" t="s">
        <v>470</v>
      </c>
      <c r="I419" s="169" t="s">
        <v>464</v>
      </c>
    </row>
    <row r="420" spans="1:9">
      <c r="A420" s="170" t="s">
        <v>874</v>
      </c>
      <c r="B420" s="108" t="s">
        <v>446</v>
      </c>
      <c r="C420" s="108" t="s">
        <v>447</v>
      </c>
      <c r="D420" s="108" t="s">
        <v>448</v>
      </c>
      <c r="E420" s="108" t="s">
        <v>452</v>
      </c>
      <c r="F420" s="108" t="s">
        <v>463</v>
      </c>
      <c r="G420" s="108" t="s">
        <v>451</v>
      </c>
      <c r="H420" s="108" t="s">
        <v>453</v>
      </c>
      <c r="I420" s="108" t="s">
        <v>468</v>
      </c>
    </row>
    <row r="421" spans="1:9">
      <c r="A421" s="168" t="s">
        <v>875</v>
      </c>
      <c r="B421" s="169" t="s">
        <v>446</v>
      </c>
      <c r="C421" s="169" t="s">
        <v>447</v>
      </c>
      <c r="D421" s="169" t="s">
        <v>448</v>
      </c>
      <c r="E421" s="169" t="s">
        <v>452</v>
      </c>
      <c r="F421" s="169" t="s">
        <v>463</v>
      </c>
      <c r="G421" s="169" t="s">
        <v>451</v>
      </c>
      <c r="H421" s="169" t="s">
        <v>470</v>
      </c>
      <c r="I421" s="169" t="s">
        <v>453</v>
      </c>
    </row>
    <row r="422" spans="1:9">
      <c r="A422" s="170" t="s">
        <v>876</v>
      </c>
      <c r="B422" s="108" t="s">
        <v>453</v>
      </c>
      <c r="C422" s="108" t="s">
        <v>447</v>
      </c>
      <c r="D422" s="108" t="s">
        <v>448</v>
      </c>
      <c r="E422" s="108" t="s">
        <v>452</v>
      </c>
      <c r="F422" s="108" t="s">
        <v>446</v>
      </c>
      <c r="G422" s="108" t="s">
        <v>451</v>
      </c>
      <c r="H422" s="108" t="s">
        <v>470</v>
      </c>
      <c r="I422" s="108" t="s">
        <v>468</v>
      </c>
    </row>
    <row r="423" spans="1:9">
      <c r="A423" s="168" t="s">
        <v>877</v>
      </c>
      <c r="B423" s="169" t="s">
        <v>453</v>
      </c>
      <c r="C423" s="169" t="s">
        <v>447</v>
      </c>
      <c r="D423" s="169" t="s">
        <v>448</v>
      </c>
      <c r="E423" s="169" t="s">
        <v>452</v>
      </c>
      <c r="F423" s="169" t="s">
        <v>463</v>
      </c>
      <c r="G423" s="169" t="s">
        <v>451</v>
      </c>
      <c r="H423" s="169" t="s">
        <v>464</v>
      </c>
      <c r="I423" s="169" t="s">
        <v>468</v>
      </c>
    </row>
    <row r="424" spans="1:9">
      <c r="A424" s="170" t="s">
        <v>878</v>
      </c>
      <c r="B424" s="108" t="s">
        <v>453</v>
      </c>
      <c r="C424" s="108" t="s">
        <v>447</v>
      </c>
      <c r="D424" s="108" t="s">
        <v>448</v>
      </c>
      <c r="E424" s="108" t="s">
        <v>452</v>
      </c>
      <c r="F424" s="108" t="s">
        <v>463</v>
      </c>
      <c r="G424" s="108" t="s">
        <v>451</v>
      </c>
      <c r="H424" s="108" t="s">
        <v>470</v>
      </c>
      <c r="I424" s="108" t="s">
        <v>464</v>
      </c>
    </row>
    <row r="425" spans="1:9">
      <c r="A425" s="168" t="s">
        <v>879</v>
      </c>
      <c r="B425" s="169" t="s">
        <v>453</v>
      </c>
      <c r="C425" s="169" t="s">
        <v>447</v>
      </c>
      <c r="D425" s="169" t="s">
        <v>448</v>
      </c>
      <c r="E425" s="169" t="s">
        <v>452</v>
      </c>
      <c r="F425" s="169" t="s">
        <v>464</v>
      </c>
      <c r="G425" s="169" t="s">
        <v>451</v>
      </c>
      <c r="H425" s="169" t="s">
        <v>470</v>
      </c>
      <c r="I425" s="169" t="s">
        <v>468</v>
      </c>
    </row>
    <row r="426" spans="1:9">
      <c r="A426" s="170" t="s">
        <v>880</v>
      </c>
      <c r="B426" s="108" t="s">
        <v>453</v>
      </c>
      <c r="C426" s="108" t="s">
        <v>447</v>
      </c>
      <c r="D426" s="108" t="s">
        <v>448</v>
      </c>
      <c r="E426" s="108" t="s">
        <v>452</v>
      </c>
      <c r="F426" s="108" t="s">
        <v>463</v>
      </c>
      <c r="G426" s="108" t="s">
        <v>451</v>
      </c>
      <c r="H426" s="108" t="s">
        <v>470</v>
      </c>
      <c r="I426" s="108" t="s">
        <v>468</v>
      </c>
    </row>
    <row r="427" spans="1:9">
      <c r="A427" s="168" t="s">
        <v>881</v>
      </c>
      <c r="B427" s="169" t="s">
        <v>453</v>
      </c>
      <c r="C427" s="169" t="s">
        <v>463</v>
      </c>
      <c r="D427" s="169" t="s">
        <v>448</v>
      </c>
      <c r="E427" s="169" t="s">
        <v>452</v>
      </c>
      <c r="F427" s="169" t="s">
        <v>446</v>
      </c>
      <c r="G427" s="169" t="s">
        <v>451</v>
      </c>
      <c r="H427" s="169" t="s">
        <v>464</v>
      </c>
      <c r="I427" s="169" t="s">
        <v>468</v>
      </c>
    </row>
    <row r="428" spans="1:9">
      <c r="A428" s="170" t="s">
        <v>882</v>
      </c>
      <c r="B428" s="108" t="s">
        <v>453</v>
      </c>
      <c r="C428" s="108" t="s">
        <v>463</v>
      </c>
      <c r="D428" s="108" t="s">
        <v>448</v>
      </c>
      <c r="E428" s="108" t="s">
        <v>452</v>
      </c>
      <c r="F428" s="108" t="s">
        <v>446</v>
      </c>
      <c r="G428" s="108" t="s">
        <v>451</v>
      </c>
      <c r="H428" s="108" t="s">
        <v>470</v>
      </c>
      <c r="I428" s="108" t="s">
        <v>464</v>
      </c>
    </row>
    <row r="429" spans="1:9">
      <c r="A429" s="168" t="s">
        <v>883</v>
      </c>
      <c r="B429" s="169" t="s">
        <v>453</v>
      </c>
      <c r="C429" s="169" t="s">
        <v>464</v>
      </c>
      <c r="D429" s="169" t="s">
        <v>448</v>
      </c>
      <c r="E429" s="169" t="s">
        <v>452</v>
      </c>
      <c r="F429" s="169" t="s">
        <v>446</v>
      </c>
      <c r="G429" s="169" t="s">
        <v>451</v>
      </c>
      <c r="H429" s="169" t="s">
        <v>470</v>
      </c>
      <c r="I429" s="169" t="s">
        <v>468</v>
      </c>
    </row>
    <row r="430" spans="1:9">
      <c r="A430" s="170" t="s">
        <v>884</v>
      </c>
      <c r="B430" s="108" t="s">
        <v>453</v>
      </c>
      <c r="C430" s="108" t="s">
        <v>463</v>
      </c>
      <c r="D430" s="108" t="s">
        <v>448</v>
      </c>
      <c r="E430" s="108" t="s">
        <v>452</v>
      </c>
      <c r="F430" s="108" t="s">
        <v>446</v>
      </c>
      <c r="G430" s="108" t="s">
        <v>451</v>
      </c>
      <c r="H430" s="108" t="s">
        <v>470</v>
      </c>
      <c r="I430" s="108" t="s">
        <v>468</v>
      </c>
    </row>
    <row r="431" spans="1:9">
      <c r="A431" s="168" t="s">
        <v>885</v>
      </c>
      <c r="B431" s="169" t="s">
        <v>453</v>
      </c>
      <c r="C431" s="169" t="s">
        <v>463</v>
      </c>
      <c r="D431" s="169" t="s">
        <v>448</v>
      </c>
      <c r="E431" s="169" t="s">
        <v>452</v>
      </c>
      <c r="F431" s="169" t="s">
        <v>464</v>
      </c>
      <c r="G431" s="169" t="s">
        <v>451</v>
      </c>
      <c r="H431" s="169" t="s">
        <v>470</v>
      </c>
      <c r="I431" s="169" t="s">
        <v>468</v>
      </c>
    </row>
    <row r="432" spans="1:9">
      <c r="A432" s="170" t="s">
        <v>886</v>
      </c>
      <c r="B432" s="108" t="s">
        <v>453</v>
      </c>
      <c r="C432" s="108" t="s">
        <v>463</v>
      </c>
      <c r="D432" s="108" t="s">
        <v>448</v>
      </c>
      <c r="E432" s="108" t="s">
        <v>452</v>
      </c>
      <c r="F432" s="108" t="s">
        <v>446</v>
      </c>
      <c r="G432" s="108" t="s">
        <v>447</v>
      </c>
      <c r="H432" s="108" t="s">
        <v>464</v>
      </c>
      <c r="I432" s="108" t="s">
        <v>468</v>
      </c>
    </row>
    <row r="433" spans="1:9">
      <c r="A433" s="168" t="s">
        <v>887</v>
      </c>
      <c r="B433" s="169" t="s">
        <v>453</v>
      </c>
      <c r="C433" s="169" t="s">
        <v>463</v>
      </c>
      <c r="D433" s="169" t="s">
        <v>448</v>
      </c>
      <c r="E433" s="169" t="s">
        <v>452</v>
      </c>
      <c r="F433" s="169" t="s">
        <v>464</v>
      </c>
      <c r="G433" s="169" t="s">
        <v>447</v>
      </c>
      <c r="H433" s="169" t="s">
        <v>470</v>
      </c>
      <c r="I433" s="169" t="s">
        <v>468</v>
      </c>
    </row>
    <row r="434" spans="1:9">
      <c r="A434" s="170" t="s">
        <v>888</v>
      </c>
      <c r="B434" s="108" t="s">
        <v>453</v>
      </c>
      <c r="C434" s="108" t="s">
        <v>447</v>
      </c>
      <c r="D434" s="108" t="s">
        <v>448</v>
      </c>
      <c r="E434" s="108" t="s">
        <v>452</v>
      </c>
      <c r="F434" s="108" t="s">
        <v>464</v>
      </c>
      <c r="G434" s="108" t="s">
        <v>446</v>
      </c>
      <c r="H434" s="108" t="s">
        <v>470</v>
      </c>
      <c r="I434" s="108" t="s">
        <v>468</v>
      </c>
    </row>
    <row r="435" spans="1:9">
      <c r="A435" s="168" t="s">
        <v>889</v>
      </c>
      <c r="B435" s="169" t="s">
        <v>453</v>
      </c>
      <c r="C435" s="169" t="s">
        <v>463</v>
      </c>
      <c r="D435" s="169" t="s">
        <v>448</v>
      </c>
      <c r="E435" s="169" t="s">
        <v>452</v>
      </c>
      <c r="F435" s="169" t="s">
        <v>446</v>
      </c>
      <c r="G435" s="169" t="s">
        <v>447</v>
      </c>
      <c r="H435" s="169" t="s">
        <v>470</v>
      </c>
      <c r="I435" s="169" t="s">
        <v>468</v>
      </c>
    </row>
    <row r="436" spans="1:9">
      <c r="A436" s="170" t="s">
        <v>890</v>
      </c>
      <c r="B436" s="108" t="s">
        <v>446</v>
      </c>
      <c r="C436" s="108" t="s">
        <v>447</v>
      </c>
      <c r="D436" s="108" t="s">
        <v>448</v>
      </c>
      <c r="E436" s="108" t="s">
        <v>449</v>
      </c>
      <c r="F436" s="108" t="s">
        <v>450</v>
      </c>
      <c r="G436" s="108" t="s">
        <v>451</v>
      </c>
      <c r="H436" s="108" t="s">
        <v>452</v>
      </c>
      <c r="I436" s="108" t="s">
        <v>453</v>
      </c>
    </row>
    <row r="437" spans="1:9">
      <c r="A437" s="168" t="s">
        <v>891</v>
      </c>
      <c r="B437" s="169" t="s">
        <v>453</v>
      </c>
      <c r="C437" s="169" t="s">
        <v>463</v>
      </c>
      <c r="D437" s="169" t="s">
        <v>448</v>
      </c>
      <c r="E437" s="169" t="s">
        <v>452</v>
      </c>
      <c r="F437" s="169" t="s">
        <v>464</v>
      </c>
      <c r="G437" s="169" t="s">
        <v>446</v>
      </c>
      <c r="H437" s="169" t="s">
        <v>470</v>
      </c>
      <c r="I437" s="169" t="s">
        <v>468</v>
      </c>
    </row>
    <row r="438" spans="1:9">
      <c r="A438" s="170" t="s">
        <v>892</v>
      </c>
      <c r="B438" s="108" t="s">
        <v>446</v>
      </c>
      <c r="C438" s="108" t="s">
        <v>447</v>
      </c>
      <c r="D438" s="108" t="s">
        <v>448</v>
      </c>
      <c r="E438" s="108" t="s">
        <v>452</v>
      </c>
      <c r="F438" s="108" t="s">
        <v>463</v>
      </c>
      <c r="G438" s="108" t="s">
        <v>451</v>
      </c>
      <c r="H438" s="108" t="s">
        <v>464</v>
      </c>
      <c r="I438" s="108" t="s">
        <v>468</v>
      </c>
    </row>
    <row r="439" spans="1:9">
      <c r="A439" s="168" t="s">
        <v>893</v>
      </c>
      <c r="B439" s="169" t="s">
        <v>446</v>
      </c>
      <c r="C439" s="169" t="s">
        <v>447</v>
      </c>
      <c r="D439" s="169" t="s">
        <v>448</v>
      </c>
      <c r="E439" s="169" t="s">
        <v>452</v>
      </c>
      <c r="F439" s="169" t="s">
        <v>463</v>
      </c>
      <c r="G439" s="169" t="s">
        <v>451</v>
      </c>
      <c r="H439" s="169" t="s">
        <v>470</v>
      </c>
      <c r="I439" s="169" t="s">
        <v>464</v>
      </c>
    </row>
    <row r="440" spans="1:9">
      <c r="A440" s="170" t="s">
        <v>894</v>
      </c>
      <c r="B440" s="108" t="s">
        <v>446</v>
      </c>
      <c r="C440" s="108" t="s">
        <v>447</v>
      </c>
      <c r="D440" s="108" t="s">
        <v>448</v>
      </c>
      <c r="E440" s="108" t="s">
        <v>452</v>
      </c>
      <c r="F440" s="108" t="s">
        <v>464</v>
      </c>
      <c r="G440" s="108" t="s">
        <v>451</v>
      </c>
      <c r="H440" s="108" t="s">
        <v>470</v>
      </c>
      <c r="I440" s="108" t="s">
        <v>468</v>
      </c>
    </row>
    <row r="441" spans="1:9">
      <c r="A441" s="168" t="s">
        <v>895</v>
      </c>
      <c r="B441" s="169" t="s">
        <v>446</v>
      </c>
      <c r="C441" s="169" t="s">
        <v>447</v>
      </c>
      <c r="D441" s="169" t="s">
        <v>448</v>
      </c>
      <c r="E441" s="169" t="s">
        <v>452</v>
      </c>
      <c r="F441" s="169" t="s">
        <v>463</v>
      </c>
      <c r="G441" s="169" t="s">
        <v>451</v>
      </c>
      <c r="H441" s="169" t="s">
        <v>470</v>
      </c>
      <c r="I441" s="169" t="s">
        <v>468</v>
      </c>
    </row>
    <row r="442" spans="1:9">
      <c r="A442" s="170" t="s">
        <v>896</v>
      </c>
      <c r="B442" s="108" t="s">
        <v>464</v>
      </c>
      <c r="C442" s="108" t="s">
        <v>447</v>
      </c>
      <c r="D442" s="108" t="s">
        <v>448</v>
      </c>
      <c r="E442" s="108" t="s">
        <v>452</v>
      </c>
      <c r="F442" s="108" t="s">
        <v>463</v>
      </c>
      <c r="G442" s="108" t="s">
        <v>451</v>
      </c>
      <c r="H442" s="108" t="s">
        <v>470</v>
      </c>
      <c r="I442" s="108" t="s">
        <v>468</v>
      </c>
    </row>
    <row r="443" spans="1:9">
      <c r="A443" s="168" t="s">
        <v>897</v>
      </c>
      <c r="B443" s="169" t="s">
        <v>446</v>
      </c>
      <c r="C443" s="169" t="s">
        <v>463</v>
      </c>
      <c r="D443" s="169" t="s">
        <v>448</v>
      </c>
      <c r="E443" s="169" t="s">
        <v>452</v>
      </c>
      <c r="F443" s="169" t="s">
        <v>464</v>
      </c>
      <c r="G443" s="169" t="s">
        <v>451</v>
      </c>
      <c r="H443" s="169" t="s">
        <v>470</v>
      </c>
      <c r="I443" s="169" t="s">
        <v>468</v>
      </c>
    </row>
    <row r="444" spans="1:9">
      <c r="A444" s="170" t="s">
        <v>898</v>
      </c>
      <c r="B444" s="108" t="s">
        <v>446</v>
      </c>
      <c r="C444" s="108" t="s">
        <v>463</v>
      </c>
      <c r="D444" s="108" t="s">
        <v>448</v>
      </c>
      <c r="E444" s="108" t="s">
        <v>452</v>
      </c>
      <c r="F444" s="108" t="s">
        <v>464</v>
      </c>
      <c r="G444" s="108" t="s">
        <v>447</v>
      </c>
      <c r="H444" s="108" t="s">
        <v>470</v>
      </c>
      <c r="I444" s="108" t="s">
        <v>468</v>
      </c>
    </row>
    <row r="445" spans="1:9">
      <c r="A445" s="168" t="s">
        <v>899</v>
      </c>
      <c r="B445" s="169" t="s">
        <v>453</v>
      </c>
      <c r="C445" s="169" t="s">
        <v>463</v>
      </c>
      <c r="D445" s="169" t="s">
        <v>448</v>
      </c>
      <c r="E445" s="169" t="s">
        <v>451</v>
      </c>
      <c r="F445" s="169" t="s">
        <v>446</v>
      </c>
      <c r="G445" s="169" t="s">
        <v>447</v>
      </c>
      <c r="H445" s="169" t="s">
        <v>464</v>
      </c>
      <c r="I445" s="169" t="s">
        <v>468</v>
      </c>
    </row>
    <row r="446" spans="1:9">
      <c r="A446" s="170" t="s">
        <v>900</v>
      </c>
      <c r="B446" s="108" t="s">
        <v>453</v>
      </c>
      <c r="C446" s="108" t="s">
        <v>463</v>
      </c>
      <c r="D446" s="108" t="s">
        <v>448</v>
      </c>
      <c r="E446" s="108" t="s">
        <v>451</v>
      </c>
      <c r="F446" s="108" t="s">
        <v>446</v>
      </c>
      <c r="G446" s="108" t="s">
        <v>447</v>
      </c>
      <c r="H446" s="108" t="s">
        <v>470</v>
      </c>
      <c r="I446" s="108" t="s">
        <v>464</v>
      </c>
    </row>
    <row r="447" spans="1:9">
      <c r="A447" s="168" t="s">
        <v>901</v>
      </c>
      <c r="B447" s="169" t="s">
        <v>453</v>
      </c>
      <c r="C447" s="169" t="s">
        <v>447</v>
      </c>
      <c r="D447" s="169" t="s">
        <v>448</v>
      </c>
      <c r="E447" s="169" t="s">
        <v>451</v>
      </c>
      <c r="F447" s="169" t="s">
        <v>464</v>
      </c>
      <c r="G447" s="169" t="s">
        <v>446</v>
      </c>
      <c r="H447" s="169" t="s">
        <v>470</v>
      </c>
      <c r="I447" s="169" t="s">
        <v>468</v>
      </c>
    </row>
    <row r="448" spans="1:9">
      <c r="A448" s="170" t="s">
        <v>902</v>
      </c>
      <c r="B448" s="108" t="s">
        <v>453</v>
      </c>
      <c r="C448" s="108" t="s">
        <v>463</v>
      </c>
      <c r="D448" s="108" t="s">
        <v>448</v>
      </c>
      <c r="E448" s="108" t="s">
        <v>451</v>
      </c>
      <c r="F448" s="108" t="s">
        <v>446</v>
      </c>
      <c r="G448" s="108" t="s">
        <v>447</v>
      </c>
      <c r="H448" s="108" t="s">
        <v>470</v>
      </c>
      <c r="I448" s="108" t="s">
        <v>468</v>
      </c>
    </row>
    <row r="449" spans="1:9">
      <c r="A449" s="168" t="s">
        <v>903</v>
      </c>
      <c r="B449" s="169" t="s">
        <v>453</v>
      </c>
      <c r="C449" s="169" t="s">
        <v>463</v>
      </c>
      <c r="D449" s="169" t="s">
        <v>448</v>
      </c>
      <c r="E449" s="169" t="s">
        <v>451</v>
      </c>
      <c r="F449" s="169" t="s">
        <v>464</v>
      </c>
      <c r="G449" s="169" t="s">
        <v>447</v>
      </c>
      <c r="H449" s="169" t="s">
        <v>470</v>
      </c>
      <c r="I449" s="169" t="s">
        <v>468</v>
      </c>
    </row>
    <row r="450" spans="1:9">
      <c r="A450" s="170" t="s">
        <v>904</v>
      </c>
      <c r="B450" s="108" t="s">
        <v>453</v>
      </c>
      <c r="C450" s="108" t="s">
        <v>463</v>
      </c>
      <c r="D450" s="108" t="s">
        <v>448</v>
      </c>
      <c r="E450" s="108" t="s">
        <v>451</v>
      </c>
      <c r="F450" s="108" t="s">
        <v>464</v>
      </c>
      <c r="G450" s="108" t="s">
        <v>446</v>
      </c>
      <c r="H450" s="108" t="s">
        <v>470</v>
      </c>
      <c r="I450" s="108" t="s">
        <v>468</v>
      </c>
    </row>
    <row r="451" spans="1:9">
      <c r="A451" s="168" t="s">
        <v>905</v>
      </c>
      <c r="B451" s="169" t="s">
        <v>453</v>
      </c>
      <c r="C451" s="169" t="s">
        <v>463</v>
      </c>
      <c r="D451" s="169" t="s">
        <v>464</v>
      </c>
      <c r="E451" s="169" t="s">
        <v>448</v>
      </c>
      <c r="F451" s="169" t="s">
        <v>446</v>
      </c>
      <c r="G451" s="169" t="s">
        <v>447</v>
      </c>
      <c r="H451" s="169" t="s">
        <v>470</v>
      </c>
      <c r="I451" s="169" t="s">
        <v>468</v>
      </c>
    </row>
    <row r="452" spans="1:9">
      <c r="A452" s="170" t="s">
        <v>906</v>
      </c>
      <c r="B452" s="108" t="s">
        <v>446</v>
      </c>
      <c r="C452" s="108" t="s">
        <v>463</v>
      </c>
      <c r="D452" s="108" t="s">
        <v>448</v>
      </c>
      <c r="E452" s="108" t="s">
        <v>451</v>
      </c>
      <c r="F452" s="108" t="s">
        <v>464</v>
      </c>
      <c r="G452" s="108" t="s">
        <v>447</v>
      </c>
      <c r="H452" s="108" t="s">
        <v>470</v>
      </c>
      <c r="I452" s="108" t="s">
        <v>468</v>
      </c>
    </row>
    <row r="453" spans="1:9">
      <c r="A453" s="168" t="s">
        <v>907</v>
      </c>
      <c r="B453" s="169" t="s">
        <v>449</v>
      </c>
      <c r="C453" s="169" t="s">
        <v>447</v>
      </c>
      <c r="D453" s="169" t="s">
        <v>463</v>
      </c>
      <c r="E453" s="169" t="s">
        <v>452</v>
      </c>
      <c r="F453" s="169" t="s">
        <v>446</v>
      </c>
      <c r="G453" s="169" t="s">
        <v>451</v>
      </c>
      <c r="H453" s="169" t="s">
        <v>453</v>
      </c>
      <c r="I453" s="169" t="s">
        <v>464</v>
      </c>
    </row>
    <row r="454" spans="1:9">
      <c r="A454" s="170" t="s">
        <v>908</v>
      </c>
      <c r="B454" s="108" t="s">
        <v>449</v>
      </c>
      <c r="C454" s="108" t="s">
        <v>447</v>
      </c>
      <c r="D454" s="108" t="s">
        <v>453</v>
      </c>
      <c r="E454" s="108" t="s">
        <v>452</v>
      </c>
      <c r="F454" s="108" t="s">
        <v>446</v>
      </c>
      <c r="G454" s="108" t="s">
        <v>451</v>
      </c>
      <c r="H454" s="108" t="s">
        <v>464</v>
      </c>
      <c r="I454" s="108" t="s">
        <v>468</v>
      </c>
    </row>
    <row r="455" spans="1:9">
      <c r="A455" s="168" t="s">
        <v>909</v>
      </c>
      <c r="B455" s="169" t="s">
        <v>449</v>
      </c>
      <c r="C455" s="169" t="s">
        <v>447</v>
      </c>
      <c r="D455" s="169" t="s">
        <v>453</v>
      </c>
      <c r="E455" s="169" t="s">
        <v>452</v>
      </c>
      <c r="F455" s="169" t="s">
        <v>446</v>
      </c>
      <c r="G455" s="169" t="s">
        <v>451</v>
      </c>
      <c r="H455" s="169" t="s">
        <v>470</v>
      </c>
      <c r="I455" s="169" t="s">
        <v>464</v>
      </c>
    </row>
    <row r="456" spans="1:9">
      <c r="A456" s="170" t="s">
        <v>910</v>
      </c>
      <c r="B456" s="108" t="s">
        <v>449</v>
      </c>
      <c r="C456" s="108" t="s">
        <v>447</v>
      </c>
      <c r="D456" s="108" t="s">
        <v>463</v>
      </c>
      <c r="E456" s="108" t="s">
        <v>452</v>
      </c>
      <c r="F456" s="108" t="s">
        <v>446</v>
      </c>
      <c r="G456" s="108" t="s">
        <v>451</v>
      </c>
      <c r="H456" s="108" t="s">
        <v>453</v>
      </c>
      <c r="I456" s="108" t="s">
        <v>468</v>
      </c>
    </row>
    <row r="457" spans="1:9">
      <c r="A457" s="168" t="s">
        <v>911</v>
      </c>
      <c r="B457" s="169" t="s">
        <v>449</v>
      </c>
      <c r="C457" s="169" t="s">
        <v>447</v>
      </c>
      <c r="D457" s="169" t="s">
        <v>463</v>
      </c>
      <c r="E457" s="169" t="s">
        <v>452</v>
      </c>
      <c r="F457" s="169" t="s">
        <v>446</v>
      </c>
      <c r="G457" s="169" t="s">
        <v>451</v>
      </c>
      <c r="H457" s="169" t="s">
        <v>470</v>
      </c>
      <c r="I457" s="169" t="s">
        <v>453</v>
      </c>
    </row>
    <row r="458" spans="1:9">
      <c r="A458" s="170" t="s">
        <v>912</v>
      </c>
      <c r="B458" s="108" t="s">
        <v>449</v>
      </c>
      <c r="C458" s="108" t="s">
        <v>447</v>
      </c>
      <c r="D458" s="108" t="s">
        <v>453</v>
      </c>
      <c r="E458" s="108" t="s">
        <v>452</v>
      </c>
      <c r="F458" s="108" t="s">
        <v>446</v>
      </c>
      <c r="G458" s="108" t="s">
        <v>451</v>
      </c>
      <c r="H458" s="108" t="s">
        <v>470</v>
      </c>
      <c r="I458" s="108" t="s">
        <v>468</v>
      </c>
    </row>
    <row r="459" spans="1:9">
      <c r="A459" s="168" t="s">
        <v>913</v>
      </c>
      <c r="B459" s="169" t="s">
        <v>449</v>
      </c>
      <c r="C459" s="169" t="s">
        <v>447</v>
      </c>
      <c r="D459" s="169" t="s">
        <v>453</v>
      </c>
      <c r="E459" s="169" t="s">
        <v>452</v>
      </c>
      <c r="F459" s="169" t="s">
        <v>463</v>
      </c>
      <c r="G459" s="169" t="s">
        <v>451</v>
      </c>
      <c r="H459" s="169" t="s">
        <v>464</v>
      </c>
      <c r="I459" s="169" t="s">
        <v>468</v>
      </c>
    </row>
    <row r="460" spans="1:9">
      <c r="A460" s="170" t="s">
        <v>914</v>
      </c>
      <c r="B460" s="108" t="s">
        <v>449</v>
      </c>
      <c r="C460" s="108" t="s">
        <v>447</v>
      </c>
      <c r="D460" s="108" t="s">
        <v>453</v>
      </c>
      <c r="E460" s="108" t="s">
        <v>452</v>
      </c>
      <c r="F460" s="108" t="s">
        <v>463</v>
      </c>
      <c r="G460" s="108" t="s">
        <v>451</v>
      </c>
      <c r="H460" s="108" t="s">
        <v>470</v>
      </c>
      <c r="I460" s="108" t="s">
        <v>464</v>
      </c>
    </row>
    <row r="461" spans="1:9">
      <c r="A461" s="168" t="s">
        <v>915</v>
      </c>
      <c r="B461" s="169" t="s">
        <v>449</v>
      </c>
      <c r="C461" s="169" t="s">
        <v>447</v>
      </c>
      <c r="D461" s="169" t="s">
        <v>453</v>
      </c>
      <c r="E461" s="169" t="s">
        <v>452</v>
      </c>
      <c r="F461" s="169" t="s">
        <v>464</v>
      </c>
      <c r="G461" s="169" t="s">
        <v>451</v>
      </c>
      <c r="H461" s="169" t="s">
        <v>470</v>
      </c>
      <c r="I461" s="169" t="s">
        <v>468</v>
      </c>
    </row>
    <row r="462" spans="1:9">
      <c r="A462" s="170" t="s">
        <v>916</v>
      </c>
      <c r="B462" s="108" t="s">
        <v>449</v>
      </c>
      <c r="C462" s="108" t="s">
        <v>447</v>
      </c>
      <c r="D462" s="108" t="s">
        <v>453</v>
      </c>
      <c r="E462" s="108" t="s">
        <v>452</v>
      </c>
      <c r="F462" s="108" t="s">
        <v>463</v>
      </c>
      <c r="G462" s="108" t="s">
        <v>451</v>
      </c>
      <c r="H462" s="108" t="s">
        <v>470</v>
      </c>
      <c r="I462" s="108" t="s">
        <v>468</v>
      </c>
    </row>
    <row r="463" spans="1:9">
      <c r="A463" s="168" t="s">
        <v>917</v>
      </c>
      <c r="B463" s="169" t="s">
        <v>449</v>
      </c>
      <c r="C463" s="169" t="s">
        <v>463</v>
      </c>
      <c r="D463" s="169" t="s">
        <v>453</v>
      </c>
      <c r="E463" s="169" t="s">
        <v>452</v>
      </c>
      <c r="F463" s="169" t="s">
        <v>446</v>
      </c>
      <c r="G463" s="169" t="s">
        <v>451</v>
      </c>
      <c r="H463" s="169" t="s">
        <v>464</v>
      </c>
      <c r="I463" s="169" t="s">
        <v>468</v>
      </c>
    </row>
    <row r="464" spans="1:9">
      <c r="A464" s="170" t="s">
        <v>918</v>
      </c>
      <c r="B464" s="108" t="s">
        <v>449</v>
      </c>
      <c r="C464" s="108" t="s">
        <v>463</v>
      </c>
      <c r="D464" s="108" t="s">
        <v>453</v>
      </c>
      <c r="E464" s="108" t="s">
        <v>452</v>
      </c>
      <c r="F464" s="108" t="s">
        <v>446</v>
      </c>
      <c r="G464" s="108" t="s">
        <v>451</v>
      </c>
      <c r="H464" s="108" t="s">
        <v>470</v>
      </c>
      <c r="I464" s="108" t="s">
        <v>464</v>
      </c>
    </row>
    <row r="465" spans="1:9">
      <c r="A465" s="168" t="s">
        <v>919</v>
      </c>
      <c r="B465" s="169" t="s">
        <v>449</v>
      </c>
      <c r="C465" s="169" t="s">
        <v>453</v>
      </c>
      <c r="D465" s="169" t="s">
        <v>464</v>
      </c>
      <c r="E465" s="169" t="s">
        <v>452</v>
      </c>
      <c r="F465" s="169" t="s">
        <v>446</v>
      </c>
      <c r="G465" s="169" t="s">
        <v>451</v>
      </c>
      <c r="H465" s="169" t="s">
        <v>470</v>
      </c>
      <c r="I465" s="169" t="s">
        <v>468</v>
      </c>
    </row>
    <row r="466" spans="1:9">
      <c r="A466" s="170" t="s">
        <v>920</v>
      </c>
      <c r="B466" s="108" t="s">
        <v>449</v>
      </c>
      <c r="C466" s="108" t="s">
        <v>463</v>
      </c>
      <c r="D466" s="108" t="s">
        <v>453</v>
      </c>
      <c r="E466" s="108" t="s">
        <v>452</v>
      </c>
      <c r="F466" s="108" t="s">
        <v>446</v>
      </c>
      <c r="G466" s="108" t="s">
        <v>451</v>
      </c>
      <c r="H466" s="108" t="s">
        <v>470</v>
      </c>
      <c r="I466" s="108" t="s">
        <v>468</v>
      </c>
    </row>
    <row r="467" spans="1:9">
      <c r="A467" s="168" t="s">
        <v>921</v>
      </c>
      <c r="B467" s="169" t="s">
        <v>449</v>
      </c>
      <c r="C467" s="169" t="s">
        <v>463</v>
      </c>
      <c r="D467" s="169" t="s">
        <v>453</v>
      </c>
      <c r="E467" s="169" t="s">
        <v>452</v>
      </c>
      <c r="F467" s="169" t="s">
        <v>464</v>
      </c>
      <c r="G467" s="169" t="s">
        <v>451</v>
      </c>
      <c r="H467" s="169" t="s">
        <v>470</v>
      </c>
      <c r="I467" s="169" t="s">
        <v>468</v>
      </c>
    </row>
    <row r="468" spans="1:9">
      <c r="A468" s="170" t="s">
        <v>922</v>
      </c>
      <c r="B468" s="108" t="s">
        <v>453</v>
      </c>
      <c r="C468" s="108" t="s">
        <v>447</v>
      </c>
      <c r="D468" s="108" t="s">
        <v>463</v>
      </c>
      <c r="E468" s="108" t="s">
        <v>449</v>
      </c>
      <c r="F468" s="108" t="s">
        <v>446</v>
      </c>
      <c r="G468" s="108" t="s">
        <v>452</v>
      </c>
      <c r="H468" s="108" t="s">
        <v>464</v>
      </c>
      <c r="I468" s="108" t="s">
        <v>468</v>
      </c>
    </row>
    <row r="469" spans="1:9">
      <c r="A469" s="168" t="s">
        <v>923</v>
      </c>
      <c r="B469" s="169" t="s">
        <v>453</v>
      </c>
      <c r="C469" s="169" t="s">
        <v>447</v>
      </c>
      <c r="D469" s="169" t="s">
        <v>464</v>
      </c>
      <c r="E469" s="169" t="s">
        <v>449</v>
      </c>
      <c r="F469" s="169" t="s">
        <v>463</v>
      </c>
      <c r="G469" s="169" t="s">
        <v>452</v>
      </c>
      <c r="H469" s="169" t="s">
        <v>470</v>
      </c>
      <c r="I469" s="169" t="s">
        <v>468</v>
      </c>
    </row>
    <row r="470" spans="1:9">
      <c r="A470" s="170" t="s">
        <v>924</v>
      </c>
      <c r="B470" s="108" t="s">
        <v>453</v>
      </c>
      <c r="C470" s="108" t="s">
        <v>447</v>
      </c>
      <c r="D470" s="108" t="s">
        <v>464</v>
      </c>
      <c r="E470" s="108" t="s">
        <v>449</v>
      </c>
      <c r="F470" s="108" t="s">
        <v>446</v>
      </c>
      <c r="G470" s="108" t="s">
        <v>452</v>
      </c>
      <c r="H470" s="108" t="s">
        <v>470</v>
      </c>
      <c r="I470" s="108" t="s">
        <v>468</v>
      </c>
    </row>
    <row r="471" spans="1:9">
      <c r="A471" s="168" t="s">
        <v>925</v>
      </c>
      <c r="B471" s="169" t="s">
        <v>453</v>
      </c>
      <c r="C471" s="169" t="s">
        <v>447</v>
      </c>
      <c r="D471" s="169" t="s">
        <v>463</v>
      </c>
      <c r="E471" s="169" t="s">
        <v>449</v>
      </c>
      <c r="F471" s="169" t="s">
        <v>446</v>
      </c>
      <c r="G471" s="169" t="s">
        <v>452</v>
      </c>
      <c r="H471" s="169" t="s">
        <v>470</v>
      </c>
      <c r="I471" s="169" t="s">
        <v>468</v>
      </c>
    </row>
    <row r="472" spans="1:9">
      <c r="A472" s="170" t="s">
        <v>926</v>
      </c>
      <c r="B472" s="108" t="s">
        <v>446</v>
      </c>
      <c r="C472" s="108" t="s">
        <v>447</v>
      </c>
      <c r="D472" s="108" t="s">
        <v>448</v>
      </c>
      <c r="E472" s="108" t="s">
        <v>449</v>
      </c>
      <c r="F472" s="108" t="s">
        <v>450</v>
      </c>
      <c r="G472" s="108" t="s">
        <v>451</v>
      </c>
      <c r="H472" s="108" t="s">
        <v>452</v>
      </c>
      <c r="I472" s="108" t="s">
        <v>453</v>
      </c>
    </row>
    <row r="473" spans="1:9">
      <c r="A473" s="168" t="s">
        <v>927</v>
      </c>
      <c r="B473" s="169" t="s">
        <v>453</v>
      </c>
      <c r="C473" s="169" t="s">
        <v>463</v>
      </c>
      <c r="D473" s="169" t="s">
        <v>464</v>
      </c>
      <c r="E473" s="169" t="s">
        <v>449</v>
      </c>
      <c r="F473" s="169" t="s">
        <v>446</v>
      </c>
      <c r="G473" s="169" t="s">
        <v>452</v>
      </c>
      <c r="H473" s="169" t="s">
        <v>470</v>
      </c>
      <c r="I473" s="169" t="s">
        <v>468</v>
      </c>
    </row>
    <row r="474" spans="1:9">
      <c r="A474" s="170" t="s">
        <v>928</v>
      </c>
      <c r="B474" s="108" t="s">
        <v>449</v>
      </c>
      <c r="C474" s="108" t="s">
        <v>447</v>
      </c>
      <c r="D474" s="108" t="s">
        <v>463</v>
      </c>
      <c r="E474" s="108" t="s">
        <v>452</v>
      </c>
      <c r="F474" s="108" t="s">
        <v>446</v>
      </c>
      <c r="G474" s="108" t="s">
        <v>451</v>
      </c>
      <c r="H474" s="108" t="s">
        <v>464</v>
      </c>
      <c r="I474" s="108" t="s">
        <v>468</v>
      </c>
    </row>
    <row r="475" spans="1:9">
      <c r="A475" s="168" t="s">
        <v>929</v>
      </c>
      <c r="B475" s="169" t="s">
        <v>449</v>
      </c>
      <c r="C475" s="169" t="s">
        <v>447</v>
      </c>
      <c r="D475" s="169" t="s">
        <v>463</v>
      </c>
      <c r="E475" s="169" t="s">
        <v>452</v>
      </c>
      <c r="F475" s="169" t="s">
        <v>446</v>
      </c>
      <c r="G475" s="169" t="s">
        <v>451</v>
      </c>
      <c r="H475" s="169" t="s">
        <v>470</v>
      </c>
      <c r="I475" s="169" t="s">
        <v>464</v>
      </c>
    </row>
    <row r="476" spans="1:9">
      <c r="A476" s="170" t="s">
        <v>930</v>
      </c>
      <c r="B476" s="108" t="s">
        <v>449</v>
      </c>
      <c r="C476" s="108" t="s">
        <v>447</v>
      </c>
      <c r="D476" s="108" t="s">
        <v>464</v>
      </c>
      <c r="E476" s="108" t="s">
        <v>452</v>
      </c>
      <c r="F476" s="108" t="s">
        <v>446</v>
      </c>
      <c r="G476" s="108" t="s">
        <v>451</v>
      </c>
      <c r="H476" s="108" t="s">
        <v>470</v>
      </c>
      <c r="I476" s="108" t="s">
        <v>468</v>
      </c>
    </row>
    <row r="477" spans="1:9">
      <c r="A477" s="168" t="s">
        <v>931</v>
      </c>
      <c r="B477" s="169" t="s">
        <v>449</v>
      </c>
      <c r="C477" s="169" t="s">
        <v>447</v>
      </c>
      <c r="D477" s="169" t="s">
        <v>463</v>
      </c>
      <c r="E477" s="169" t="s">
        <v>452</v>
      </c>
      <c r="F477" s="169" t="s">
        <v>446</v>
      </c>
      <c r="G477" s="169" t="s">
        <v>451</v>
      </c>
      <c r="H477" s="169" t="s">
        <v>470</v>
      </c>
      <c r="I477" s="169" t="s">
        <v>468</v>
      </c>
    </row>
    <row r="478" spans="1:9">
      <c r="A478" s="170" t="s">
        <v>932</v>
      </c>
      <c r="B478" s="108" t="s">
        <v>449</v>
      </c>
      <c r="C478" s="108" t="s">
        <v>447</v>
      </c>
      <c r="D478" s="108" t="s">
        <v>464</v>
      </c>
      <c r="E478" s="108" t="s">
        <v>452</v>
      </c>
      <c r="F478" s="108" t="s">
        <v>463</v>
      </c>
      <c r="G478" s="108" t="s">
        <v>451</v>
      </c>
      <c r="H478" s="108" t="s">
        <v>470</v>
      </c>
      <c r="I478" s="108" t="s">
        <v>468</v>
      </c>
    </row>
    <row r="479" spans="1:9">
      <c r="A479" s="168" t="s">
        <v>933</v>
      </c>
      <c r="B479" s="169" t="s">
        <v>449</v>
      </c>
      <c r="C479" s="169" t="s">
        <v>463</v>
      </c>
      <c r="D479" s="169" t="s">
        <v>464</v>
      </c>
      <c r="E479" s="169" t="s">
        <v>452</v>
      </c>
      <c r="F479" s="169" t="s">
        <v>446</v>
      </c>
      <c r="G479" s="169" t="s">
        <v>451</v>
      </c>
      <c r="H479" s="169" t="s">
        <v>470</v>
      </c>
      <c r="I479" s="169" t="s">
        <v>468</v>
      </c>
    </row>
    <row r="480" spans="1:9">
      <c r="A480" s="170" t="s">
        <v>934</v>
      </c>
      <c r="B480" s="108" t="s">
        <v>446</v>
      </c>
      <c r="C480" s="108" t="s">
        <v>447</v>
      </c>
      <c r="D480" s="108" t="s">
        <v>464</v>
      </c>
      <c r="E480" s="108" t="s">
        <v>449</v>
      </c>
      <c r="F480" s="108" t="s">
        <v>463</v>
      </c>
      <c r="G480" s="108" t="s">
        <v>452</v>
      </c>
      <c r="H480" s="108" t="s">
        <v>470</v>
      </c>
      <c r="I480" s="108" t="s">
        <v>468</v>
      </c>
    </row>
    <row r="481" spans="1:9">
      <c r="A481" s="168" t="s">
        <v>935</v>
      </c>
      <c r="B481" s="169" t="s">
        <v>453</v>
      </c>
      <c r="C481" s="169" t="s">
        <v>447</v>
      </c>
      <c r="D481" s="169" t="s">
        <v>463</v>
      </c>
      <c r="E481" s="169" t="s">
        <v>449</v>
      </c>
      <c r="F481" s="169" t="s">
        <v>446</v>
      </c>
      <c r="G481" s="169" t="s">
        <v>451</v>
      </c>
      <c r="H481" s="169" t="s">
        <v>464</v>
      </c>
      <c r="I481" s="169" t="s">
        <v>468</v>
      </c>
    </row>
    <row r="482" spans="1:9">
      <c r="A482" s="170" t="s">
        <v>936</v>
      </c>
      <c r="B482" s="108" t="s">
        <v>453</v>
      </c>
      <c r="C482" s="108" t="s">
        <v>447</v>
      </c>
      <c r="D482" s="108" t="s">
        <v>463</v>
      </c>
      <c r="E482" s="108" t="s">
        <v>449</v>
      </c>
      <c r="F482" s="108" t="s">
        <v>446</v>
      </c>
      <c r="G482" s="108" t="s">
        <v>451</v>
      </c>
      <c r="H482" s="108" t="s">
        <v>470</v>
      </c>
      <c r="I482" s="108" t="s">
        <v>464</v>
      </c>
    </row>
    <row r="483" spans="1:9">
      <c r="A483" s="168" t="s">
        <v>937</v>
      </c>
      <c r="B483" s="169" t="s">
        <v>453</v>
      </c>
      <c r="C483" s="169" t="s">
        <v>447</v>
      </c>
      <c r="D483" s="169" t="s">
        <v>464</v>
      </c>
      <c r="E483" s="169" t="s">
        <v>449</v>
      </c>
      <c r="F483" s="169" t="s">
        <v>446</v>
      </c>
      <c r="G483" s="169" t="s">
        <v>451</v>
      </c>
      <c r="H483" s="169" t="s">
        <v>470</v>
      </c>
      <c r="I483" s="169" t="s">
        <v>468</v>
      </c>
    </row>
    <row r="484" spans="1:9">
      <c r="A484" s="170" t="s">
        <v>938</v>
      </c>
      <c r="B484" s="108" t="s">
        <v>453</v>
      </c>
      <c r="C484" s="108" t="s">
        <v>447</v>
      </c>
      <c r="D484" s="108" t="s">
        <v>463</v>
      </c>
      <c r="E484" s="108" t="s">
        <v>449</v>
      </c>
      <c r="F484" s="108" t="s">
        <v>446</v>
      </c>
      <c r="G484" s="108" t="s">
        <v>451</v>
      </c>
      <c r="H484" s="108" t="s">
        <v>470</v>
      </c>
      <c r="I484" s="108" t="s">
        <v>468</v>
      </c>
    </row>
    <row r="485" spans="1:9">
      <c r="A485" s="168" t="s">
        <v>939</v>
      </c>
      <c r="B485" s="169" t="s">
        <v>453</v>
      </c>
      <c r="C485" s="169" t="s">
        <v>447</v>
      </c>
      <c r="D485" s="169" t="s">
        <v>464</v>
      </c>
      <c r="E485" s="169" t="s">
        <v>449</v>
      </c>
      <c r="F485" s="169" t="s">
        <v>463</v>
      </c>
      <c r="G485" s="169" t="s">
        <v>451</v>
      </c>
      <c r="H485" s="169" t="s">
        <v>470</v>
      </c>
      <c r="I485" s="169" t="s">
        <v>468</v>
      </c>
    </row>
    <row r="486" spans="1:9">
      <c r="A486" s="170" t="s">
        <v>940</v>
      </c>
      <c r="B486" s="108" t="s">
        <v>453</v>
      </c>
      <c r="C486" s="108" t="s">
        <v>463</v>
      </c>
      <c r="D486" s="108" t="s">
        <v>464</v>
      </c>
      <c r="E486" s="108" t="s">
        <v>449</v>
      </c>
      <c r="F486" s="108" t="s">
        <v>446</v>
      </c>
      <c r="G486" s="108" t="s">
        <v>451</v>
      </c>
      <c r="H486" s="108" t="s">
        <v>470</v>
      </c>
      <c r="I486" s="108" t="s">
        <v>468</v>
      </c>
    </row>
    <row r="487" spans="1:9">
      <c r="A487" s="168" t="s">
        <v>941</v>
      </c>
      <c r="B487" s="169" t="s">
        <v>453</v>
      </c>
      <c r="C487" s="169" t="s">
        <v>463</v>
      </c>
      <c r="D487" s="169" t="s">
        <v>464</v>
      </c>
      <c r="E487" s="169" t="s">
        <v>449</v>
      </c>
      <c r="F487" s="169" t="s">
        <v>446</v>
      </c>
      <c r="G487" s="169" t="s">
        <v>447</v>
      </c>
      <c r="H487" s="169" t="s">
        <v>470</v>
      </c>
      <c r="I487" s="169" t="s">
        <v>468</v>
      </c>
    </row>
    <row r="488" spans="1:9">
      <c r="A488" s="170" t="s">
        <v>942</v>
      </c>
      <c r="B488" s="108" t="s">
        <v>446</v>
      </c>
      <c r="C488" s="108" t="s">
        <v>447</v>
      </c>
      <c r="D488" s="108" t="s">
        <v>464</v>
      </c>
      <c r="E488" s="108" t="s">
        <v>449</v>
      </c>
      <c r="F488" s="108" t="s">
        <v>463</v>
      </c>
      <c r="G488" s="108" t="s">
        <v>451</v>
      </c>
      <c r="H488" s="108" t="s">
        <v>470</v>
      </c>
      <c r="I488" s="108" t="s">
        <v>468</v>
      </c>
    </row>
    <row r="489" spans="1:9">
      <c r="A489" s="168" t="s">
        <v>943</v>
      </c>
      <c r="B489" s="169" t="s">
        <v>453</v>
      </c>
      <c r="C489" s="169" t="s">
        <v>447</v>
      </c>
      <c r="D489" s="169" t="s">
        <v>463</v>
      </c>
      <c r="E489" s="169" t="s">
        <v>452</v>
      </c>
      <c r="F489" s="169" t="s">
        <v>446</v>
      </c>
      <c r="G489" s="169" t="s">
        <v>451</v>
      </c>
      <c r="H489" s="169" t="s">
        <v>464</v>
      </c>
      <c r="I489" s="169" t="s">
        <v>468</v>
      </c>
    </row>
    <row r="490" spans="1:9">
      <c r="A490" s="170" t="s">
        <v>944</v>
      </c>
      <c r="B490" s="108" t="s">
        <v>453</v>
      </c>
      <c r="C490" s="108" t="s">
        <v>447</v>
      </c>
      <c r="D490" s="108" t="s">
        <v>463</v>
      </c>
      <c r="E490" s="108" t="s">
        <v>452</v>
      </c>
      <c r="F490" s="108" t="s">
        <v>446</v>
      </c>
      <c r="G490" s="108" t="s">
        <v>451</v>
      </c>
      <c r="H490" s="108" t="s">
        <v>470</v>
      </c>
      <c r="I490" s="108" t="s">
        <v>464</v>
      </c>
    </row>
    <row r="491" spans="1:9">
      <c r="A491" s="168" t="s">
        <v>945</v>
      </c>
      <c r="B491" s="169" t="s">
        <v>453</v>
      </c>
      <c r="C491" s="169" t="s">
        <v>447</v>
      </c>
      <c r="D491" s="169" t="s">
        <v>464</v>
      </c>
      <c r="E491" s="169" t="s">
        <v>452</v>
      </c>
      <c r="F491" s="169" t="s">
        <v>446</v>
      </c>
      <c r="G491" s="169" t="s">
        <v>451</v>
      </c>
      <c r="H491" s="169" t="s">
        <v>470</v>
      </c>
      <c r="I491" s="169" t="s">
        <v>468</v>
      </c>
    </row>
    <row r="492" spans="1:9">
      <c r="A492" s="170" t="s">
        <v>946</v>
      </c>
      <c r="B492" s="108" t="s">
        <v>453</v>
      </c>
      <c r="C492" s="108" t="s">
        <v>447</v>
      </c>
      <c r="D492" s="108" t="s">
        <v>463</v>
      </c>
      <c r="E492" s="108" t="s">
        <v>452</v>
      </c>
      <c r="F492" s="108" t="s">
        <v>446</v>
      </c>
      <c r="G492" s="108" t="s">
        <v>451</v>
      </c>
      <c r="H492" s="108" t="s">
        <v>470</v>
      </c>
      <c r="I492" s="108" t="s">
        <v>468</v>
      </c>
    </row>
    <row r="493" spans="1:9">
      <c r="A493" s="168" t="s">
        <v>947</v>
      </c>
      <c r="B493" s="169" t="s">
        <v>453</v>
      </c>
      <c r="C493" s="169" t="s">
        <v>447</v>
      </c>
      <c r="D493" s="169" t="s">
        <v>464</v>
      </c>
      <c r="E493" s="169" t="s">
        <v>452</v>
      </c>
      <c r="F493" s="169" t="s">
        <v>463</v>
      </c>
      <c r="G493" s="169" t="s">
        <v>451</v>
      </c>
      <c r="H493" s="169" t="s">
        <v>470</v>
      </c>
      <c r="I493" s="169" t="s">
        <v>468</v>
      </c>
    </row>
    <row r="494" spans="1:9">
      <c r="A494" s="170" t="s">
        <v>948</v>
      </c>
      <c r="B494" s="108" t="s">
        <v>453</v>
      </c>
      <c r="C494" s="108" t="s">
        <v>463</v>
      </c>
      <c r="D494" s="108" t="s">
        <v>464</v>
      </c>
      <c r="E494" s="108" t="s">
        <v>452</v>
      </c>
      <c r="F494" s="108" t="s">
        <v>446</v>
      </c>
      <c r="G494" s="108" t="s">
        <v>451</v>
      </c>
      <c r="H494" s="108" t="s">
        <v>470</v>
      </c>
      <c r="I494" s="108" t="s">
        <v>468</v>
      </c>
    </row>
    <row r="495" spans="1:9">
      <c r="A495" s="168" t="s">
        <v>949</v>
      </c>
      <c r="B495" s="169" t="s">
        <v>453</v>
      </c>
      <c r="C495" s="169" t="s">
        <v>463</v>
      </c>
      <c r="D495" s="169" t="s">
        <v>464</v>
      </c>
      <c r="E495" s="169" t="s">
        <v>452</v>
      </c>
      <c r="F495" s="169" t="s">
        <v>446</v>
      </c>
      <c r="G495" s="169" t="s">
        <v>447</v>
      </c>
      <c r="H495" s="169" t="s">
        <v>470</v>
      </c>
      <c r="I495" s="169" t="s">
        <v>468</v>
      </c>
    </row>
    <row r="496" spans="1:9">
      <c r="A496" s="170" t="s">
        <v>950</v>
      </c>
      <c r="B496" s="108" t="s">
        <v>446</v>
      </c>
      <c r="C496" s="108" t="s">
        <v>447</v>
      </c>
      <c r="D496" s="108" t="s">
        <v>464</v>
      </c>
      <c r="E496" s="108" t="s">
        <v>452</v>
      </c>
      <c r="F496" s="108" t="s">
        <v>463</v>
      </c>
      <c r="G496" s="108" t="s">
        <v>451</v>
      </c>
      <c r="H496" s="108" t="s">
        <v>470</v>
      </c>
      <c r="I496" s="108" t="s">
        <v>468</v>
      </c>
    </row>
    <row r="497" spans="1:9">
      <c r="A497" s="168" t="s">
        <v>951</v>
      </c>
      <c r="B497" s="169" t="s">
        <v>453</v>
      </c>
      <c r="C497" s="169" t="s">
        <v>463</v>
      </c>
      <c r="D497" s="169" t="s">
        <v>464</v>
      </c>
      <c r="E497" s="169" t="s">
        <v>451</v>
      </c>
      <c r="F497" s="169" t="s">
        <v>446</v>
      </c>
      <c r="G497" s="169" t="s">
        <v>447</v>
      </c>
      <c r="H497" s="169" t="s">
        <v>470</v>
      </c>
      <c r="I497" s="169" t="s">
        <v>468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M358"/>
  <sheetViews>
    <sheetView showGridLines="0" workbookViewId="0"/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95" customHeight="1">
      <c r="A1" s="255" t="s">
        <v>952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3" spans="1:13">
      <c r="A3" s="109" t="s">
        <v>54</v>
      </c>
      <c r="B3" s="9" t="s">
        <v>55</v>
      </c>
      <c r="C3" s="110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0</v>
      </c>
      <c r="D3" s="110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110">
        <f>IF(ISNUMBER('Apostas - Grupos'!B5),'Apostas - Grupos'!B5,0)+IF(ISNUMBER('Apostas - Grupos'!H5),'Apostas - Grupos'!H5,0)+IF(ISNUMBER('Apostas - Grupos'!J5),'Apostas - Grupos'!K5,0)</f>
        <v>0</v>
      </c>
      <c r="F3" s="110">
        <f>IF(ISNUMBER('Apostas - Grupos'!B5),'Apostas - Grupos'!C5,0)+IF(ISNUMBER('Apostas - Grupos'!H5),'Apostas - Grupos'!I5,0)+IF(ISNUMBER('Apostas - Grupos'!J5),'Apostas - Grupos'!J5,0)</f>
        <v>0</v>
      </c>
      <c r="G3" s="110">
        <f t="shared" ref="G3:G50" si="0">E3-F3</f>
        <v>0</v>
      </c>
      <c r="H3" s="8">
        <f t="shared" ref="H3:H50" si="1">3*C3+D3</f>
        <v>0</v>
      </c>
      <c r="I3" s="110">
        <f t="shared" ref="I3:I50" si="2">H3*1000000000+(G3+200)*1000000+E3*1000+(500-M3)</f>
        <v>200000484</v>
      </c>
      <c r="J3" s="8">
        <f>RANK(I3,$I$3:$I$6,0)</f>
        <v>1</v>
      </c>
      <c r="K3" s="110">
        <f>IF(AND(ISNUMBER('Apostas - Grupos'!B5),ISNUMBER('Apostas - Grupos'!C5)),1,0)+IF(AND(ISNUMBER('Apostas - Grupos'!H5),ISNUMBER('Apostas - Grupos'!I5)),1,0)+IF(AND(ISNUMBER('Apostas - Grupos'!J5),ISNUMBER('Apostas - Grupos'!K5)),1,0)</f>
        <v>0</v>
      </c>
      <c r="L3" s="110">
        <f t="shared" ref="L3:L50" si="3">K3-C3-D3</f>
        <v>0</v>
      </c>
      <c r="M3" s="110">
        <v>16</v>
      </c>
    </row>
    <row r="4" spans="1:13">
      <c r="A4" s="109" t="s">
        <v>54</v>
      </c>
      <c r="B4" s="9" t="s">
        <v>56</v>
      </c>
      <c r="C4" s="110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110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110">
        <f>IF(ISNUMBER('Apostas - Grupos'!B5),'Apostas - Grupos'!C5,0)+IF(ISNUMBER('Apostas - Grupos'!F5),'Apostas - Grupos'!G5,0)+IF(ISNUMBER('Apostas - Grupos'!L5),'Apostas - Grupos'!L5,0)</f>
        <v>0</v>
      </c>
      <c r="F4" s="110">
        <f>IF(ISNUMBER('Apostas - Grupos'!B5),'Apostas - Grupos'!B5,0)+IF(ISNUMBER('Apostas - Grupos'!F5),'Apostas - Grupos'!F5,0)+IF(ISNUMBER('Apostas - Grupos'!L5),'Apostas - Grupos'!M5,0)</f>
        <v>0</v>
      </c>
      <c r="G4" s="110">
        <f t="shared" si="0"/>
        <v>0</v>
      </c>
      <c r="H4" s="8">
        <f t="shared" si="1"/>
        <v>0</v>
      </c>
      <c r="I4" s="110">
        <f t="shared" si="2"/>
        <v>200000437</v>
      </c>
      <c r="J4" s="8">
        <f>RANK(I4,$I$3:$I$6,0)</f>
        <v>4</v>
      </c>
      <c r="K4" s="110">
        <f>IF(AND(ISNUMBER('Apostas - Grupos'!B5),ISNUMBER('Apostas - Grupos'!C5)),1,0)+IF(AND(ISNUMBER('Apostas - Grupos'!F5),ISNUMBER('Apostas - Grupos'!G5)),1,0)+IF(AND(ISNUMBER('Apostas - Grupos'!L5),ISNUMBER('Apostas - Grupos'!M5)),1,0)</f>
        <v>0</v>
      </c>
      <c r="L4" s="110">
        <f t="shared" si="3"/>
        <v>0</v>
      </c>
      <c r="M4" s="110">
        <v>63</v>
      </c>
    </row>
    <row r="5" spans="1:13">
      <c r="A5" s="109" t="s">
        <v>54</v>
      </c>
      <c r="B5" s="9" t="s">
        <v>58</v>
      </c>
      <c r="C5" s="110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110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110">
        <f>IF(ISNUMBER('Apostas - Grupos'!D5),'Apostas - Grupos'!D5,0)+IF(ISNUMBER('Apostas - Grupos'!H5),'Apostas - Grupos'!I5,0)+IF(ISNUMBER('Apostas - Grupos'!L5),'Apostas - Grupos'!M5,0)</f>
        <v>0</v>
      </c>
      <c r="F5" s="110">
        <f>IF(ISNUMBER('Apostas - Grupos'!D5),'Apostas - Grupos'!E5,0)+IF(ISNUMBER('Apostas - Grupos'!H5),'Apostas - Grupos'!H5,0)+IF(ISNUMBER('Apostas - Grupos'!L5),'Apostas - Grupos'!L5,0)</f>
        <v>0</v>
      </c>
      <c r="G5" s="110">
        <f t="shared" si="0"/>
        <v>0</v>
      </c>
      <c r="H5" s="8">
        <f t="shared" si="1"/>
        <v>0</v>
      </c>
      <c r="I5" s="110">
        <f t="shared" si="2"/>
        <v>200000477</v>
      </c>
      <c r="J5" s="8">
        <f>RANK(I5,$I$3:$I$6,0)</f>
        <v>2</v>
      </c>
      <c r="K5" s="110">
        <f>IF(AND(ISNUMBER('Apostas - Grupos'!D5),ISNUMBER('Apostas - Grupos'!E5)),1,0)+IF(AND(ISNUMBER('Apostas - Grupos'!H5),ISNUMBER('Apostas - Grupos'!I5)),1,0)+IF(AND(ISNUMBER('Apostas - Grupos'!L5),ISNUMBER('Apostas - Grupos'!M5)),1,0)</f>
        <v>0</v>
      </c>
      <c r="L5" s="110">
        <f t="shared" si="3"/>
        <v>0</v>
      </c>
      <c r="M5" s="110">
        <v>23</v>
      </c>
    </row>
    <row r="6" spans="1:13">
      <c r="A6" s="109" t="s">
        <v>54</v>
      </c>
      <c r="B6" s="9" t="s">
        <v>59</v>
      </c>
      <c r="C6" s="110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110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110">
        <f>IF(ISNUMBER('Apostas - Grupos'!D5),'Apostas - Grupos'!E5,0)+IF(ISNUMBER('Apostas - Grupos'!F5),'Apostas - Grupos'!F5,0)+IF(ISNUMBER('Apostas - Grupos'!J5),'Apostas - Grupos'!J5,0)</f>
        <v>0</v>
      </c>
      <c r="F6" s="110">
        <f>IF(ISNUMBER('Apostas - Grupos'!D5),'Apostas - Grupos'!D5,0)+IF(ISNUMBER('Apostas - Grupos'!F5),'Apostas - Grupos'!G5,0)+IF(ISNUMBER('Apostas - Grupos'!J5),'Apostas - Grupos'!K5,0)</f>
        <v>0</v>
      </c>
      <c r="G6" s="110">
        <f t="shared" si="0"/>
        <v>0</v>
      </c>
      <c r="H6" s="8">
        <f t="shared" si="1"/>
        <v>0</v>
      </c>
      <c r="I6" s="110">
        <f t="shared" si="2"/>
        <v>200000462</v>
      </c>
      <c r="J6" s="8">
        <f>RANK(I6,$I$3:$I$6,0)</f>
        <v>3</v>
      </c>
      <c r="K6" s="110">
        <f>IF(AND(ISNUMBER('Apostas - Grupos'!D5),ISNUMBER('Apostas - Grupos'!E5)),1,0)+IF(AND(ISNUMBER('Apostas - Grupos'!F5),ISNUMBER('Apostas - Grupos'!G5)),1,0)+IF(AND(ISNUMBER('Apostas - Grupos'!J5),ISNUMBER('Apostas - Grupos'!K5)),1,0)</f>
        <v>0</v>
      </c>
      <c r="L6" s="110">
        <f t="shared" si="3"/>
        <v>0</v>
      </c>
      <c r="M6" s="110">
        <v>38</v>
      </c>
    </row>
    <row r="7" spans="1:13">
      <c r="A7" s="111" t="s">
        <v>65</v>
      </c>
      <c r="B7" s="15" t="s">
        <v>66</v>
      </c>
      <c r="C7" s="112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112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112">
        <f>IF(ISNUMBER('Apostas - Grupos'!N5),'Apostas - Grupos'!N5,0)+IF(ISNUMBER('Apostas - Grupos'!T5),'Apostas - Grupos'!T5,0)+IF(ISNUMBER('Apostas - Grupos'!V5),'Apostas - Grupos'!W5,0)</f>
        <v>0</v>
      </c>
      <c r="F7" s="112">
        <f>IF(ISNUMBER('Apostas - Grupos'!N5),'Apostas - Grupos'!O5,0)+IF(ISNUMBER('Apostas - Grupos'!T5),'Apostas - Grupos'!U5,0)+IF(ISNUMBER('Apostas - Grupos'!V5),'Apostas - Grupos'!V5,0)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f>IF(AND(ISNUMBER('Apostas - Grupos'!N5),ISNUMBER('Apostas - Grupos'!O5)),1,0)+IF(AND(ISNUMBER('Apostas - Grupos'!T5),ISNUMBER('Apostas - Grupos'!U5)),1,0)+IF(AND(ISNUMBER('Apostas - Grupos'!V5),ISNUMBER('Apostas - Grupos'!W5)),1,0)</f>
        <v>0</v>
      </c>
      <c r="L7" s="112">
        <f t="shared" si="3"/>
        <v>0</v>
      </c>
      <c r="M7" s="112">
        <v>44</v>
      </c>
    </row>
    <row r="8" spans="1:13">
      <c r="A8" s="111" t="s">
        <v>65</v>
      </c>
      <c r="B8" s="15" t="s">
        <v>67</v>
      </c>
      <c r="C8" s="112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112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112">
        <f>IF(ISNUMBER('Apostas - Grupos'!N5),'Apostas - Grupos'!O5,0)+IF(ISNUMBER('Apostas - Grupos'!R5),'Apostas - Grupos'!S5,0)+IF(ISNUMBER('Apostas - Grupos'!X5),'Apostas - Grupos'!X5,0)</f>
        <v>0</v>
      </c>
      <c r="F8" s="112">
        <f>IF(ISNUMBER('Apostas - Grupos'!N5),'Apostas - Grupos'!N5,0)+IF(ISNUMBER('Apostas - Grupos'!R5),'Apostas - Grupos'!R5,0)+IF(ISNUMBER('Apostas - Grupos'!X5),'Apostas - Grupos'!Y5,0)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f>IF(AND(ISNUMBER('Apostas - Grupos'!N5),ISNUMBER('Apostas - Grupos'!O5)),1,0)+IF(AND(ISNUMBER('Apostas - Grupos'!R5),ISNUMBER('Apostas - Grupos'!S5)),1,0)+IF(AND(ISNUMBER('Apostas - Grupos'!X5),ISNUMBER('Apostas - Grupos'!Y5)),1,0)</f>
        <v>0</v>
      </c>
      <c r="L8" s="112">
        <f t="shared" si="3"/>
        <v>0</v>
      </c>
      <c r="M8" s="112">
        <v>55</v>
      </c>
    </row>
    <row r="9" spans="1:13">
      <c r="A9" s="111" t="s">
        <v>65</v>
      </c>
      <c r="B9" s="15" t="s">
        <v>69</v>
      </c>
      <c r="C9" s="112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112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112">
        <f>IF(ISNUMBER('Apostas - Grupos'!P5),'Apostas - Grupos'!P5,0)+IF(ISNUMBER('Apostas - Grupos'!T5),'Apostas - Grupos'!U5,0)+IF(ISNUMBER('Apostas - Grupos'!X5),'Apostas - Grupos'!Y5,0)</f>
        <v>0</v>
      </c>
      <c r="F9" s="112">
        <f>IF(ISNUMBER('Apostas - Grupos'!P5),'Apostas - Grupos'!Q5,0)+IF(ISNUMBER('Apostas - Grupos'!T5),'Apostas - Grupos'!T5,0)+IF(ISNUMBER('Apostas - Grupos'!X5),'Apostas - Grupos'!X5,0)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f>IF(AND(ISNUMBER('Apostas - Grupos'!P5),ISNUMBER('Apostas - Grupos'!Q5)),1,0)+IF(AND(ISNUMBER('Apostas - Grupos'!T5),ISNUMBER('Apostas - Grupos'!U5)),1,0)+IF(AND(ISNUMBER('Apostas - Grupos'!X5),ISNUMBER('Apostas - Grupos'!Y5)),1,0)</f>
        <v>0</v>
      </c>
      <c r="L9" s="112">
        <f t="shared" si="3"/>
        <v>0</v>
      </c>
      <c r="M9" s="112">
        <v>38</v>
      </c>
    </row>
    <row r="10" spans="1:13">
      <c r="A10" s="111" t="s">
        <v>65</v>
      </c>
      <c r="B10" s="15" t="s">
        <v>70</v>
      </c>
      <c r="C10" s="112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0</v>
      </c>
      <c r="D10" s="112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112">
        <f>IF(ISNUMBER('Apostas - Grupos'!P5),'Apostas - Grupos'!Q5,0)+IF(ISNUMBER('Apostas - Grupos'!R5),'Apostas - Grupos'!R5,0)+IF(ISNUMBER('Apostas - Grupos'!V5),'Apostas - Grupos'!V5,0)</f>
        <v>0</v>
      </c>
      <c r="F10" s="112">
        <f>IF(ISNUMBER('Apostas - Grupos'!P5),'Apostas - Grupos'!P5,0)+IF(ISNUMBER('Apostas - Grupos'!R5),'Apostas - Grupos'!S5,0)+IF(ISNUMBER('Apostas - Grupos'!V5),'Apostas - Grupos'!W5,0)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f>IF(AND(ISNUMBER('Apostas - Grupos'!P5),ISNUMBER('Apostas - Grupos'!Q5)),1,0)+IF(AND(ISNUMBER('Apostas - Grupos'!R5),ISNUMBER('Apostas - Grupos'!S5)),1,0)+IF(AND(ISNUMBER('Apostas - Grupos'!V5),ISNUMBER('Apostas - Grupos'!W5)),1,0)</f>
        <v>0</v>
      </c>
      <c r="L10" s="112">
        <f t="shared" si="3"/>
        <v>0</v>
      </c>
      <c r="M10" s="112">
        <v>20</v>
      </c>
    </row>
    <row r="11" spans="1:13">
      <c r="A11" s="113" t="s">
        <v>76</v>
      </c>
      <c r="B11" s="20" t="s">
        <v>77</v>
      </c>
      <c r="C11" s="11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0</v>
      </c>
      <c r="D11" s="11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114">
        <f>IF(ISNUMBER('Apostas - Grupos'!Z5),'Apostas - Grupos'!Z5,0)+IF(ISNUMBER('Apostas - Grupos'!AF5),'Apostas - Grupos'!AF5,0)+IF(ISNUMBER('Apostas - Grupos'!AH5),'Apostas - Grupos'!AI5,0)</f>
        <v>0</v>
      </c>
      <c r="F11" s="114">
        <f>IF(ISNUMBER('Apostas - Grupos'!Z5),'Apostas - Grupos'!AA5,0)+IF(ISNUMBER('Apostas - Grupos'!AF5),'Apostas - Grupos'!AG5,0)+IF(ISNUMBER('Apostas - Grupos'!AH5),'Apostas - Grupos'!AH5,0)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f>IF(AND(ISNUMBER('Apostas - Grupos'!Z5),ISNUMBER('Apostas - Grupos'!AA5)),1,0)+IF(AND(ISNUMBER('Apostas - Grupos'!AF5),ISNUMBER('Apostas - Grupos'!AG5)),1,0)+IF(AND(ISNUMBER('Apostas - Grupos'!AH5),ISNUMBER('Apostas - Grupos'!AI5)),1,0)</f>
        <v>0</v>
      </c>
      <c r="L11" s="114">
        <f t="shared" si="3"/>
        <v>0</v>
      </c>
      <c r="M11" s="114">
        <v>5</v>
      </c>
    </row>
    <row r="12" spans="1:13">
      <c r="A12" s="113" t="s">
        <v>76</v>
      </c>
      <c r="B12" s="20" t="s">
        <v>78</v>
      </c>
      <c r="C12" s="11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0</v>
      </c>
      <c r="D12" s="11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114">
        <f>IF(ISNUMBER('Apostas - Grupos'!Z5),'Apostas - Grupos'!AA5,0)+IF(ISNUMBER('Apostas - Grupos'!AD5),'Apostas - Grupos'!AE5,0)+IF(ISNUMBER('Apostas - Grupos'!AJ5),'Apostas - Grupos'!AJ5,0)</f>
        <v>0</v>
      </c>
      <c r="F12" s="114">
        <f>IF(ISNUMBER('Apostas - Grupos'!Z5),'Apostas - Grupos'!Z5,0)+IF(ISNUMBER('Apostas - Grupos'!AD5),'Apostas - Grupos'!AD5,0)+IF(ISNUMBER('Apostas - Grupos'!AJ5),'Apostas - Grupos'!AK5,0)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f>IF(AND(ISNUMBER('Apostas - Grupos'!Z5),ISNUMBER('Apostas - Grupos'!AA5)),1,0)+IF(AND(ISNUMBER('Apostas - Grupos'!AD5),ISNUMBER('Apostas - Grupos'!AE5)),1,0)+IF(AND(ISNUMBER('Apostas - Grupos'!AJ5),ISNUMBER('Apostas - Grupos'!AK5)),1,0)</f>
        <v>0</v>
      </c>
      <c r="L12" s="114">
        <f t="shared" si="3"/>
        <v>0</v>
      </c>
      <c r="M12" s="114">
        <v>14</v>
      </c>
    </row>
    <row r="13" spans="1:13">
      <c r="A13" s="113" t="s">
        <v>76</v>
      </c>
      <c r="B13" s="20" t="s">
        <v>80</v>
      </c>
      <c r="C13" s="11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11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114">
        <f>IF(ISNUMBER('Apostas - Grupos'!AB5),'Apostas - Grupos'!AB5,0)+IF(ISNUMBER('Apostas - Grupos'!AF5),'Apostas - Grupos'!AG5,0)+IF(ISNUMBER('Apostas - Grupos'!AJ5),'Apostas - Grupos'!AK5,0)</f>
        <v>0</v>
      </c>
      <c r="F13" s="114">
        <f>IF(ISNUMBER('Apostas - Grupos'!AB5),'Apostas - Grupos'!AC5,0)+IF(ISNUMBER('Apostas - Grupos'!AF5),'Apostas - Grupos'!AF5,0)+IF(ISNUMBER('Apostas - Grupos'!AJ5),'Apostas - Grupos'!AJ5,0)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f>IF(AND(ISNUMBER('Apostas - Grupos'!AB5),ISNUMBER('Apostas - Grupos'!AC5)),1,0)+IF(AND(ISNUMBER('Apostas - Grupos'!AF5),ISNUMBER('Apostas - Grupos'!AG5)),1,0)+IF(AND(ISNUMBER('Apostas - Grupos'!AJ5),ISNUMBER('Apostas - Grupos'!AK5)),1,0)</f>
        <v>0</v>
      </c>
      <c r="L13" s="114">
        <f t="shared" si="3"/>
        <v>0</v>
      </c>
      <c r="M13" s="114">
        <v>86</v>
      </c>
    </row>
    <row r="14" spans="1:13">
      <c r="A14" s="113" t="s">
        <v>76</v>
      </c>
      <c r="B14" s="20" t="s">
        <v>81</v>
      </c>
      <c r="C14" s="11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11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114">
        <f>IF(ISNUMBER('Apostas - Grupos'!AB5),'Apostas - Grupos'!AC5,0)+IF(ISNUMBER('Apostas - Grupos'!AD5),'Apostas - Grupos'!AD5,0)+IF(ISNUMBER('Apostas - Grupos'!AH5),'Apostas - Grupos'!AH5,0)</f>
        <v>0</v>
      </c>
      <c r="F14" s="114">
        <f>IF(ISNUMBER('Apostas - Grupos'!AB5),'Apostas - Grupos'!AB5,0)+IF(ISNUMBER('Apostas - Grupos'!AD5),'Apostas - Grupos'!AE5,0)+IF(ISNUMBER('Apostas - Grupos'!AH5),'Apostas - Grupos'!AI5,0)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f>IF(AND(ISNUMBER('Apostas - Grupos'!AB5),ISNUMBER('Apostas - Grupos'!AC5)),1,0)+IF(AND(ISNUMBER('Apostas - Grupos'!AD5),ISNUMBER('Apostas - Grupos'!AE5)),1,0)+IF(AND(ISNUMBER('Apostas - Grupos'!AH5),ISNUMBER('Apostas - Grupos'!AI5)),1,0)</f>
        <v>0</v>
      </c>
      <c r="L14" s="114">
        <f t="shared" si="3"/>
        <v>0</v>
      </c>
      <c r="M14" s="114">
        <v>27</v>
      </c>
    </row>
    <row r="15" spans="1:13">
      <c r="A15" s="115" t="s">
        <v>87</v>
      </c>
      <c r="B15" s="25" t="s">
        <v>88</v>
      </c>
      <c r="C15" s="11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11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116">
        <f>IF(ISNUMBER('Apostas - Grupos'!AL5),'Apostas - Grupos'!AL5,0)+IF(ISNUMBER('Apostas - Grupos'!AP5),'Apostas - Grupos'!AP5,0)+IF(ISNUMBER('Apostas - Grupos'!AT5),'Apostas - Grupos'!AU5,0)</f>
        <v>0</v>
      </c>
      <c r="F15" s="116">
        <f>IF(ISNUMBER('Apostas - Grupos'!AL5),'Apostas - Grupos'!AM5,0)+IF(ISNUMBER('Apostas - Grupos'!AP5),'Apostas - Grupos'!AQ5,0)+IF(ISNUMBER('Apostas - Grupos'!AT5),'Apostas - Grupos'!AT5,0)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f>IF(AND(ISNUMBER('Apostas - Grupos'!AL5),ISNUMBER('Apostas - Grupos'!AM5)),1,0)+IF(AND(ISNUMBER('Apostas - Grupos'!AP5),ISNUMBER('Apostas - Grupos'!AQ5)),1,0)+IF(AND(ISNUMBER('Apostas - Grupos'!AT5),ISNUMBER('Apostas - Grupos'!AU5)),1,0)</f>
        <v>0</v>
      </c>
      <c r="L15" s="116">
        <f t="shared" si="3"/>
        <v>0</v>
      </c>
      <c r="M15" s="116">
        <v>11</v>
      </c>
    </row>
    <row r="16" spans="1:13">
      <c r="A16" s="115" t="s">
        <v>87</v>
      </c>
      <c r="B16" s="25" t="s">
        <v>89</v>
      </c>
      <c r="C16" s="11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11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116">
        <f>IF(ISNUMBER('Apostas - Grupos'!AL5),'Apostas - Grupos'!AM5,0)+IF(ISNUMBER('Apostas - Grupos'!AR5),'Apostas - Grupos'!AS5,0)+IF(ISNUMBER('Apostas - Grupos'!AV5),'Apostas - Grupos'!AV5,0)</f>
        <v>0</v>
      </c>
      <c r="F16" s="116">
        <f>IF(ISNUMBER('Apostas - Grupos'!AL5),'Apostas - Grupos'!AL5,0)+IF(ISNUMBER('Apostas - Grupos'!AR5),'Apostas - Grupos'!AR5,0)+IF(ISNUMBER('Apostas - Grupos'!AV5),'Apostas - Grupos'!AW5,0)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f>IF(AND(ISNUMBER('Apostas - Grupos'!AL5),ISNUMBER('Apostas - Grupos'!AM5)),1,0)+IF(AND(ISNUMBER('Apostas - Grupos'!AR5),ISNUMBER('Apostas - Grupos'!AS5)),1,0)+IF(AND(ISNUMBER('Apostas - Grupos'!AV5),ISNUMBER('Apostas - Grupos'!AW5)),1,0)</f>
        <v>0</v>
      </c>
      <c r="L16" s="116">
        <f t="shared" si="3"/>
        <v>0</v>
      </c>
      <c r="M16" s="116">
        <v>51</v>
      </c>
    </row>
    <row r="17" spans="1:13">
      <c r="A17" s="115" t="s">
        <v>87</v>
      </c>
      <c r="B17" s="25" t="s">
        <v>91</v>
      </c>
      <c r="C17" s="11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11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116">
        <f>IF(ISNUMBER('Apostas - Grupos'!AN5),'Apostas - Grupos'!AN5,0)+IF(ISNUMBER('Apostas - Grupos'!AP5),'Apostas - Grupos'!AQ5,0)+IF(ISNUMBER('Apostas - Grupos'!AV5),'Apostas - Grupos'!AW5,0)</f>
        <v>0</v>
      </c>
      <c r="F17" s="116">
        <f>IF(ISNUMBER('Apostas - Grupos'!AN5),'Apostas - Grupos'!AO5,0)+IF(ISNUMBER('Apostas - Grupos'!AP5),'Apostas - Grupos'!AP5,0)+IF(ISNUMBER('Apostas - Grupos'!AV5),'Apostas - Grupos'!AV5,0)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f>IF(AND(ISNUMBER('Apostas - Grupos'!AN5),ISNUMBER('Apostas - Grupos'!AO5)),1,0)+IF(AND(ISNUMBER('Apostas - Grupos'!AP5),ISNUMBER('Apostas - Grupos'!AQ5)),1,0)+IF(AND(ISNUMBER('Apostas - Grupos'!AV5),ISNUMBER('Apostas - Grupos'!AW5)),1,0)</f>
        <v>0</v>
      </c>
      <c r="L17" s="116">
        <f t="shared" si="3"/>
        <v>0</v>
      </c>
      <c r="M17" s="116">
        <v>23</v>
      </c>
    </row>
    <row r="18" spans="1:13">
      <c r="A18" s="115" t="s">
        <v>87</v>
      </c>
      <c r="B18" s="25" t="s">
        <v>92</v>
      </c>
      <c r="C18" s="11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11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116">
        <f>IF(ISNUMBER('Apostas - Grupos'!AN5),'Apostas - Grupos'!AO5,0)+IF(ISNUMBER('Apostas - Grupos'!AR5),'Apostas - Grupos'!AR5,0)+IF(ISNUMBER('Apostas - Grupos'!AT5),'Apostas - Grupos'!AT5,0)</f>
        <v>0</v>
      </c>
      <c r="F18" s="116">
        <f>IF(ISNUMBER('Apostas - Grupos'!AN5),'Apostas - Grupos'!AN5,0)+IF(ISNUMBER('Apostas - Grupos'!AR5),'Apostas - Grupos'!AS5,0)+IF(ISNUMBER('Apostas - Grupos'!AT5),'Apostas - Grupos'!AU5,0)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f>IF(AND(ISNUMBER('Apostas - Grupos'!AN5),ISNUMBER('Apostas - Grupos'!AO5)),1,0)+IF(AND(ISNUMBER('Apostas - Grupos'!AR5),ISNUMBER('Apostas - Grupos'!AS5)),1,0)+IF(AND(ISNUMBER('Apostas - Grupos'!AT5),ISNUMBER('Apostas - Grupos'!AU5)),1,0)</f>
        <v>0</v>
      </c>
      <c r="L18" s="116">
        <f t="shared" si="3"/>
        <v>0</v>
      </c>
      <c r="M18" s="116">
        <v>36</v>
      </c>
    </row>
    <row r="19" spans="1:13">
      <c r="A19" s="117" t="s">
        <v>98</v>
      </c>
      <c r="B19" s="30" t="s">
        <v>99</v>
      </c>
      <c r="C19" s="118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0</v>
      </c>
      <c r="D19" s="118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18">
        <f>IF(ISNUMBER('Apostas - Grupos'!AX5),'Apostas - Grupos'!AX5,0)+IF(ISNUMBER('Apostas - Grupos'!BB5),'Apostas - Grupos'!BB5,0)+IF(ISNUMBER('Apostas - Grupos'!BF5),'Apostas - Grupos'!BG5,0)</f>
        <v>0</v>
      </c>
      <c r="F19" s="118">
        <f>IF(ISNUMBER('Apostas - Grupos'!AX5),'Apostas - Grupos'!AY5,0)+IF(ISNUMBER('Apostas - Grupos'!BB5),'Apostas - Grupos'!BC5,0)+IF(ISNUMBER('Apostas - Grupos'!BF5),'Apostas - Grupos'!BF5,0)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f>IF(AND(ISNUMBER('Apostas - Grupos'!AX5),ISNUMBER('Apostas - Grupos'!AY5)),1,0)+IF(AND(ISNUMBER('Apostas - Grupos'!BB5),ISNUMBER('Apostas - Grupos'!BC5)),1,0)+IF(AND(ISNUMBER('Apostas - Grupos'!BF5),ISNUMBER('Apostas - Grupos'!BG5)),1,0)</f>
        <v>0</v>
      </c>
      <c r="L19" s="118">
        <f t="shared" si="3"/>
        <v>0</v>
      </c>
      <c r="M19" s="118">
        <v>12</v>
      </c>
    </row>
    <row r="20" spans="1:13">
      <c r="A20" s="117" t="s">
        <v>98</v>
      </c>
      <c r="B20" s="30" t="s">
        <v>100</v>
      </c>
      <c r="C20" s="118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18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18">
        <f>IF(ISNUMBER('Apostas - Grupos'!AX5),'Apostas - Grupos'!AY5,0)+IF(ISNUMBER('Apostas - Grupos'!BD5),'Apostas - Grupos'!BE5,0)+IF(ISNUMBER('Apostas - Grupos'!BH5),'Apostas - Grupos'!BH5,0)</f>
        <v>0</v>
      </c>
      <c r="F20" s="118">
        <f>IF(ISNUMBER('Apostas - Grupos'!AX5),'Apostas - Grupos'!AX5,0)+IF(ISNUMBER('Apostas - Grupos'!BD5),'Apostas - Grupos'!BD5,0)+IF(ISNUMBER('Apostas - Grupos'!BH5),'Apostas - Grupos'!BI5,0)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f>IF(AND(ISNUMBER('Apostas - Grupos'!AX5),ISNUMBER('Apostas - Grupos'!AY5)),1,0)+IF(AND(ISNUMBER('Apostas - Grupos'!BD5),ISNUMBER('Apostas - Grupos'!BE5)),1,0)+IF(AND(ISNUMBER('Apostas - Grupos'!BH5),ISNUMBER('Apostas - Grupos'!BI5)),1,0)</f>
        <v>0</v>
      </c>
      <c r="L20" s="118">
        <f t="shared" si="3"/>
        <v>0</v>
      </c>
      <c r="M20" s="118">
        <v>83</v>
      </c>
    </row>
    <row r="21" spans="1:13">
      <c r="A21" s="117" t="s">
        <v>98</v>
      </c>
      <c r="B21" s="30" t="s">
        <v>102</v>
      </c>
      <c r="C21" s="118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118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18">
        <f>IF(ISNUMBER('Apostas - Grupos'!AZ5),'Apostas - Grupos'!AZ5,0)+IF(ISNUMBER('Apostas - Grupos'!BB5),'Apostas - Grupos'!BC5,0)+IF(ISNUMBER('Apostas - Grupos'!BH5),'Apostas - Grupos'!BI5,0)</f>
        <v>0</v>
      </c>
      <c r="F21" s="118">
        <f>IF(ISNUMBER('Apostas - Grupos'!AZ5),'Apostas - Grupos'!BA5,0)+IF(ISNUMBER('Apostas - Grupos'!BB5),'Apostas - Grupos'!BB5,0)+IF(ISNUMBER('Apostas - Grupos'!BH5),'Apostas - Grupos'!BH5,0)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f>IF(AND(ISNUMBER('Apostas - Grupos'!AZ5),ISNUMBER('Apostas - Grupos'!BA5)),1,0)+IF(AND(ISNUMBER('Apostas - Grupos'!BB5),ISNUMBER('Apostas - Grupos'!BC5)),1,0)+IF(AND(ISNUMBER('Apostas - Grupos'!BH5),ISNUMBER('Apostas - Grupos'!BI5)),1,0)</f>
        <v>0</v>
      </c>
      <c r="L21" s="118">
        <f t="shared" si="3"/>
        <v>0</v>
      </c>
      <c r="M21" s="118">
        <v>41</v>
      </c>
    </row>
    <row r="22" spans="1:13">
      <c r="A22" s="117" t="s">
        <v>98</v>
      </c>
      <c r="B22" s="30" t="s">
        <v>103</v>
      </c>
      <c r="C22" s="118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0</v>
      </c>
      <c r="D22" s="118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18">
        <f>IF(ISNUMBER('Apostas - Grupos'!AZ5),'Apostas - Grupos'!BA5,0)+IF(ISNUMBER('Apostas - Grupos'!BD5),'Apostas - Grupos'!BD5,0)+IF(ISNUMBER('Apostas - Grupos'!BF5),'Apostas - Grupos'!BF5,0)</f>
        <v>0</v>
      </c>
      <c r="F22" s="118">
        <f>IF(ISNUMBER('Apostas - Grupos'!AZ5),'Apostas - Grupos'!AZ5,0)+IF(ISNUMBER('Apostas - Grupos'!BD5),'Apostas - Grupos'!BE5,0)+IF(ISNUMBER('Apostas - Grupos'!BF5),'Apostas - Grupos'!BG5,0)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f>IF(AND(ISNUMBER('Apostas - Grupos'!AZ5),ISNUMBER('Apostas - Grupos'!BA5)),1,0)+IF(AND(ISNUMBER('Apostas - Grupos'!BD5),ISNUMBER('Apostas - Grupos'!BE5)),1,0)+IF(AND(ISNUMBER('Apostas - Grupos'!BF5),ISNUMBER('Apostas - Grupos'!BG5)),1,0)</f>
        <v>0</v>
      </c>
      <c r="L22" s="118">
        <f t="shared" si="3"/>
        <v>0</v>
      </c>
      <c r="M22" s="118">
        <v>39</v>
      </c>
    </row>
    <row r="23" spans="1:13">
      <c r="A23" s="119" t="s">
        <v>109</v>
      </c>
      <c r="B23" s="35" t="s">
        <v>110</v>
      </c>
      <c r="C23" s="120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120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20">
        <f>IF(ISNUMBER('Apostas - Grupos'!BJ5),'Apostas - Grupos'!BJ5,0)+IF(ISNUMBER('Apostas - Grupos'!BN5),'Apostas - Grupos'!BN5,0)+IF(ISNUMBER('Apostas - Grupos'!BT5),'Apostas - Grupos'!BU5,0)</f>
        <v>0</v>
      </c>
      <c r="F23" s="120">
        <f>IF(ISNUMBER('Apostas - Grupos'!BJ5),'Apostas - Grupos'!BK5,0)+IF(ISNUMBER('Apostas - Grupos'!BN5),'Apostas - Grupos'!BO5,0)+IF(ISNUMBER('Apostas - Grupos'!BT5),'Apostas - Grupos'!BT5,0)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f>IF(AND(ISNUMBER('Apostas - Grupos'!BJ5),ISNUMBER('Apostas - Grupos'!BK5)),1,0)+IF(AND(ISNUMBER('Apostas - Grupos'!BN5),ISNUMBER('Apostas - Grupos'!BO5)),1,0)+IF(AND(ISNUMBER('Apostas - Grupos'!BT5),ISNUMBER('Apostas - Grupos'!BU5)),1,0)</f>
        <v>0</v>
      </c>
      <c r="L23" s="120">
        <f t="shared" si="3"/>
        <v>0</v>
      </c>
      <c r="M23" s="120">
        <v>8</v>
      </c>
    </row>
    <row r="24" spans="1:13">
      <c r="A24" s="119" t="s">
        <v>109</v>
      </c>
      <c r="B24" s="35" t="s">
        <v>111</v>
      </c>
      <c r="C24" s="120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120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20">
        <f>IF(ISNUMBER('Apostas - Grupos'!BJ5),'Apostas - Grupos'!BK5,0)+IF(ISNUMBER('Apostas - Grupos'!BP5),'Apostas - Grupos'!BQ5,0)+IF(ISNUMBER('Apostas - Grupos'!BR5),'Apostas - Grupos'!BR5,0)</f>
        <v>0</v>
      </c>
      <c r="F24" s="120">
        <f>IF(ISNUMBER('Apostas - Grupos'!BJ5),'Apostas - Grupos'!BJ5,0)+IF(ISNUMBER('Apostas - Grupos'!BP5),'Apostas - Grupos'!BP5,0)+IF(ISNUMBER('Apostas - Grupos'!BR5),'Apostas - Grupos'!BS5,0)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f>IF(AND(ISNUMBER('Apostas - Grupos'!BJ5),ISNUMBER('Apostas - Grupos'!BK5)),1,0)+IF(AND(ISNUMBER('Apostas - Grupos'!BP5),ISNUMBER('Apostas - Grupos'!BQ5)),1,0)+IF(AND(ISNUMBER('Apostas - Grupos'!BR5),ISNUMBER('Apostas - Grupos'!BS5)),1,0)</f>
        <v>0</v>
      </c>
      <c r="L24" s="120">
        <f t="shared" si="3"/>
        <v>0</v>
      </c>
      <c r="M24" s="120">
        <v>15</v>
      </c>
    </row>
    <row r="25" spans="1:13">
      <c r="A25" s="119" t="s">
        <v>109</v>
      </c>
      <c r="B25" s="35" t="s">
        <v>113</v>
      </c>
      <c r="C25" s="120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120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120">
        <f>IF(ISNUMBER('Apostas - Grupos'!BL5),'Apostas - Grupos'!BL5,0)+IF(ISNUMBER('Apostas - Grupos'!BN5),'Apostas - Grupos'!BO5,0)+IF(ISNUMBER('Apostas - Grupos'!BR5),'Apostas - Grupos'!BS5,0)</f>
        <v>0</v>
      </c>
      <c r="F25" s="120">
        <f>IF(ISNUMBER('Apostas - Grupos'!BL5),'Apostas - Grupos'!BM5,0)+IF(ISNUMBER('Apostas - Grupos'!BN5),'Apostas - Grupos'!BN5,0)+IF(ISNUMBER('Apostas - Grupos'!BR5),'Apostas - Grupos'!BR5,0)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f>IF(AND(ISNUMBER('Apostas - Grupos'!BL5),ISNUMBER('Apostas - Grupos'!BM5)),1,0)+IF(AND(ISNUMBER('Apostas - Grupos'!BN5),ISNUMBER('Apostas - Grupos'!BO5)),1,0)+IF(AND(ISNUMBER('Apostas - Grupos'!BR5),ISNUMBER('Apostas - Grupos'!BS5)),1,0)</f>
        <v>0</v>
      </c>
      <c r="L25" s="120">
        <f t="shared" si="3"/>
        <v>0</v>
      </c>
      <c r="M25" s="120">
        <v>26</v>
      </c>
    </row>
    <row r="26" spans="1:13">
      <c r="A26" s="119" t="s">
        <v>109</v>
      </c>
      <c r="B26" s="35" t="s">
        <v>114</v>
      </c>
      <c r="C26" s="120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20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20">
        <f>IF(ISNUMBER('Apostas - Grupos'!BL5),'Apostas - Grupos'!BM5,0)+IF(ISNUMBER('Apostas - Grupos'!BP5),'Apostas - Grupos'!BP5,0)+IF(ISNUMBER('Apostas - Grupos'!BT5),'Apostas - Grupos'!BT5,0)</f>
        <v>0</v>
      </c>
      <c r="F26" s="120">
        <f>IF(ISNUMBER('Apostas - Grupos'!BL5),'Apostas - Grupos'!BL5,0)+IF(ISNUMBER('Apostas - Grupos'!BP5),'Apostas - Grupos'!BQ5,0)+IF(ISNUMBER('Apostas - Grupos'!BT5),'Apostas - Grupos'!BU5,0)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f>IF(AND(ISNUMBER('Apostas - Grupos'!BL5),ISNUMBER('Apostas - Grupos'!BM5)),1,0)+IF(AND(ISNUMBER('Apostas - Grupos'!BP5),ISNUMBER('Apostas - Grupos'!BQ5)),1,0)+IF(AND(ISNUMBER('Apostas - Grupos'!BT5),ISNUMBER('Apostas - Grupos'!BU5)),1,0)</f>
        <v>0</v>
      </c>
      <c r="L26" s="120">
        <f t="shared" si="3"/>
        <v>0</v>
      </c>
      <c r="M26" s="120">
        <v>30</v>
      </c>
    </row>
    <row r="27" spans="1:13">
      <c r="A27" s="121" t="s">
        <v>120</v>
      </c>
      <c r="B27" s="40" t="s">
        <v>121</v>
      </c>
      <c r="C27" s="122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0</v>
      </c>
      <c r="D27" s="122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22">
        <f>IF(ISNUMBER('Apostas - Grupos'!BV5),'Apostas - Grupos'!BV5,0)+IF(ISNUMBER('Apostas - Grupos'!BZ5),'Apostas - Grupos'!BZ5,0)+IF(ISNUMBER('Apostas - Grupos'!CF5),'Apostas - Grupos'!CG5,0)</f>
        <v>0</v>
      </c>
      <c r="F27" s="122">
        <f>IF(ISNUMBER('Apostas - Grupos'!BV5),'Apostas - Grupos'!BW5,0)+IF(ISNUMBER('Apostas - Grupos'!BZ5),'Apostas - Grupos'!CA5,0)+IF(ISNUMBER('Apostas - Grupos'!CF5),'Apostas - Grupos'!CF5,0)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f>IF(AND(ISNUMBER('Apostas - Grupos'!BV5),ISNUMBER('Apostas - Grupos'!BW5)),1,0)+IF(AND(ISNUMBER('Apostas - Grupos'!BZ5),ISNUMBER('Apostas - Grupos'!CA5)),1,0)+IF(AND(ISNUMBER('Apostas - Grupos'!CF5),ISNUMBER('Apostas - Grupos'!CG5)),1,0)</f>
        <v>0</v>
      </c>
      <c r="L27" s="122">
        <f t="shared" si="3"/>
        <v>0</v>
      </c>
      <c r="M27" s="122">
        <v>3</v>
      </c>
    </row>
    <row r="28" spans="1:13">
      <c r="A28" s="121" t="s">
        <v>120</v>
      </c>
      <c r="B28" s="40" t="s">
        <v>122</v>
      </c>
      <c r="C28" s="122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122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122">
        <f>IF(ISNUMBER('Apostas - Grupos'!BV5),'Apostas - Grupos'!BW5,0)+IF(ISNUMBER('Apostas - Grupos'!CB5),'Apostas - Grupos'!CC5,0)+IF(ISNUMBER('Apostas - Grupos'!CD5),'Apostas - Grupos'!CD5,0)</f>
        <v>0</v>
      </c>
      <c r="F28" s="122">
        <f>IF(ISNUMBER('Apostas - Grupos'!BV5),'Apostas - Grupos'!BV5,0)+IF(ISNUMBER('Apostas - Grupos'!CB5),'Apostas - Grupos'!CB5,0)+IF(ISNUMBER('Apostas - Grupos'!CD5),'Apostas - Grupos'!CE5,0)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f>IF(AND(ISNUMBER('Apostas - Grupos'!BV5),ISNUMBER('Apostas - Grupos'!BW5)),1,0)+IF(AND(ISNUMBER('Apostas - Grupos'!CB5),ISNUMBER('Apostas - Grupos'!CC5)),1,0)+IF(AND(ISNUMBER('Apostas - Grupos'!CD5),ISNUMBER('Apostas - Grupos'!CE5)),1,0)</f>
        <v>0</v>
      </c>
      <c r="L28" s="122">
        <f t="shared" si="3"/>
        <v>0</v>
      </c>
      <c r="M28" s="122">
        <v>36</v>
      </c>
    </row>
    <row r="29" spans="1:13">
      <c r="A29" s="121" t="s">
        <v>120</v>
      </c>
      <c r="B29" s="40" t="s">
        <v>124</v>
      </c>
      <c r="C29" s="122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122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22">
        <f>IF(ISNUMBER('Apostas - Grupos'!BX5),'Apostas - Grupos'!BX5,0)+IF(ISNUMBER('Apostas - Grupos'!BZ5),'Apostas - Grupos'!CA5,0)+IF(ISNUMBER('Apostas - Grupos'!CD5),'Apostas - Grupos'!CE5,0)</f>
        <v>0</v>
      </c>
      <c r="F29" s="122">
        <f>IF(ISNUMBER('Apostas - Grupos'!BX5),'Apostas - Grupos'!BY5,0)+IF(ISNUMBER('Apostas - Grupos'!BZ5),'Apostas - Grupos'!BZ5,0)+IF(ISNUMBER('Apostas - Grupos'!CD5),'Apostas - Grupos'!CD5,0)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f>IF(AND(ISNUMBER('Apostas - Grupos'!BX5),ISNUMBER('Apostas - Grupos'!BY5)),1,0)+IF(AND(ISNUMBER('Apostas - Grupos'!BZ5),ISNUMBER('Apostas - Grupos'!CA5)),1,0)+IF(AND(ISNUMBER('Apostas - Grupos'!CD5),ISNUMBER('Apostas - Grupos'!CE5)),1,0)</f>
        <v>0</v>
      </c>
      <c r="L29" s="122">
        <f t="shared" si="3"/>
        <v>0</v>
      </c>
      <c r="M29" s="122">
        <v>25</v>
      </c>
    </row>
    <row r="30" spans="1:13">
      <c r="A30" s="121" t="s">
        <v>120</v>
      </c>
      <c r="B30" s="40" t="s">
        <v>125</v>
      </c>
      <c r="C30" s="122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22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22">
        <f>IF(ISNUMBER('Apostas - Grupos'!BX5),'Apostas - Grupos'!BY5,0)+IF(ISNUMBER('Apostas - Grupos'!CB5),'Apostas - Grupos'!CB5,0)+IF(ISNUMBER('Apostas - Grupos'!CF5),'Apostas - Grupos'!CF5,0)</f>
        <v>0</v>
      </c>
      <c r="F30" s="122">
        <f>IF(ISNUMBER('Apostas - Grupos'!BX5),'Apostas - Grupos'!BX5,0)+IF(ISNUMBER('Apostas - Grupos'!CB5),'Apostas - Grupos'!CC5,0)+IF(ISNUMBER('Apostas - Grupos'!CF5),'Apostas - Grupos'!CG5,0)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f>IF(AND(ISNUMBER('Apostas - Grupos'!BX5),ISNUMBER('Apostas - Grupos'!BY5)),1,0)+IF(AND(ISNUMBER('Apostas - Grupos'!CB5),ISNUMBER('Apostas - Grupos'!CC5)),1,0)+IF(AND(ISNUMBER('Apostas - Grupos'!CF5),ISNUMBER('Apostas - Grupos'!CG5)),1,0)</f>
        <v>0</v>
      </c>
      <c r="L30" s="122">
        <f t="shared" si="3"/>
        <v>0</v>
      </c>
      <c r="M30" s="122">
        <v>98</v>
      </c>
    </row>
    <row r="31" spans="1:13">
      <c r="A31" s="123" t="s">
        <v>131</v>
      </c>
      <c r="B31" s="45" t="s">
        <v>132</v>
      </c>
      <c r="C31" s="12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0</v>
      </c>
      <c r="D31" s="12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24">
        <f>IF(ISNUMBER('Apostas - Grupos'!CH5),'Apostas - Grupos'!CH5,0)+IF(ISNUMBER('Apostas - Grupos'!CL5),'Apostas - Grupos'!CL5,0)+IF(ISNUMBER('Apostas - Grupos'!CR5),'Apostas - Grupos'!CS5,0)</f>
        <v>0</v>
      </c>
      <c r="F31" s="124">
        <f>IF(ISNUMBER('Apostas - Grupos'!CH5),'Apostas - Grupos'!CI5,0)+IF(ISNUMBER('Apostas - Grupos'!CL5),'Apostas - Grupos'!CM5,0)+IF(ISNUMBER('Apostas - Grupos'!CR5),'Apostas - Grupos'!CR5,0)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f>IF(AND(ISNUMBER('Apostas - Grupos'!CH5),ISNUMBER('Apostas - Grupos'!CI5)),1,0)+IF(AND(ISNUMBER('Apostas - Grupos'!CL5),ISNUMBER('Apostas - Grupos'!CM5)),1,0)+IF(AND(ISNUMBER('Apostas - Grupos'!CR5),ISNUMBER('Apostas - Grupos'!CS5)),1,0)</f>
        <v>0</v>
      </c>
      <c r="L31" s="124">
        <f t="shared" si="3"/>
        <v>0</v>
      </c>
      <c r="M31" s="124">
        <v>4</v>
      </c>
    </row>
    <row r="32" spans="1:13">
      <c r="A32" s="123" t="s">
        <v>131</v>
      </c>
      <c r="B32" s="45" t="s">
        <v>133</v>
      </c>
      <c r="C32" s="12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2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24">
        <f>IF(ISNUMBER('Apostas - Grupos'!CH5),'Apostas - Grupos'!CI5,0)+IF(ISNUMBER('Apostas - Grupos'!CN5),'Apostas - Grupos'!CO5,0)+IF(ISNUMBER('Apostas - Grupos'!CP5),'Apostas - Grupos'!CP5,0)</f>
        <v>0</v>
      </c>
      <c r="F32" s="124">
        <f>IF(ISNUMBER('Apostas - Grupos'!CH5),'Apostas - Grupos'!CH5,0)+IF(ISNUMBER('Apostas - Grupos'!CN5),'Apostas - Grupos'!CN5,0)+IF(ISNUMBER('Apostas - Grupos'!CP5),'Apostas - Grupos'!CQ5,0)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f>IF(AND(ISNUMBER('Apostas - Grupos'!CH5),ISNUMBER('Apostas - Grupos'!CI5)),1,0)+IF(AND(ISNUMBER('Apostas - Grupos'!CN5),ISNUMBER('Apostas - Grupos'!CO5)),1,0)+IF(AND(ISNUMBER('Apostas - Grupos'!CP5),ISNUMBER('Apostas - Grupos'!CQ5)),1,0)</f>
        <v>0</v>
      </c>
      <c r="L32" s="124">
        <f t="shared" si="3"/>
        <v>0</v>
      </c>
      <c r="M32" s="124">
        <v>88</v>
      </c>
    </row>
    <row r="33" spans="1:13">
      <c r="A33" s="123" t="s">
        <v>131</v>
      </c>
      <c r="B33" s="45" t="s">
        <v>135</v>
      </c>
      <c r="C33" s="12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2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24">
        <f>IF(ISNUMBER('Apostas - Grupos'!CJ5),'Apostas - Grupos'!CJ5,0)+IF(ISNUMBER('Apostas - Grupos'!CL5),'Apostas - Grupos'!CM5,0)+IF(ISNUMBER('Apostas - Grupos'!CP5),'Apostas - Grupos'!CQ5,0)</f>
        <v>0</v>
      </c>
      <c r="F33" s="124">
        <f>IF(ISNUMBER('Apostas - Grupos'!CJ5),'Apostas - Grupos'!CK5,0)+IF(ISNUMBER('Apostas - Grupos'!CL5),'Apostas - Grupos'!CL5,0)+IF(ISNUMBER('Apostas - Grupos'!CP5),'Apostas - Grupos'!CP5,0)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f>IF(AND(ISNUMBER('Apostas - Grupos'!CJ5),ISNUMBER('Apostas - Grupos'!CK5)),1,0)+IF(AND(ISNUMBER('Apostas - Grupos'!CL5),ISNUMBER('Apostas - Grupos'!CM5)),1,0)+IF(AND(ISNUMBER('Apostas - Grupos'!CP5),ISNUMBER('Apostas - Grupos'!CQ5)),1,0)</f>
        <v>0</v>
      </c>
      <c r="L33" s="124">
        <f t="shared" si="3"/>
        <v>0</v>
      </c>
      <c r="M33" s="124">
        <v>57</v>
      </c>
    </row>
    <row r="34" spans="1:13">
      <c r="A34" s="123" t="s">
        <v>131</v>
      </c>
      <c r="B34" s="45" t="s">
        <v>136</v>
      </c>
      <c r="C34" s="12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0</v>
      </c>
      <c r="D34" s="12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24">
        <f>IF(ISNUMBER('Apostas - Grupos'!CJ5),'Apostas - Grupos'!CK5,0)+IF(ISNUMBER('Apostas - Grupos'!CN5),'Apostas - Grupos'!CN5,0)+IF(ISNUMBER('Apostas - Grupos'!CR5),'Apostas - Grupos'!CR5,0)</f>
        <v>0</v>
      </c>
      <c r="F34" s="124">
        <f>IF(ISNUMBER('Apostas - Grupos'!CJ5),'Apostas - Grupos'!CJ5,0)+IF(ISNUMBER('Apostas - Grupos'!CN5),'Apostas - Grupos'!CO5,0)+IF(ISNUMBER('Apostas - Grupos'!CR5),'Apostas - Grupos'!CS5,0)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f>IF(AND(ISNUMBER('Apostas - Grupos'!CJ5),ISNUMBER('Apostas - Grupos'!CK5)),1,0)+IF(AND(ISNUMBER('Apostas - Grupos'!CN5),ISNUMBER('Apostas - Grupos'!CO5)),1,0)+IF(AND(ISNUMBER('Apostas - Grupos'!CR5),ISNUMBER('Apostas - Grupos'!CS5)),1,0)</f>
        <v>0</v>
      </c>
      <c r="L34" s="124">
        <f t="shared" si="3"/>
        <v>0</v>
      </c>
      <c r="M34" s="124">
        <v>17</v>
      </c>
    </row>
    <row r="35" spans="1:13">
      <c r="A35" s="125" t="s">
        <v>142</v>
      </c>
      <c r="B35" s="50" t="s">
        <v>143</v>
      </c>
      <c r="C35" s="12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0</v>
      </c>
      <c r="D35" s="12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6">
        <f>IF(ISNUMBER('Apostas - Grupos'!CT5),'Apostas - Grupos'!CT5,0)+IF(ISNUMBER('Apostas - Grupos'!CX5),'Apostas - Grupos'!CX5,0)+IF(ISNUMBER('Apostas - Grupos'!DB5),'Apostas - Grupos'!DC5,0)</f>
        <v>0</v>
      </c>
      <c r="F35" s="126">
        <f>IF(ISNUMBER('Apostas - Grupos'!CT5),'Apostas - Grupos'!CU5,0)+IF(ISNUMBER('Apostas - Grupos'!CX5),'Apostas - Grupos'!CY5,0)+IF(ISNUMBER('Apostas - Grupos'!DB5),'Apostas - Grupos'!DB5,0)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f>IF(AND(ISNUMBER('Apostas - Grupos'!CT5),ISNUMBER('Apostas - Grupos'!CU5)),1,0)+IF(AND(ISNUMBER('Apostas - Grupos'!CX5),ISNUMBER('Apostas - Grupos'!CY5)),1,0)+IF(AND(ISNUMBER('Apostas - Grupos'!DB5),ISNUMBER('Apostas - Grupos'!DC5)),1,0)</f>
        <v>0</v>
      </c>
      <c r="L35" s="126">
        <f t="shared" si="3"/>
        <v>0</v>
      </c>
      <c r="M35" s="126">
        <v>2</v>
      </c>
    </row>
    <row r="36" spans="1:13">
      <c r="A36" s="125" t="s">
        <v>142</v>
      </c>
      <c r="B36" s="50" t="s">
        <v>144</v>
      </c>
      <c r="C36" s="12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12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6">
        <f>IF(ISNUMBER('Apostas - Grupos'!CT5),'Apostas - Grupos'!CU5,0)+IF(ISNUMBER('Apostas - Grupos'!CZ5),'Apostas - Grupos'!DA5,0)+IF(ISNUMBER('Apostas - Grupos'!DD5),'Apostas - Grupos'!DD5,0)</f>
        <v>0</v>
      </c>
      <c r="F36" s="126">
        <f>IF(ISNUMBER('Apostas - Grupos'!CT5),'Apostas - Grupos'!CT5,0)+IF(ISNUMBER('Apostas - Grupos'!CZ5),'Apostas - Grupos'!CZ5,0)+IF(ISNUMBER('Apostas - Grupos'!DD5),'Apostas - Grupos'!DE5,0)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f>IF(AND(ISNUMBER('Apostas - Grupos'!CT5),ISNUMBER('Apostas - Grupos'!CU5)),1,0)+IF(AND(ISNUMBER('Apostas - Grupos'!CZ5),ISNUMBER('Apostas - Grupos'!DA5)),1,0)+IF(AND(ISNUMBER('Apostas - Grupos'!DD5),ISNUMBER('Apostas - Grupos'!DE5)),1,0)</f>
        <v>0</v>
      </c>
      <c r="L36" s="126">
        <f t="shared" si="3"/>
        <v>0</v>
      </c>
      <c r="M36" s="126">
        <v>21</v>
      </c>
    </row>
    <row r="37" spans="1:13">
      <c r="A37" s="125" t="s">
        <v>142</v>
      </c>
      <c r="B37" s="50" t="s">
        <v>146</v>
      </c>
      <c r="C37" s="12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6">
        <f>IF(ISNUMBER('Apostas - Grupos'!CV5),'Apostas - Grupos'!CV5,0)+IF(ISNUMBER('Apostas - Grupos'!CX5),'Apostas - Grupos'!CY5,0)+IF(ISNUMBER('Apostas - Grupos'!DD5),'Apostas - Grupos'!DE5,0)</f>
        <v>0</v>
      </c>
      <c r="F37" s="126">
        <f>IF(ISNUMBER('Apostas - Grupos'!CV5),'Apostas - Grupos'!CW5,0)+IF(ISNUMBER('Apostas - Grupos'!CX5),'Apostas - Grupos'!CX5,0)+IF(ISNUMBER('Apostas - Grupos'!DD5),'Apostas - Grupos'!DD5,0)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f>IF(AND(ISNUMBER('Apostas - Grupos'!CV5),ISNUMBER('Apostas - Grupos'!CW5)),1,0)+IF(AND(ISNUMBER('Apostas - Grupos'!CX5),ISNUMBER('Apostas - Grupos'!CY5)),1,0)+IF(AND(ISNUMBER('Apostas - Grupos'!DD5),ISNUMBER('Apostas - Grupos'!DE5)),1,0)</f>
        <v>0</v>
      </c>
      <c r="L37" s="126">
        <f t="shared" si="3"/>
        <v>0</v>
      </c>
      <c r="M37" s="126">
        <v>65</v>
      </c>
    </row>
    <row r="38" spans="1:13">
      <c r="A38" s="125" t="s">
        <v>142</v>
      </c>
      <c r="B38" s="50" t="s">
        <v>147</v>
      </c>
      <c r="C38" s="12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12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6">
        <f>IF(ISNUMBER('Apostas - Grupos'!CV5),'Apostas - Grupos'!CW5,0)+IF(ISNUMBER('Apostas - Grupos'!CZ5),'Apostas - Grupos'!CZ5,0)+IF(ISNUMBER('Apostas - Grupos'!DB5),'Apostas - Grupos'!DB5,0)</f>
        <v>0</v>
      </c>
      <c r="F38" s="126">
        <f>IF(ISNUMBER('Apostas - Grupos'!CV5),'Apostas - Grupos'!CV5,0)+IF(ISNUMBER('Apostas - Grupos'!CZ5),'Apostas - Grupos'!DA5,0)+IF(ISNUMBER('Apostas - Grupos'!DB5),'Apostas - Grupos'!DC5,0)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f>IF(AND(ISNUMBER('Apostas - Grupos'!CV5),ISNUMBER('Apostas - Grupos'!CW5)),1,0)+IF(AND(ISNUMBER('Apostas - Grupos'!CZ5),ISNUMBER('Apostas - Grupos'!DA5)),1,0)+IF(AND(ISNUMBER('Apostas - Grupos'!DB5),ISNUMBER('Apostas - Grupos'!DC5)),1,0)</f>
        <v>0</v>
      </c>
      <c r="L38" s="126">
        <f t="shared" si="3"/>
        <v>0</v>
      </c>
      <c r="M38" s="126">
        <v>28</v>
      </c>
    </row>
    <row r="39" spans="1:13">
      <c r="A39" s="127" t="s">
        <v>153</v>
      </c>
      <c r="B39" s="55" t="s">
        <v>154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0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8">
        <f>IF(ISNUMBER('Apostas - Grupos'!DF5),'Apostas - Grupos'!DF5,0)+IF(ISNUMBER('Apostas - Grupos'!DJ5),'Apostas - Grupos'!DJ5,0)+IF(ISNUMBER('Apostas - Grupos'!DP5),'Apostas - Grupos'!DQ5,0)</f>
        <v>0</v>
      </c>
      <c r="F39" s="128">
        <f>IF(ISNUMBER('Apostas - Grupos'!DF5),'Apostas - Grupos'!DG5,0)+IF(ISNUMBER('Apostas - Grupos'!DJ5),'Apostas - Grupos'!DK5,0)+IF(ISNUMBER('Apostas - Grupos'!DP5),'Apostas - Grupos'!DP5,0)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0</v>
      </c>
      <c r="L39" s="128">
        <f t="shared" si="3"/>
        <v>0</v>
      </c>
      <c r="M39" s="128">
        <v>1</v>
      </c>
    </row>
    <row r="40" spans="1:13">
      <c r="A40" s="127" t="s">
        <v>153</v>
      </c>
      <c r="B40" s="55" t="s">
        <v>155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8">
        <f>IF(ISNUMBER('Apostas - Grupos'!DF5),'Apostas - Grupos'!DG5,0)+IF(ISNUMBER('Apostas - Grupos'!DL5),'Apostas - Grupos'!DM5,0)+IF(ISNUMBER('Apostas - Grupos'!DN5),'Apostas - Grupos'!DN5,0)</f>
        <v>0</v>
      </c>
      <c r="F40" s="128">
        <f>IF(ISNUMBER('Apostas - Grupos'!DF5),'Apostas - Grupos'!DF5,0)+IF(ISNUMBER('Apostas - Grupos'!DL5),'Apostas - Grupos'!DL5,0)+IF(ISNUMBER('Apostas - Grupos'!DN5),'Apostas - Grupos'!DO5,0)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0</v>
      </c>
      <c r="L40" s="128">
        <f t="shared" si="3"/>
        <v>0</v>
      </c>
      <c r="M40" s="128">
        <v>32</v>
      </c>
    </row>
    <row r="41" spans="1:13">
      <c r="A41" s="127" t="s">
        <v>153</v>
      </c>
      <c r="B41" s="55" t="s">
        <v>157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128">
        <f>IF(ISNUMBER('Apostas - Grupos'!DH5),'Apostas - Grupos'!DH5,0)+IF(ISNUMBER('Apostas - Grupos'!DJ5),'Apostas - Grupos'!DK5,0)+IF(ISNUMBER('Apostas - Grupos'!DN5),'Apostas - Grupos'!DO5,0)</f>
        <v>0</v>
      </c>
      <c r="F41" s="128">
        <f>IF(ISNUMBER('Apostas - Grupos'!DH5),'Apostas - Grupos'!DI5,0)+IF(ISNUMBER('Apostas - Grupos'!DJ5),'Apostas - Grupos'!DJ5,0)+IF(ISNUMBER('Apostas - Grupos'!DN5),'Apostas - Grupos'!DN5,0)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0</v>
      </c>
      <c r="L41" s="128">
        <f t="shared" si="3"/>
        <v>0</v>
      </c>
      <c r="M41" s="128">
        <v>24</v>
      </c>
    </row>
    <row r="42" spans="1:13">
      <c r="A42" s="127" t="s">
        <v>153</v>
      </c>
      <c r="B42" s="55" t="s">
        <v>158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8">
        <f>IF(ISNUMBER('Apostas - Grupos'!DH5),'Apostas - Grupos'!DI5,0)+IF(ISNUMBER('Apostas - Grupos'!DL5),'Apostas - Grupos'!DL5,0)+IF(ISNUMBER('Apostas - Grupos'!DP5),'Apostas - Grupos'!DP5,0)</f>
        <v>0</v>
      </c>
      <c r="F42" s="128">
        <f>IF(ISNUMBER('Apostas - Grupos'!DH5),'Apostas - Grupos'!DH5,0)+IF(ISNUMBER('Apostas - Grupos'!DL5),'Apostas - Grupos'!DM5,0)+IF(ISNUMBER('Apostas - Grupos'!DP5),'Apostas - Grupos'!DQ5,0)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0</v>
      </c>
      <c r="L42" s="128">
        <f t="shared" si="3"/>
        <v>0</v>
      </c>
      <c r="M42" s="128">
        <v>86</v>
      </c>
    </row>
    <row r="43" spans="1:13">
      <c r="A43" s="129" t="s">
        <v>164</v>
      </c>
      <c r="B43" s="60" t="s">
        <v>165</v>
      </c>
      <c r="C43" s="130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0</v>
      </c>
      <c r="D43" s="130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0">
        <f>IF(ISNUMBER('Apostas - Grupos'!DR5),'Apostas - Grupos'!DR5,0)+IF(ISNUMBER('Apostas - Grupos'!DV5),'Apostas - Grupos'!DV5,0)+IF(ISNUMBER('Apostas - Grupos'!DZ5),'Apostas - Grupos'!EA5,0)</f>
        <v>0</v>
      </c>
      <c r="F43" s="130">
        <f>IF(ISNUMBER('Apostas - Grupos'!DR5),'Apostas - Grupos'!DS5,0)+IF(ISNUMBER('Apostas - Grupos'!DV5),'Apostas - Grupos'!DW5,0)+IF(ISNUMBER('Apostas - Grupos'!DZ5),'Apostas - Grupos'!DZ5,0)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f>IF(AND(ISNUMBER('Apostas - Grupos'!DR5),ISNUMBER('Apostas - Grupos'!DS5)),1,0)+IF(AND(ISNUMBER('Apostas - Grupos'!DV5),ISNUMBER('Apostas - Grupos'!DW5)),1,0)+IF(AND(ISNUMBER('Apostas - Grupos'!DZ5),ISNUMBER('Apostas - Grupos'!EA5)),1,0)</f>
        <v>0</v>
      </c>
      <c r="L43" s="130">
        <f t="shared" si="3"/>
        <v>0</v>
      </c>
      <c r="M43" s="130">
        <v>6</v>
      </c>
    </row>
    <row r="44" spans="1:13">
      <c r="A44" s="129" t="s">
        <v>164</v>
      </c>
      <c r="B44" s="60" t="s">
        <v>166</v>
      </c>
      <c r="C44" s="130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0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30">
        <f>IF(ISNUMBER('Apostas - Grupos'!DR5),'Apostas - Grupos'!DS5,0)+IF(ISNUMBER('Apostas - Grupos'!DX5),'Apostas - Grupos'!DY5,0)+IF(ISNUMBER('Apostas - Grupos'!EB5),'Apostas - Grupos'!EB5,0)</f>
        <v>0</v>
      </c>
      <c r="F44" s="130">
        <f>IF(ISNUMBER('Apostas - Grupos'!DR5),'Apostas - Grupos'!DR5,0)+IF(ISNUMBER('Apostas - Grupos'!DX5),'Apostas - Grupos'!DX5,0)+IF(ISNUMBER('Apostas - Grupos'!EB5),'Apostas - Grupos'!EC5,0)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f>IF(AND(ISNUMBER('Apostas - Grupos'!DR5),ISNUMBER('Apostas - Grupos'!DS5)),1,0)+IF(AND(ISNUMBER('Apostas - Grupos'!DX5),ISNUMBER('Apostas - Grupos'!DY5)),1,0)+IF(AND(ISNUMBER('Apostas - Grupos'!EB5),ISNUMBER('Apostas - Grupos'!EC5)),1,0)</f>
        <v>0</v>
      </c>
      <c r="L44" s="130">
        <f t="shared" si="3"/>
        <v>0</v>
      </c>
      <c r="M44" s="130">
        <v>57</v>
      </c>
    </row>
    <row r="45" spans="1:13">
      <c r="A45" s="129" t="s">
        <v>164</v>
      </c>
      <c r="B45" s="60" t="s">
        <v>168</v>
      </c>
      <c r="C45" s="130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0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30">
        <f>IF(ISNUMBER('Apostas - Grupos'!DT5),'Apostas - Grupos'!DT5,0)+IF(ISNUMBER('Apostas - Grupos'!DV5),'Apostas - Grupos'!DW5,0)+IF(ISNUMBER('Apostas - Grupos'!EB5),'Apostas - Grupos'!EC5,0)</f>
        <v>0</v>
      </c>
      <c r="F45" s="130">
        <f>IF(ISNUMBER('Apostas - Grupos'!DT5),'Apostas - Grupos'!DU5,0)+IF(ISNUMBER('Apostas - Grupos'!DV5),'Apostas - Grupos'!DV5,0)+IF(ISNUMBER('Apostas - Grupos'!EB5),'Apostas - Grupos'!EB5,0)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f>IF(AND(ISNUMBER('Apostas - Grupos'!DT5),ISNUMBER('Apostas - Grupos'!DU5)),1,0)+IF(AND(ISNUMBER('Apostas - Grupos'!DV5),ISNUMBER('Apostas - Grupos'!DW5)),1,0)+IF(AND(ISNUMBER('Apostas - Grupos'!EB5),ISNUMBER('Apostas - Grupos'!EC5)),1,0)</f>
        <v>0</v>
      </c>
      <c r="L45" s="130">
        <f t="shared" si="3"/>
        <v>0</v>
      </c>
      <c r="M45" s="130">
        <v>74</v>
      </c>
    </row>
    <row r="46" spans="1:13">
      <c r="A46" s="129" t="s">
        <v>164</v>
      </c>
      <c r="B46" s="60" t="s">
        <v>169</v>
      </c>
      <c r="C46" s="130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0</v>
      </c>
      <c r="D46" s="130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0">
        <f>IF(ISNUMBER('Apostas - Grupos'!DT5),'Apostas - Grupos'!DU5,0)+IF(ISNUMBER('Apostas - Grupos'!DX5),'Apostas - Grupos'!DX5,0)+IF(ISNUMBER('Apostas - Grupos'!DZ5),'Apostas - Grupos'!DZ5,0)</f>
        <v>0</v>
      </c>
      <c r="F46" s="130">
        <f>IF(ISNUMBER('Apostas - Grupos'!DT5),'Apostas - Grupos'!DT5,0)+IF(ISNUMBER('Apostas - Grupos'!DX5),'Apostas - Grupos'!DY5,0)+IF(ISNUMBER('Apostas - Grupos'!DZ5),'Apostas - Grupos'!EA5,0)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f>IF(AND(ISNUMBER('Apostas - Grupos'!DT5),ISNUMBER('Apostas - Grupos'!DU5)),1,0)+IF(AND(ISNUMBER('Apostas - Grupos'!DX5),ISNUMBER('Apostas - Grupos'!DY5)),1,0)+IF(AND(ISNUMBER('Apostas - Grupos'!DZ5),ISNUMBER('Apostas - Grupos'!EA5)),1,0)</f>
        <v>0</v>
      </c>
      <c r="L46" s="130">
        <f t="shared" si="3"/>
        <v>0</v>
      </c>
      <c r="M46" s="130">
        <v>18</v>
      </c>
    </row>
    <row r="47" spans="1:13">
      <c r="A47" s="131" t="s">
        <v>175</v>
      </c>
      <c r="B47" s="65" t="s">
        <v>176</v>
      </c>
      <c r="C47" s="132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0</v>
      </c>
      <c r="D47" s="132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2">
        <f>IF(ISNUMBER('Apostas - Grupos'!ED5),'Apostas - Grupos'!ED5,0)+IF(ISNUMBER('Apostas - Grupos'!EH5),'Apostas - Grupos'!EH5,0)+IF(ISNUMBER('Apostas - Grupos'!EL5),'Apostas - Grupos'!EM5,0)</f>
        <v>0</v>
      </c>
      <c r="F47" s="132">
        <f>IF(ISNUMBER('Apostas - Grupos'!ED5),'Apostas - Grupos'!EE5,0)+IF(ISNUMBER('Apostas - Grupos'!EH5),'Apostas - Grupos'!EI5,0)+IF(ISNUMBER('Apostas - Grupos'!EL5),'Apostas - Grupos'!EL5,0)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f>IF(AND(ISNUMBER('Apostas - Grupos'!ED5),ISNUMBER('Apostas - Grupos'!EE5)),1,0)+IF(AND(ISNUMBER('Apostas - Grupos'!EH5),ISNUMBER('Apostas - Grupos'!EI5)),1,0)+IF(AND(ISNUMBER('Apostas - Grupos'!EL5),ISNUMBER('Apostas - Grupos'!EM5)),1,0)</f>
        <v>0</v>
      </c>
      <c r="L47" s="132">
        <f t="shared" si="3"/>
        <v>0</v>
      </c>
      <c r="M47" s="132">
        <v>9</v>
      </c>
    </row>
    <row r="48" spans="1:13">
      <c r="A48" s="131" t="s">
        <v>175</v>
      </c>
      <c r="B48" s="65" t="s">
        <v>177</v>
      </c>
      <c r="C48" s="132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132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2">
        <f>IF(ISNUMBER('Apostas - Grupos'!ED5),'Apostas - Grupos'!EE5,0)+IF(ISNUMBER('Apostas - Grupos'!EJ5),'Apostas - Grupos'!EK5,0)+IF(ISNUMBER('Apostas - Grupos'!EN5),'Apostas - Grupos'!EN5,0)</f>
        <v>0</v>
      </c>
      <c r="F48" s="132">
        <f>IF(ISNUMBER('Apostas - Grupos'!ED5),'Apostas - Grupos'!ED5,0)+IF(ISNUMBER('Apostas - Grupos'!EJ5),'Apostas - Grupos'!EJ5,0)+IF(ISNUMBER('Apostas - Grupos'!EN5),'Apostas - Grupos'!EO5,0)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f>IF(AND(ISNUMBER('Apostas - Grupos'!ED5),ISNUMBER('Apostas - Grupos'!EE5)),1,0)+IF(AND(ISNUMBER('Apostas - Grupos'!EJ5),ISNUMBER('Apostas - Grupos'!EK5)),1,0)+IF(AND(ISNUMBER('Apostas - Grupos'!EN5),ISNUMBER('Apostas - Grupos'!EO5)),1,0)</f>
        <v>0</v>
      </c>
      <c r="L48" s="132">
        <f t="shared" si="3"/>
        <v>0</v>
      </c>
      <c r="M48" s="132">
        <v>10</v>
      </c>
    </row>
    <row r="49" spans="1:13">
      <c r="A49" s="131" t="s">
        <v>175</v>
      </c>
      <c r="B49" s="65" t="s">
        <v>179</v>
      </c>
      <c r="C49" s="132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32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2">
        <f>IF(ISNUMBER('Apostas - Grupos'!EF5),'Apostas - Grupos'!EF5,0)+IF(ISNUMBER('Apostas - Grupos'!EH5),'Apostas - Grupos'!EI5,0)+IF(ISNUMBER('Apostas - Grupos'!EN5),'Apostas - Grupos'!EO5,0)</f>
        <v>0</v>
      </c>
      <c r="F49" s="132">
        <f>IF(ISNUMBER('Apostas - Grupos'!EF5),'Apostas - Grupos'!EG5,0)+IF(ISNUMBER('Apostas - Grupos'!EH5),'Apostas - Grupos'!EH5,0)+IF(ISNUMBER('Apostas - Grupos'!EN5),'Apostas - Grupos'!EN5,0)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f>IF(AND(ISNUMBER('Apostas - Grupos'!EF5),ISNUMBER('Apostas - Grupos'!EG5)),1,0)+IF(AND(ISNUMBER('Apostas - Grupos'!EH5),ISNUMBER('Apostas - Grupos'!EI5)),1,0)+IF(AND(ISNUMBER('Apostas - Grupos'!EN5),ISNUMBER('Apostas - Grupos'!EO5)),1,0)</f>
        <v>0</v>
      </c>
      <c r="L49" s="132">
        <f t="shared" si="3"/>
        <v>0</v>
      </c>
      <c r="M49" s="132">
        <v>52</v>
      </c>
    </row>
    <row r="50" spans="1:13">
      <c r="A50" s="131" t="s">
        <v>175</v>
      </c>
      <c r="B50" s="65" t="s">
        <v>180</v>
      </c>
      <c r="C50" s="132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2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2">
        <f>IF(ISNUMBER('Apostas - Grupos'!EF5),'Apostas - Grupos'!EG5,0)+IF(ISNUMBER('Apostas - Grupos'!EJ5),'Apostas - Grupos'!EJ5,0)+IF(ISNUMBER('Apostas - Grupos'!EL5),'Apostas - Grupos'!EL5,0)</f>
        <v>0</v>
      </c>
      <c r="F50" s="132">
        <f>IF(ISNUMBER('Apostas - Grupos'!EF5),'Apostas - Grupos'!EF5,0)+IF(ISNUMBER('Apostas - Grupos'!EJ5),'Apostas - Grupos'!EK5,0)+IF(ISNUMBER('Apostas - Grupos'!EL5),'Apostas - Grupos'!EM5,0)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f>IF(AND(ISNUMBER('Apostas - Grupos'!EF5),ISNUMBER('Apostas - Grupos'!EG5)),1,0)+IF(AND(ISNUMBER('Apostas - Grupos'!EJ5),ISNUMBER('Apostas - Grupos'!EK5)),1,0)+IF(AND(ISNUMBER('Apostas - Grupos'!EL5),ISNUMBER('Apostas - Grupos'!EM5)),1,0)</f>
        <v>0</v>
      </c>
      <c r="L50" s="132">
        <f t="shared" si="3"/>
        <v>0</v>
      </c>
      <c r="M50" s="132">
        <v>72</v>
      </c>
    </row>
    <row r="53" spans="1:13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3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3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3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3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3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3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3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3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3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3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3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>
      <c r="A66" s="148" t="s">
        <v>54</v>
      </c>
      <c r="B66" s="149" t="str">
        <f>IFERROR(INDEX($B$3:$B$6,MATCH(3,$J$3:$J$6,0)),"?")</f>
        <v>Tchequia</v>
      </c>
      <c r="C66" s="149">
        <f>IFERROR(INDEX($I$3:$I$6,MATCH(3,$J$3:$J$6,0)),0)</f>
        <v>200000462</v>
      </c>
      <c r="D66" s="150">
        <f t="shared" ref="D66:D77" si="4">RANK(C66,$C$66:$C$77,0)</f>
        <v>7</v>
      </c>
    </row>
    <row r="67" spans="1:4">
      <c r="A67" s="151" t="s">
        <v>65</v>
      </c>
      <c r="B67" s="149" t="str">
        <f>IFERROR(INDEX($B$7:$B$10,MATCH(3,$J$7:$J$10,0)),"?")</f>
        <v>Canada</v>
      </c>
      <c r="C67" s="149">
        <f>IFERROR(INDEX($I$7:$I$10,MATCH(3,$J$7:$J$10,0)),0)</f>
        <v>200000456</v>
      </c>
      <c r="D67" s="150">
        <f t="shared" si="4"/>
        <v>9</v>
      </c>
    </row>
    <row r="68" spans="1:4">
      <c r="A68" s="152" t="s">
        <v>76</v>
      </c>
      <c r="B68" s="149" t="str">
        <f>IFERROR(INDEX($B$11:$B$14,MATCH(3,$J$11:$J$14,0)),"?")</f>
        <v>Escocia</v>
      </c>
      <c r="C68" s="149">
        <f>IFERROR(INDEX($I$11:$I$14,MATCH(3,$J$11:$J$14,0)),0)</f>
        <v>200000473</v>
      </c>
      <c r="D68" s="150">
        <f t="shared" si="4"/>
        <v>2</v>
      </c>
    </row>
    <row r="69" spans="1:4">
      <c r="A69" s="153" t="s">
        <v>87</v>
      </c>
      <c r="B69" s="149" t="str">
        <f>IFERROR(INDEX($B$15:$B$18,MATCH(3,$J$15:$J$18,0)),"?")</f>
        <v>Turquia</v>
      </c>
      <c r="C69" s="149">
        <f>IFERROR(INDEX($I$15:$I$18,MATCH(3,$J$15:$J$18,0)),0)</f>
        <v>200000464</v>
      </c>
      <c r="D69" s="150">
        <f t="shared" si="4"/>
        <v>5</v>
      </c>
    </row>
    <row r="70" spans="1:4">
      <c r="A70" s="154" t="s">
        <v>98</v>
      </c>
      <c r="B70" s="149" t="str">
        <f>IFERROR(INDEX($B$19:$B$22,MATCH(3,$J$19:$J$22,0)),"?")</f>
        <v>Costa do Marfim</v>
      </c>
      <c r="C70" s="149">
        <f>IFERROR(INDEX($I$19:$I$22,MATCH(3,$J$19:$J$22,0)),0)</f>
        <v>200000459</v>
      </c>
      <c r="D70" s="150">
        <f t="shared" si="4"/>
        <v>8</v>
      </c>
    </row>
    <row r="71" spans="1:4">
      <c r="A71" s="155" t="s">
        <v>109</v>
      </c>
      <c r="B71" s="149" t="str">
        <f>IFERROR(INDEX($B$23:$B$26,MATCH(3,$J$23:$J$26,0)),"?")</f>
        <v>Suecia</v>
      </c>
      <c r="C71" s="149">
        <f>IFERROR(INDEX($I$23:$I$26,MATCH(3,$J$23:$J$26,0)),0)</f>
        <v>200000474</v>
      </c>
      <c r="D71" s="150">
        <f t="shared" si="4"/>
        <v>1</v>
      </c>
    </row>
    <row r="72" spans="1:4">
      <c r="A72" s="156" t="s">
        <v>120</v>
      </c>
      <c r="B72" s="149" t="str">
        <f>IFERROR(INDEX($B$27:$B$30,MATCH(3,$J$27:$J$30,0)),"?")</f>
        <v>Egito</v>
      </c>
      <c r="C72" s="149">
        <f>IFERROR(INDEX($I$27:$I$30,MATCH(3,$J$27:$J$30,0)),0)</f>
        <v>200000464</v>
      </c>
      <c r="D72" s="150">
        <f t="shared" si="4"/>
        <v>5</v>
      </c>
    </row>
    <row r="73" spans="1:4">
      <c r="A73" s="157" t="s">
        <v>131</v>
      </c>
      <c r="B73" s="149" t="str">
        <f>IFERROR(INDEX($B$31:$B$34,MATCH(3,$J$31:$J$34,0)),"?")</f>
        <v>Arabia Saudita</v>
      </c>
      <c r="C73" s="149">
        <f>IFERROR(INDEX($I$31:$I$34,MATCH(3,$J$31:$J$34,0)),0)</f>
        <v>200000443</v>
      </c>
      <c r="D73" s="150">
        <f t="shared" si="4"/>
        <v>11</v>
      </c>
    </row>
    <row r="74" spans="1:4">
      <c r="A74" s="158" t="s">
        <v>142</v>
      </c>
      <c r="B74" s="149" t="str">
        <f>IFERROR(INDEX($B$35:$B$38,MATCH(3,$J$35:$J$38,0)),"?")</f>
        <v>Noruega</v>
      </c>
      <c r="C74" s="149">
        <f>IFERROR(INDEX($I$35:$I$38,MATCH(3,$J$35:$J$38,0)),0)</f>
        <v>200000472</v>
      </c>
      <c r="D74" s="150">
        <f t="shared" si="4"/>
        <v>3</v>
      </c>
    </row>
    <row r="75" spans="1:4">
      <c r="A75" s="159" t="s">
        <v>153</v>
      </c>
      <c r="B75" s="149" t="str">
        <f>IFERROR(INDEX($B$39:$B$42,MATCH(3,$J$39:$J$42,0)),"?")</f>
        <v>Argelia</v>
      </c>
      <c r="C75" s="149">
        <f>IFERROR(INDEX($I$39:$I$42,MATCH(3,$J$39:$J$42,0)),0)</f>
        <v>200000468</v>
      </c>
      <c r="D75" s="150">
        <f t="shared" si="4"/>
        <v>4</v>
      </c>
    </row>
    <row r="76" spans="1:4">
      <c r="A76" s="160" t="s">
        <v>164</v>
      </c>
      <c r="B76" s="149" t="str">
        <f>IFERROR(INDEX($B$43:$B$46,MATCH(3,$J$43:$J$46,0)),"?")</f>
        <v>RD Congo</v>
      </c>
      <c r="C76" s="149">
        <f>IFERROR(INDEX($I$43:$I$46,MATCH(3,$J$43:$J$46,0)),0)</f>
        <v>200000443</v>
      </c>
      <c r="D76" s="150">
        <f t="shared" si="4"/>
        <v>11</v>
      </c>
    </row>
    <row r="77" spans="1:4">
      <c r="A77" s="161" t="s">
        <v>175</v>
      </c>
      <c r="B77" s="149" t="str">
        <f>IFERROR(INDEX($B$47:$B$50,MATCH(3,$J$47:$J$50,0)),"?")</f>
        <v>Gana</v>
      </c>
      <c r="C77" s="149">
        <f>IFERROR(INDEX($I$47:$I$50,MATCH(3,$J$47:$J$50,0)),0)</f>
        <v>200000448</v>
      </c>
      <c r="D77" s="150">
        <f t="shared" si="4"/>
        <v>10</v>
      </c>
    </row>
    <row r="79" spans="1:4">
      <c r="A79" s="163">
        <v>1</v>
      </c>
      <c r="B79" s="164" t="str">
        <f>IFERROR(INDEX($B$66:$B$77,MATCH(1,$D$66:$D$77,0)),"?")</f>
        <v>Suecia</v>
      </c>
    </row>
    <row r="80" spans="1:4">
      <c r="A80" s="163">
        <v>2</v>
      </c>
      <c r="B80" s="164" t="str">
        <f>IFERROR(INDEX($B$66:$B$77,MATCH(2,$D$66:$D$77,0)),"?")</f>
        <v>Escocia</v>
      </c>
    </row>
    <row r="81" spans="1:13">
      <c r="A81" s="163">
        <v>3</v>
      </c>
      <c r="B81" s="164" t="str">
        <f>IFERROR(INDEX($B$66:$B$77,MATCH(3,$D$66:$D$77,0)),"?")</f>
        <v>Noruega</v>
      </c>
    </row>
    <row r="82" spans="1:13">
      <c r="A82" s="163">
        <v>4</v>
      </c>
      <c r="B82" s="164" t="str">
        <f>IFERROR(INDEX($B$66:$B$77,MATCH(4,$D$66:$D$77,0)),"?")</f>
        <v>Argelia</v>
      </c>
    </row>
    <row r="83" spans="1:13">
      <c r="A83" s="163">
        <v>5</v>
      </c>
      <c r="B83" s="164" t="str">
        <f>IFERROR(INDEX($B$66:$B$77,MATCH(5,$D$66:$D$77,0)),"?")</f>
        <v>Turquia</v>
      </c>
    </row>
    <row r="84" spans="1:13">
      <c r="A84" s="163">
        <v>6</v>
      </c>
      <c r="B84" s="164" t="str">
        <f>IFERROR(INDEX($B$66:$B$77,MATCH(6,$D$66:$D$77,0)),"?")</f>
        <v>?</v>
      </c>
    </row>
    <row r="85" spans="1:13">
      <c r="A85" s="163">
        <v>7</v>
      </c>
      <c r="B85" s="164" t="str">
        <f>IFERROR(INDEX($B$66:$B$77,MATCH(7,$D$66:$D$77,0)),"?")</f>
        <v>Tchequia</v>
      </c>
    </row>
    <row r="86" spans="1:13">
      <c r="A86" s="163">
        <v>8</v>
      </c>
      <c r="B86" s="164" t="str">
        <f>IFERROR(INDEX($B$66:$B$77,MATCH(8,$D$66:$D$77,0)),"?")</f>
        <v>Costa do Marfim</v>
      </c>
    </row>
    <row r="88" spans="1:13">
      <c r="A88" s="165" t="s">
        <v>434</v>
      </c>
      <c r="B88" s="166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  <row r="92" spans="1:13">
      <c r="A92" s="171" t="s">
        <v>953</v>
      </c>
    </row>
    <row r="93" spans="1:13">
      <c r="A93" s="109" t="s">
        <v>54</v>
      </c>
      <c r="B93" s="9" t="s">
        <v>55</v>
      </c>
      <c r="C93" s="110">
        <f>IF(AND(ISNUMBER('Apostas - Grupos'!B6),ISNUMBER('Apostas - Grupos'!C6)),IF('Apostas - Grupos'!B6&gt;'Apostas - Grupos'!C6,1,0),0)+IF(AND(ISNUMBER('Apostas - Grupos'!H6),ISNUMBER('Apostas - Grupos'!I6)),IF('Apostas - Grupos'!H6&gt;'Apostas - Grupos'!I6,1,0),0)+IF(AND(ISNUMBER('Apostas - Grupos'!J6),ISNUMBER('Apostas - Grupos'!K6)),IF('Apostas - Grupos'!K6&gt;'Apostas - Grupos'!J6,1,0),0)</f>
        <v>0</v>
      </c>
      <c r="D93" s="110">
        <f>IF(AND(ISNUMBER('Apostas - Grupos'!B6),ISNUMBER('Apostas - Grupos'!C6)),IF('Apostas - Grupos'!B6='Apostas - Grupos'!C6,1,0),0)+IF(AND(ISNUMBER('Apostas - Grupos'!H6),ISNUMBER('Apostas - Grupos'!I6)),IF('Apostas - Grupos'!H6='Apostas - Grupos'!I6,1,0),0)+IF(AND(ISNUMBER('Apostas - Grupos'!J6),ISNUMBER('Apostas - Grupos'!K6)),IF('Apostas - Grupos'!J6='Apostas - Grupos'!K6,1,0),0)</f>
        <v>0</v>
      </c>
      <c r="E93" s="110">
        <f>IF(ISNUMBER('Apostas - Grupos'!B6),'Apostas - Grupos'!B6,0)+IF(ISNUMBER('Apostas - Grupos'!H6),'Apostas - Grupos'!H6,0)+IF(ISNUMBER('Apostas - Grupos'!J6),'Apostas - Grupos'!K6,0)</f>
        <v>0</v>
      </c>
      <c r="F93" s="110">
        <f>IF(ISNUMBER('Apostas - Grupos'!B6),'Apostas - Grupos'!C6,0)+IF(ISNUMBER('Apostas - Grupos'!H6),'Apostas - Grupos'!I6,0)+IF(ISNUMBER('Apostas - Grupos'!J6),'Apostas - Grupos'!J6,0)</f>
        <v>0</v>
      </c>
      <c r="G93" s="110">
        <f t="shared" ref="G93:G140" si="5">E93-F93</f>
        <v>0</v>
      </c>
      <c r="H93" s="8">
        <f t="shared" ref="H93:H140" si="6">3*C93+D93</f>
        <v>0</v>
      </c>
      <c r="I93" s="110">
        <f t="shared" ref="I93:I140" si="7">H93*1000000000+(G93+200)*1000000+E93*1000+(500-M93)</f>
        <v>200000484</v>
      </c>
      <c r="J93" s="8">
        <f>RANK(I93,$I$93:$I$96,0)</f>
        <v>1</v>
      </c>
      <c r="K93" s="110">
        <f>IF(AND(ISNUMBER('Apostas - Grupos'!B6),ISNUMBER('Apostas - Grupos'!C6)),1,0)+IF(AND(ISNUMBER('Apostas - Grupos'!H6),ISNUMBER('Apostas - Grupos'!I6)),1,0)+IF(AND(ISNUMBER('Apostas - Grupos'!J6),ISNUMBER('Apostas - Grupos'!K6)),1,0)</f>
        <v>0</v>
      </c>
      <c r="L93" s="110">
        <f t="shared" ref="L93:L140" si="8">K93-C93-D93</f>
        <v>0</v>
      </c>
      <c r="M93" s="110">
        <v>16</v>
      </c>
    </row>
    <row r="94" spans="1:13">
      <c r="A94" s="109" t="s">
        <v>54</v>
      </c>
      <c r="B94" s="9" t="s">
        <v>56</v>
      </c>
      <c r="C94" s="110">
        <f>IF(AND(ISNUMBER('Apostas - Grupos'!B6),ISNUMBER('Apostas - Grupos'!C6)),IF('Apostas - Grupos'!C6&gt;'Apostas - Grupos'!B6,1,0),0)+IF(AND(ISNUMBER('Apostas - Grupos'!F6),ISNUMBER('Apostas - Grupos'!G6)),IF('Apostas - Grupos'!G6&gt;'Apostas - Grupos'!F6,1,0),0)+IF(AND(ISNUMBER('Apostas - Grupos'!L6),ISNUMBER('Apostas - Grupos'!M6)),IF('Apostas - Grupos'!L6&gt;'Apostas - Grupos'!M6,1,0),0)</f>
        <v>0</v>
      </c>
      <c r="D94" s="110">
        <f>IF(AND(ISNUMBER('Apostas - Grupos'!B6),ISNUMBER('Apostas - Grupos'!C6)),IF('Apostas - Grupos'!B6='Apostas - Grupos'!C6,1,0),0)+IF(AND(ISNUMBER('Apostas - Grupos'!F6),ISNUMBER('Apostas - Grupos'!G6)),IF('Apostas - Grupos'!F6='Apostas - Grupos'!G6,1,0),0)+IF(AND(ISNUMBER('Apostas - Grupos'!L6),ISNUMBER('Apostas - Grupos'!M6)),IF('Apostas - Grupos'!L6='Apostas - Grupos'!M6,1,0),0)</f>
        <v>0</v>
      </c>
      <c r="E94" s="110">
        <f>IF(ISNUMBER('Apostas - Grupos'!B6),'Apostas - Grupos'!C6,0)+IF(ISNUMBER('Apostas - Grupos'!F6),'Apostas - Grupos'!G6,0)+IF(ISNUMBER('Apostas - Grupos'!L6),'Apostas - Grupos'!L6,0)</f>
        <v>0</v>
      </c>
      <c r="F94" s="110">
        <f>IF(ISNUMBER('Apostas - Grupos'!B6),'Apostas - Grupos'!B6,0)+IF(ISNUMBER('Apostas - Grupos'!F6),'Apostas - Grupos'!F6,0)+IF(ISNUMBER('Apostas - Grupos'!L6),'Apostas - Grupos'!M6,0)</f>
        <v>0</v>
      </c>
      <c r="G94" s="110">
        <f t="shared" si="5"/>
        <v>0</v>
      </c>
      <c r="H94" s="8">
        <f t="shared" si="6"/>
        <v>0</v>
      </c>
      <c r="I94" s="110">
        <f t="shared" si="7"/>
        <v>200000437</v>
      </c>
      <c r="J94" s="8">
        <f>RANK(I94,$I$93:$I$96,0)</f>
        <v>4</v>
      </c>
      <c r="K94" s="110">
        <f>IF(AND(ISNUMBER('Apostas - Grupos'!B6),ISNUMBER('Apostas - Grupos'!C6)),1,0)+IF(AND(ISNUMBER('Apostas - Grupos'!F6),ISNUMBER('Apostas - Grupos'!G6)),1,0)+IF(AND(ISNUMBER('Apostas - Grupos'!L6),ISNUMBER('Apostas - Grupos'!M6)),1,0)</f>
        <v>0</v>
      </c>
      <c r="L94" s="110">
        <f t="shared" si="8"/>
        <v>0</v>
      </c>
      <c r="M94" s="110">
        <v>63</v>
      </c>
    </row>
    <row r="95" spans="1:13">
      <c r="A95" s="109" t="s">
        <v>54</v>
      </c>
      <c r="B95" s="9" t="s">
        <v>58</v>
      </c>
      <c r="C95" s="110">
        <f>IF(AND(ISNUMBER('Apostas - Grupos'!D6),ISNUMBER('Apostas - Grupos'!E6)),IF('Apostas - Grupos'!D6&gt;'Apostas - Grupos'!E6,1,0),0)+IF(AND(ISNUMBER('Apostas - Grupos'!H6),ISNUMBER('Apostas - Grupos'!I6)),IF('Apostas - Grupos'!I6&gt;'Apostas - Grupos'!H6,1,0),0)+IF(AND(ISNUMBER('Apostas - Grupos'!L6),ISNUMBER('Apostas - Grupos'!M6)),IF('Apostas - Grupos'!M6&gt;'Apostas - Grupos'!L6,1,0),0)</f>
        <v>0</v>
      </c>
      <c r="D95" s="110">
        <f>IF(AND(ISNUMBER('Apostas - Grupos'!D6),ISNUMBER('Apostas - Grupos'!E6)),IF('Apostas - Grupos'!D6='Apostas - Grupos'!E6,1,0),0)+IF(AND(ISNUMBER('Apostas - Grupos'!H6),ISNUMBER('Apostas - Grupos'!I6)),IF('Apostas - Grupos'!H6='Apostas - Grupos'!I6,1,0),0)+IF(AND(ISNUMBER('Apostas - Grupos'!L6),ISNUMBER('Apostas - Grupos'!M6)),IF('Apostas - Grupos'!L6='Apostas - Grupos'!M6,1,0),0)</f>
        <v>0</v>
      </c>
      <c r="E95" s="110">
        <f>IF(ISNUMBER('Apostas - Grupos'!D6),'Apostas - Grupos'!D6,0)+IF(ISNUMBER('Apostas - Grupos'!H6),'Apostas - Grupos'!I6,0)+IF(ISNUMBER('Apostas - Grupos'!L6),'Apostas - Grupos'!M6,0)</f>
        <v>0</v>
      </c>
      <c r="F95" s="110">
        <f>IF(ISNUMBER('Apostas - Grupos'!D6),'Apostas - Grupos'!E6,0)+IF(ISNUMBER('Apostas - Grupos'!H6),'Apostas - Grupos'!H6,0)+IF(ISNUMBER('Apostas - Grupos'!L6),'Apostas - Grupos'!L6,0)</f>
        <v>0</v>
      </c>
      <c r="G95" s="110">
        <f t="shared" si="5"/>
        <v>0</v>
      </c>
      <c r="H95" s="8">
        <f t="shared" si="6"/>
        <v>0</v>
      </c>
      <c r="I95" s="110">
        <f t="shared" si="7"/>
        <v>200000477</v>
      </c>
      <c r="J95" s="8">
        <f>RANK(I95,$I$93:$I$96,0)</f>
        <v>2</v>
      </c>
      <c r="K95" s="110">
        <f>IF(AND(ISNUMBER('Apostas - Grupos'!D6),ISNUMBER('Apostas - Grupos'!E6)),1,0)+IF(AND(ISNUMBER('Apostas - Grupos'!H6),ISNUMBER('Apostas - Grupos'!I6)),1,0)+IF(AND(ISNUMBER('Apostas - Grupos'!L6),ISNUMBER('Apostas - Grupos'!M6)),1,0)</f>
        <v>0</v>
      </c>
      <c r="L95" s="110">
        <f t="shared" si="8"/>
        <v>0</v>
      </c>
      <c r="M95" s="110">
        <v>23</v>
      </c>
    </row>
    <row r="96" spans="1:13">
      <c r="A96" s="109" t="s">
        <v>54</v>
      </c>
      <c r="B96" s="9" t="s">
        <v>59</v>
      </c>
      <c r="C96" s="110">
        <f>IF(AND(ISNUMBER('Apostas - Grupos'!D6),ISNUMBER('Apostas - Grupos'!E6)),IF('Apostas - Grupos'!E6&gt;'Apostas - Grupos'!D6,1,0),0)+IF(AND(ISNUMBER('Apostas - Grupos'!F6),ISNUMBER('Apostas - Grupos'!G6)),IF('Apostas - Grupos'!F6&gt;'Apostas - Grupos'!G6,1,0),0)+IF(AND(ISNUMBER('Apostas - Grupos'!J6),ISNUMBER('Apostas - Grupos'!K6)),IF('Apostas - Grupos'!J6&gt;'Apostas - Grupos'!K6,1,0),0)</f>
        <v>0</v>
      </c>
      <c r="D96" s="110">
        <f>IF(AND(ISNUMBER('Apostas - Grupos'!D6),ISNUMBER('Apostas - Grupos'!E6)),IF('Apostas - Grupos'!D6='Apostas - Grupos'!E6,1,0),0)+IF(AND(ISNUMBER('Apostas - Grupos'!F6),ISNUMBER('Apostas - Grupos'!G6)),IF('Apostas - Grupos'!F6='Apostas - Grupos'!G6,1,0),0)+IF(AND(ISNUMBER('Apostas - Grupos'!J6),ISNUMBER('Apostas - Grupos'!K6)),IF('Apostas - Grupos'!J6='Apostas - Grupos'!K6,1,0),0)</f>
        <v>0</v>
      </c>
      <c r="E96" s="110">
        <f>IF(ISNUMBER('Apostas - Grupos'!D6),'Apostas - Grupos'!E6,0)+IF(ISNUMBER('Apostas - Grupos'!F6),'Apostas - Grupos'!F6,0)+IF(ISNUMBER('Apostas - Grupos'!J6),'Apostas - Grupos'!J6,0)</f>
        <v>0</v>
      </c>
      <c r="F96" s="110">
        <f>IF(ISNUMBER('Apostas - Grupos'!D6),'Apostas - Grupos'!D6,0)+IF(ISNUMBER('Apostas - Grupos'!F6),'Apostas - Grupos'!G6,0)+IF(ISNUMBER('Apostas - Grupos'!J6),'Apostas - Grupos'!K6,0)</f>
        <v>0</v>
      </c>
      <c r="G96" s="110">
        <f t="shared" si="5"/>
        <v>0</v>
      </c>
      <c r="H96" s="8">
        <f t="shared" si="6"/>
        <v>0</v>
      </c>
      <c r="I96" s="110">
        <f t="shared" si="7"/>
        <v>200000462</v>
      </c>
      <c r="J96" s="8">
        <f>RANK(I96,$I$93:$I$96,0)</f>
        <v>3</v>
      </c>
      <c r="K96" s="110">
        <f>IF(AND(ISNUMBER('Apostas - Grupos'!D6),ISNUMBER('Apostas - Grupos'!E6)),1,0)+IF(AND(ISNUMBER('Apostas - Grupos'!F6),ISNUMBER('Apostas - Grupos'!G6)),1,0)+IF(AND(ISNUMBER('Apostas - Grupos'!J6),ISNUMBER('Apostas - Grupos'!K6)),1,0)</f>
        <v>0</v>
      </c>
      <c r="L96" s="110">
        <f t="shared" si="8"/>
        <v>0</v>
      </c>
      <c r="M96" s="110">
        <v>38</v>
      </c>
    </row>
    <row r="97" spans="1:13">
      <c r="A97" s="111" t="s">
        <v>65</v>
      </c>
      <c r="B97" s="15" t="s">
        <v>66</v>
      </c>
      <c r="C97" s="112">
        <f>IF(AND(ISNUMBER('Apostas - Grupos'!N6),ISNUMBER('Apostas - Grupos'!O6)),IF('Apostas - Grupos'!N6&gt;'Apostas - Grupos'!O6,1,0),0)+IF(AND(ISNUMBER('Apostas - Grupos'!T6),ISNUMBER('Apostas - Grupos'!U6)),IF('Apostas - Grupos'!T6&gt;'Apostas - Grupos'!U6,1,0),0)+IF(AND(ISNUMBER('Apostas - Grupos'!V6),ISNUMBER('Apostas - Grupos'!W6)),IF('Apostas - Grupos'!W6&gt;'Apostas - Grupos'!V6,1,0),0)</f>
        <v>0</v>
      </c>
      <c r="D97" s="112">
        <f>IF(AND(ISNUMBER('Apostas - Grupos'!N6),ISNUMBER('Apostas - Grupos'!O6)),IF('Apostas - Grupos'!N6='Apostas - Grupos'!O6,1,0),0)+IF(AND(ISNUMBER('Apostas - Grupos'!T6),ISNUMBER('Apostas - Grupos'!U6)),IF('Apostas - Grupos'!T6='Apostas - Grupos'!U6,1,0),0)+IF(AND(ISNUMBER('Apostas - Grupos'!V6),ISNUMBER('Apostas - Grupos'!W6)),IF('Apostas - Grupos'!V6='Apostas - Grupos'!W6,1,0),0)</f>
        <v>0</v>
      </c>
      <c r="E97" s="112">
        <f>IF(ISNUMBER('Apostas - Grupos'!N6),'Apostas - Grupos'!N6,0)+IF(ISNUMBER('Apostas - Grupos'!T6),'Apostas - Grupos'!T6,0)+IF(ISNUMBER('Apostas - Grupos'!V6),'Apostas - Grupos'!W6,0)</f>
        <v>0</v>
      </c>
      <c r="F97" s="112">
        <f>IF(ISNUMBER('Apostas - Grupos'!N6),'Apostas - Grupos'!O6,0)+IF(ISNUMBER('Apostas - Grupos'!T6),'Apostas - Grupos'!U6,0)+IF(ISNUMBER('Apostas - Grupos'!V6),'Apostas - Grupos'!V6,0)</f>
        <v>0</v>
      </c>
      <c r="G97" s="112">
        <f t="shared" si="5"/>
        <v>0</v>
      </c>
      <c r="H97" s="14">
        <f t="shared" si="6"/>
        <v>0</v>
      </c>
      <c r="I97" s="112">
        <f t="shared" si="7"/>
        <v>200000456</v>
      </c>
      <c r="J97" s="14">
        <f>RANK(I97,$I$97:$I$100,0)</f>
        <v>3</v>
      </c>
      <c r="K97" s="112">
        <f>IF(AND(ISNUMBER('Apostas - Grupos'!N6),ISNUMBER('Apostas - Grupos'!O6)),1,0)+IF(AND(ISNUMBER('Apostas - Grupos'!T6),ISNUMBER('Apostas - Grupos'!U6)),1,0)+IF(AND(ISNUMBER('Apostas - Grupos'!V6),ISNUMBER('Apostas - Grupos'!W6)),1,0)</f>
        <v>0</v>
      </c>
      <c r="L97" s="112">
        <f t="shared" si="8"/>
        <v>0</v>
      </c>
      <c r="M97" s="112">
        <v>44</v>
      </c>
    </row>
    <row r="98" spans="1:13">
      <c r="A98" s="111" t="s">
        <v>65</v>
      </c>
      <c r="B98" s="15" t="s">
        <v>67</v>
      </c>
      <c r="C98" s="112">
        <f>IF(AND(ISNUMBER('Apostas - Grupos'!N6),ISNUMBER('Apostas - Grupos'!O6)),IF('Apostas - Grupos'!O6&gt;'Apostas - Grupos'!N6,1,0),0)+IF(AND(ISNUMBER('Apostas - Grupos'!R6),ISNUMBER('Apostas - Grupos'!S6)),IF('Apostas - Grupos'!S6&gt;'Apostas - Grupos'!R6,1,0),0)+IF(AND(ISNUMBER('Apostas - Grupos'!X6),ISNUMBER('Apostas - Grupos'!Y6)),IF('Apostas - Grupos'!X6&gt;'Apostas - Grupos'!Y6,1,0),0)</f>
        <v>0</v>
      </c>
      <c r="D98" s="112">
        <f>IF(AND(ISNUMBER('Apostas - Grupos'!N6),ISNUMBER('Apostas - Grupos'!O6)),IF('Apostas - Grupos'!N6='Apostas - Grupos'!O6,1,0),0)+IF(AND(ISNUMBER('Apostas - Grupos'!R6),ISNUMBER('Apostas - Grupos'!S6)),IF('Apostas - Grupos'!R6='Apostas - Grupos'!S6,1,0),0)+IF(AND(ISNUMBER('Apostas - Grupos'!X6),ISNUMBER('Apostas - Grupos'!Y6)),IF('Apostas - Grupos'!X6='Apostas - Grupos'!Y6,1,0),0)</f>
        <v>0</v>
      </c>
      <c r="E98" s="112">
        <f>IF(ISNUMBER('Apostas - Grupos'!N6),'Apostas - Grupos'!O6,0)+IF(ISNUMBER('Apostas - Grupos'!R6),'Apostas - Grupos'!S6,0)+IF(ISNUMBER('Apostas - Grupos'!X6),'Apostas - Grupos'!X6,0)</f>
        <v>0</v>
      </c>
      <c r="F98" s="112">
        <f>IF(ISNUMBER('Apostas - Grupos'!N6),'Apostas - Grupos'!N6,0)+IF(ISNUMBER('Apostas - Grupos'!R6),'Apostas - Grupos'!R6,0)+IF(ISNUMBER('Apostas - Grupos'!X6),'Apostas - Grupos'!Y6,0)</f>
        <v>0</v>
      </c>
      <c r="G98" s="112">
        <f t="shared" si="5"/>
        <v>0</v>
      </c>
      <c r="H98" s="14">
        <f t="shared" si="6"/>
        <v>0</v>
      </c>
      <c r="I98" s="112">
        <f t="shared" si="7"/>
        <v>200000445</v>
      </c>
      <c r="J98" s="14">
        <f>RANK(I98,$I$97:$I$100,0)</f>
        <v>4</v>
      </c>
      <c r="K98" s="112">
        <f>IF(AND(ISNUMBER('Apostas - Grupos'!N6),ISNUMBER('Apostas - Grupos'!O6)),1,0)+IF(AND(ISNUMBER('Apostas - Grupos'!R6),ISNUMBER('Apostas - Grupos'!S6)),1,0)+IF(AND(ISNUMBER('Apostas - Grupos'!X6),ISNUMBER('Apostas - Grupos'!Y6)),1,0)</f>
        <v>0</v>
      </c>
      <c r="L98" s="112">
        <f t="shared" si="8"/>
        <v>0</v>
      </c>
      <c r="M98" s="112">
        <v>55</v>
      </c>
    </row>
    <row r="99" spans="1:13">
      <c r="A99" s="111" t="s">
        <v>65</v>
      </c>
      <c r="B99" s="15" t="s">
        <v>69</v>
      </c>
      <c r="C99" s="112">
        <f>IF(AND(ISNUMBER('Apostas - Grupos'!P6),ISNUMBER('Apostas - Grupos'!Q6)),IF('Apostas - Grupos'!P6&gt;'Apostas - Grupos'!Q6,1,0),0)+IF(AND(ISNUMBER('Apostas - Grupos'!T6),ISNUMBER('Apostas - Grupos'!U6)),IF('Apostas - Grupos'!U6&gt;'Apostas - Grupos'!T6,1,0),0)+IF(AND(ISNUMBER('Apostas - Grupos'!X6),ISNUMBER('Apostas - Grupos'!Y6)),IF('Apostas - Grupos'!Y6&gt;'Apostas - Grupos'!X6,1,0),0)</f>
        <v>0</v>
      </c>
      <c r="D99" s="112">
        <f>IF(AND(ISNUMBER('Apostas - Grupos'!P6),ISNUMBER('Apostas - Grupos'!Q6)),IF('Apostas - Grupos'!P6='Apostas - Grupos'!Q6,1,0),0)+IF(AND(ISNUMBER('Apostas - Grupos'!T6),ISNUMBER('Apostas - Grupos'!U6)),IF('Apostas - Grupos'!T6='Apostas - Grupos'!U6,1,0),0)+IF(AND(ISNUMBER('Apostas - Grupos'!X6),ISNUMBER('Apostas - Grupos'!Y6)),IF('Apostas - Grupos'!X6='Apostas - Grupos'!Y6,1,0),0)</f>
        <v>0</v>
      </c>
      <c r="E99" s="112">
        <f>IF(ISNUMBER('Apostas - Grupos'!P6),'Apostas - Grupos'!P6,0)+IF(ISNUMBER('Apostas - Grupos'!T6),'Apostas - Grupos'!U6,0)+IF(ISNUMBER('Apostas - Grupos'!X6),'Apostas - Grupos'!Y6,0)</f>
        <v>0</v>
      </c>
      <c r="F99" s="112">
        <f>IF(ISNUMBER('Apostas - Grupos'!P6),'Apostas - Grupos'!Q6,0)+IF(ISNUMBER('Apostas - Grupos'!T6),'Apostas - Grupos'!T6,0)+IF(ISNUMBER('Apostas - Grupos'!X6),'Apostas - Grupos'!X6,0)</f>
        <v>0</v>
      </c>
      <c r="G99" s="112">
        <f t="shared" si="5"/>
        <v>0</v>
      </c>
      <c r="H99" s="14">
        <f t="shared" si="6"/>
        <v>0</v>
      </c>
      <c r="I99" s="112">
        <f t="shared" si="7"/>
        <v>200000462</v>
      </c>
      <c r="J99" s="14">
        <f>RANK(I99,$I$97:$I$100,0)</f>
        <v>2</v>
      </c>
      <c r="K99" s="112">
        <f>IF(AND(ISNUMBER('Apostas - Grupos'!P6),ISNUMBER('Apostas - Grupos'!Q6)),1,0)+IF(AND(ISNUMBER('Apostas - Grupos'!T6),ISNUMBER('Apostas - Grupos'!U6)),1,0)+IF(AND(ISNUMBER('Apostas - Grupos'!X6),ISNUMBER('Apostas - Grupos'!Y6)),1,0)</f>
        <v>0</v>
      </c>
      <c r="L99" s="112">
        <f t="shared" si="8"/>
        <v>0</v>
      </c>
      <c r="M99" s="112">
        <v>38</v>
      </c>
    </row>
    <row r="100" spans="1:13">
      <c r="A100" s="111" t="s">
        <v>65</v>
      </c>
      <c r="B100" s="15" t="s">
        <v>70</v>
      </c>
      <c r="C100" s="112">
        <f>IF(AND(ISNUMBER('Apostas - Grupos'!P6),ISNUMBER('Apostas - Grupos'!Q6)),IF('Apostas - Grupos'!Q6&gt;'Apostas - Grupos'!P6,1,0),0)+IF(AND(ISNUMBER('Apostas - Grupos'!R6),ISNUMBER('Apostas - Grupos'!S6)),IF('Apostas - Grupos'!R6&gt;'Apostas - Grupos'!S6,1,0),0)+IF(AND(ISNUMBER('Apostas - Grupos'!V6),ISNUMBER('Apostas - Grupos'!W6)),IF('Apostas - Grupos'!V6&gt;'Apostas - Grupos'!W6,1,0),0)</f>
        <v>0</v>
      </c>
      <c r="D100" s="112">
        <f>IF(AND(ISNUMBER('Apostas - Grupos'!P6),ISNUMBER('Apostas - Grupos'!Q6)),IF('Apostas - Grupos'!P6='Apostas - Grupos'!Q6,1,0),0)+IF(AND(ISNUMBER('Apostas - Grupos'!R6),ISNUMBER('Apostas - Grupos'!S6)),IF('Apostas - Grupos'!R6='Apostas - Grupos'!S6,1,0),0)+IF(AND(ISNUMBER('Apostas - Grupos'!V6),ISNUMBER('Apostas - Grupos'!W6)),IF('Apostas - Grupos'!V6='Apostas - Grupos'!W6,1,0),0)</f>
        <v>0</v>
      </c>
      <c r="E100" s="112">
        <f>IF(ISNUMBER('Apostas - Grupos'!P6),'Apostas - Grupos'!Q6,0)+IF(ISNUMBER('Apostas - Grupos'!R6),'Apostas - Grupos'!R6,0)+IF(ISNUMBER('Apostas - Grupos'!V6),'Apostas - Grupos'!V6,0)</f>
        <v>0</v>
      </c>
      <c r="F100" s="112">
        <f>IF(ISNUMBER('Apostas - Grupos'!P6),'Apostas - Grupos'!P6,0)+IF(ISNUMBER('Apostas - Grupos'!R6),'Apostas - Grupos'!S6,0)+IF(ISNUMBER('Apostas - Grupos'!V6),'Apostas - Grupos'!W6,0)</f>
        <v>0</v>
      </c>
      <c r="G100" s="112">
        <f t="shared" si="5"/>
        <v>0</v>
      </c>
      <c r="H100" s="14">
        <f t="shared" si="6"/>
        <v>0</v>
      </c>
      <c r="I100" s="112">
        <f t="shared" si="7"/>
        <v>200000480</v>
      </c>
      <c r="J100" s="14">
        <f>RANK(I100,$I$97:$I$100,0)</f>
        <v>1</v>
      </c>
      <c r="K100" s="112">
        <f>IF(AND(ISNUMBER('Apostas - Grupos'!P6),ISNUMBER('Apostas - Grupos'!Q6)),1,0)+IF(AND(ISNUMBER('Apostas - Grupos'!R6),ISNUMBER('Apostas - Grupos'!S6)),1,0)+IF(AND(ISNUMBER('Apostas - Grupos'!V6),ISNUMBER('Apostas - Grupos'!W6)),1,0)</f>
        <v>0</v>
      </c>
      <c r="L100" s="112">
        <f t="shared" si="8"/>
        <v>0</v>
      </c>
      <c r="M100" s="112">
        <v>20</v>
      </c>
    </row>
    <row r="101" spans="1:13">
      <c r="A101" s="113" t="s">
        <v>76</v>
      </c>
      <c r="B101" s="20" t="s">
        <v>77</v>
      </c>
      <c r="C101" s="114">
        <f>IF(AND(ISNUMBER('Apostas - Grupos'!Z6),ISNUMBER('Apostas - Grupos'!AA6)),IF('Apostas - Grupos'!Z6&gt;'Apostas - Grupos'!AA6,1,0),0)+IF(AND(ISNUMBER('Apostas - Grupos'!AF6),ISNUMBER('Apostas - Grupos'!AG6)),IF('Apostas - Grupos'!AF6&gt;'Apostas - Grupos'!AG6,1,0),0)+IF(AND(ISNUMBER('Apostas - Grupos'!AH6),ISNUMBER('Apostas - Grupos'!AI6)),IF('Apostas - Grupos'!AI6&gt;'Apostas - Grupos'!AH6,1,0),0)</f>
        <v>0</v>
      </c>
      <c r="D101" s="114">
        <f>IF(AND(ISNUMBER('Apostas - Grupos'!Z6),ISNUMBER('Apostas - Grupos'!AA6)),IF('Apostas - Grupos'!Z6='Apostas - Grupos'!AA6,1,0),0)+IF(AND(ISNUMBER('Apostas - Grupos'!AF6),ISNUMBER('Apostas - Grupos'!AG6)),IF('Apostas - Grupos'!AF6='Apostas - Grupos'!AG6,1,0),0)+IF(AND(ISNUMBER('Apostas - Grupos'!AH6),ISNUMBER('Apostas - Grupos'!AI6)),IF('Apostas - Grupos'!AH6='Apostas - Grupos'!AI6,1,0),0)</f>
        <v>0</v>
      </c>
      <c r="E101" s="114">
        <f>IF(ISNUMBER('Apostas - Grupos'!Z6),'Apostas - Grupos'!Z6,0)+IF(ISNUMBER('Apostas - Grupos'!AF6),'Apostas - Grupos'!AF6,0)+IF(ISNUMBER('Apostas - Grupos'!AH6),'Apostas - Grupos'!AI6,0)</f>
        <v>0</v>
      </c>
      <c r="F101" s="114">
        <f>IF(ISNUMBER('Apostas - Grupos'!Z6),'Apostas - Grupos'!AA6,0)+IF(ISNUMBER('Apostas - Grupos'!AF6),'Apostas - Grupos'!AG6,0)+IF(ISNUMBER('Apostas - Grupos'!AH6),'Apostas - Grupos'!AH6,0)</f>
        <v>0</v>
      </c>
      <c r="G101" s="114">
        <f t="shared" si="5"/>
        <v>0</v>
      </c>
      <c r="H101" s="19">
        <f t="shared" si="6"/>
        <v>0</v>
      </c>
      <c r="I101" s="114">
        <f t="shared" si="7"/>
        <v>200000495</v>
      </c>
      <c r="J101" s="19">
        <f>RANK(I101,$I$101:$I$104,0)</f>
        <v>1</v>
      </c>
      <c r="K101" s="114">
        <f>IF(AND(ISNUMBER('Apostas - Grupos'!Z6),ISNUMBER('Apostas - Grupos'!AA6)),1,0)+IF(AND(ISNUMBER('Apostas - Grupos'!AF6),ISNUMBER('Apostas - Grupos'!AG6)),1,0)+IF(AND(ISNUMBER('Apostas - Grupos'!AH6),ISNUMBER('Apostas - Grupos'!AI6)),1,0)</f>
        <v>0</v>
      </c>
      <c r="L101" s="114">
        <f t="shared" si="8"/>
        <v>0</v>
      </c>
      <c r="M101" s="114">
        <v>5</v>
      </c>
    </row>
    <row r="102" spans="1:13">
      <c r="A102" s="113" t="s">
        <v>76</v>
      </c>
      <c r="B102" s="20" t="s">
        <v>78</v>
      </c>
      <c r="C102" s="114">
        <f>IF(AND(ISNUMBER('Apostas - Grupos'!Z6),ISNUMBER('Apostas - Grupos'!AA6)),IF('Apostas - Grupos'!AA6&gt;'Apostas - Grupos'!Z6,1,0),0)+IF(AND(ISNUMBER('Apostas - Grupos'!AD6),ISNUMBER('Apostas - Grupos'!AE6)),IF('Apostas - Grupos'!AE6&gt;'Apostas - Grupos'!AD6,1,0),0)+IF(AND(ISNUMBER('Apostas - Grupos'!AJ6),ISNUMBER('Apostas - Grupos'!AK6)),IF('Apostas - Grupos'!AJ6&gt;'Apostas - Grupos'!AK6,1,0),0)</f>
        <v>0</v>
      </c>
      <c r="D102" s="114">
        <f>IF(AND(ISNUMBER('Apostas - Grupos'!Z6),ISNUMBER('Apostas - Grupos'!AA6)),IF('Apostas - Grupos'!Z6='Apostas - Grupos'!AA6,1,0),0)+IF(AND(ISNUMBER('Apostas - Grupos'!AD6),ISNUMBER('Apostas - Grupos'!AE6)),IF('Apostas - Grupos'!AD6='Apostas - Grupos'!AE6,1,0),0)+IF(AND(ISNUMBER('Apostas - Grupos'!AJ6),ISNUMBER('Apostas - Grupos'!AK6)),IF('Apostas - Grupos'!AJ6='Apostas - Grupos'!AK6,1,0),0)</f>
        <v>0</v>
      </c>
      <c r="E102" s="114">
        <f>IF(ISNUMBER('Apostas - Grupos'!Z6),'Apostas - Grupos'!AA6,0)+IF(ISNUMBER('Apostas - Grupos'!AD6),'Apostas - Grupos'!AE6,0)+IF(ISNUMBER('Apostas - Grupos'!AJ6),'Apostas - Grupos'!AJ6,0)</f>
        <v>0</v>
      </c>
      <c r="F102" s="114">
        <f>IF(ISNUMBER('Apostas - Grupos'!Z6),'Apostas - Grupos'!Z6,0)+IF(ISNUMBER('Apostas - Grupos'!AD6),'Apostas - Grupos'!AD6,0)+IF(ISNUMBER('Apostas - Grupos'!AJ6),'Apostas - Grupos'!AK6,0)</f>
        <v>0</v>
      </c>
      <c r="G102" s="114">
        <f t="shared" si="5"/>
        <v>0</v>
      </c>
      <c r="H102" s="19">
        <f t="shared" si="6"/>
        <v>0</v>
      </c>
      <c r="I102" s="114">
        <f t="shared" si="7"/>
        <v>200000486</v>
      </c>
      <c r="J102" s="19">
        <f>RANK(I102,$I$101:$I$104,0)</f>
        <v>2</v>
      </c>
      <c r="K102" s="114">
        <f>IF(AND(ISNUMBER('Apostas - Grupos'!Z6),ISNUMBER('Apostas - Grupos'!AA6)),1,0)+IF(AND(ISNUMBER('Apostas - Grupos'!AD6),ISNUMBER('Apostas - Grupos'!AE6)),1,0)+IF(AND(ISNUMBER('Apostas - Grupos'!AJ6),ISNUMBER('Apostas - Grupos'!AK6)),1,0)</f>
        <v>0</v>
      </c>
      <c r="L102" s="114">
        <f t="shared" si="8"/>
        <v>0</v>
      </c>
      <c r="M102" s="114">
        <v>14</v>
      </c>
    </row>
    <row r="103" spans="1:13">
      <c r="A103" s="113" t="s">
        <v>76</v>
      </c>
      <c r="B103" s="20" t="s">
        <v>80</v>
      </c>
      <c r="C103" s="114">
        <f>IF(AND(ISNUMBER('Apostas - Grupos'!AB6),ISNUMBER('Apostas - Grupos'!AC6)),IF('Apostas - Grupos'!AB6&gt;'Apostas - Grupos'!AC6,1,0),0)+IF(AND(ISNUMBER('Apostas - Grupos'!AF6),ISNUMBER('Apostas - Grupos'!AG6)),IF('Apostas - Grupos'!AG6&gt;'Apostas - Grupos'!AF6,1,0),0)+IF(AND(ISNUMBER('Apostas - Grupos'!AJ6),ISNUMBER('Apostas - Grupos'!AK6)),IF('Apostas - Grupos'!AK6&gt;'Apostas - Grupos'!AJ6,1,0),0)</f>
        <v>0</v>
      </c>
      <c r="D103" s="114">
        <f>IF(AND(ISNUMBER('Apostas - Grupos'!AB6),ISNUMBER('Apostas - Grupos'!AC6)),IF('Apostas - Grupos'!AB6='Apostas - Grupos'!AC6,1,0),0)+IF(AND(ISNUMBER('Apostas - Grupos'!AF6),ISNUMBER('Apostas - Grupos'!AG6)),IF('Apostas - Grupos'!AF6='Apostas - Grupos'!AG6,1,0),0)+IF(AND(ISNUMBER('Apostas - Grupos'!AJ6),ISNUMBER('Apostas - Grupos'!AK6)),IF('Apostas - Grupos'!AJ6='Apostas - Grupos'!AK6,1,0),0)</f>
        <v>0</v>
      </c>
      <c r="E103" s="114">
        <f>IF(ISNUMBER('Apostas - Grupos'!AB6),'Apostas - Grupos'!AB6,0)+IF(ISNUMBER('Apostas - Grupos'!AF6),'Apostas - Grupos'!AG6,0)+IF(ISNUMBER('Apostas - Grupos'!AJ6),'Apostas - Grupos'!AK6,0)</f>
        <v>0</v>
      </c>
      <c r="F103" s="114">
        <f>IF(ISNUMBER('Apostas - Grupos'!AB6),'Apostas - Grupos'!AC6,0)+IF(ISNUMBER('Apostas - Grupos'!AF6),'Apostas - Grupos'!AF6,0)+IF(ISNUMBER('Apostas - Grupos'!AJ6),'Apostas - Grupos'!AJ6,0)</f>
        <v>0</v>
      </c>
      <c r="G103" s="114">
        <f t="shared" si="5"/>
        <v>0</v>
      </c>
      <c r="H103" s="19">
        <f t="shared" si="6"/>
        <v>0</v>
      </c>
      <c r="I103" s="114">
        <f t="shared" si="7"/>
        <v>200000414</v>
      </c>
      <c r="J103" s="19">
        <f>RANK(I103,$I$101:$I$104,0)</f>
        <v>4</v>
      </c>
      <c r="K103" s="114">
        <f>IF(AND(ISNUMBER('Apostas - Grupos'!AB6),ISNUMBER('Apostas - Grupos'!AC6)),1,0)+IF(AND(ISNUMBER('Apostas - Grupos'!AF6),ISNUMBER('Apostas - Grupos'!AG6)),1,0)+IF(AND(ISNUMBER('Apostas - Grupos'!AJ6),ISNUMBER('Apostas - Grupos'!AK6)),1,0)</f>
        <v>0</v>
      </c>
      <c r="L103" s="114">
        <f t="shared" si="8"/>
        <v>0</v>
      </c>
      <c r="M103" s="114">
        <v>86</v>
      </c>
    </row>
    <row r="104" spans="1:13">
      <c r="A104" s="113" t="s">
        <v>76</v>
      </c>
      <c r="B104" s="20" t="s">
        <v>81</v>
      </c>
      <c r="C104" s="114">
        <f>IF(AND(ISNUMBER('Apostas - Grupos'!AB6),ISNUMBER('Apostas - Grupos'!AC6)),IF('Apostas - Grupos'!AC6&gt;'Apostas - Grupos'!AB6,1,0),0)+IF(AND(ISNUMBER('Apostas - Grupos'!AD6),ISNUMBER('Apostas - Grupos'!AE6)),IF('Apostas - Grupos'!AD6&gt;'Apostas - Grupos'!AE6,1,0),0)+IF(AND(ISNUMBER('Apostas - Grupos'!AH6),ISNUMBER('Apostas - Grupos'!AI6)),IF('Apostas - Grupos'!AH6&gt;'Apostas - Grupos'!AI6,1,0),0)</f>
        <v>0</v>
      </c>
      <c r="D104" s="114">
        <f>IF(AND(ISNUMBER('Apostas - Grupos'!AB6),ISNUMBER('Apostas - Grupos'!AC6)),IF('Apostas - Grupos'!AB6='Apostas - Grupos'!AC6,1,0),0)+IF(AND(ISNUMBER('Apostas - Grupos'!AD6),ISNUMBER('Apostas - Grupos'!AE6)),IF('Apostas - Grupos'!AD6='Apostas - Grupos'!AE6,1,0),0)+IF(AND(ISNUMBER('Apostas - Grupos'!AH6),ISNUMBER('Apostas - Grupos'!AI6)),IF('Apostas - Grupos'!AH6='Apostas - Grupos'!AI6,1,0),0)</f>
        <v>0</v>
      </c>
      <c r="E104" s="114">
        <f>IF(ISNUMBER('Apostas - Grupos'!AB6),'Apostas - Grupos'!AC6,0)+IF(ISNUMBER('Apostas - Grupos'!AD6),'Apostas - Grupos'!AD6,0)+IF(ISNUMBER('Apostas - Grupos'!AH6),'Apostas - Grupos'!AH6,0)</f>
        <v>0</v>
      </c>
      <c r="F104" s="114">
        <f>IF(ISNUMBER('Apostas - Grupos'!AB6),'Apostas - Grupos'!AB6,0)+IF(ISNUMBER('Apostas - Grupos'!AD6),'Apostas - Grupos'!AE6,0)+IF(ISNUMBER('Apostas - Grupos'!AH6),'Apostas - Grupos'!AI6,0)</f>
        <v>0</v>
      </c>
      <c r="G104" s="114">
        <f t="shared" si="5"/>
        <v>0</v>
      </c>
      <c r="H104" s="19">
        <f t="shared" si="6"/>
        <v>0</v>
      </c>
      <c r="I104" s="114">
        <f t="shared" si="7"/>
        <v>200000473</v>
      </c>
      <c r="J104" s="19">
        <f>RANK(I104,$I$101:$I$104,0)</f>
        <v>3</v>
      </c>
      <c r="K104" s="114">
        <f>IF(AND(ISNUMBER('Apostas - Grupos'!AB6),ISNUMBER('Apostas - Grupos'!AC6)),1,0)+IF(AND(ISNUMBER('Apostas - Grupos'!AD6),ISNUMBER('Apostas - Grupos'!AE6)),1,0)+IF(AND(ISNUMBER('Apostas - Grupos'!AH6),ISNUMBER('Apostas - Grupos'!AI6)),1,0)</f>
        <v>0</v>
      </c>
      <c r="L104" s="114">
        <f t="shared" si="8"/>
        <v>0</v>
      </c>
      <c r="M104" s="114">
        <v>27</v>
      </c>
    </row>
    <row r="105" spans="1:13">
      <c r="A105" s="115" t="s">
        <v>87</v>
      </c>
      <c r="B105" s="25" t="s">
        <v>88</v>
      </c>
      <c r="C105" s="116">
        <f>IF(AND(ISNUMBER('Apostas - Grupos'!AL6),ISNUMBER('Apostas - Grupos'!AM6)),IF('Apostas - Grupos'!AL6&gt;'Apostas - Grupos'!AM6,1,0),0)+IF(AND(ISNUMBER('Apostas - Grupos'!AP6),ISNUMBER('Apostas - Grupos'!AQ6)),IF('Apostas - Grupos'!AP6&gt;'Apostas - Grupos'!AQ6,1,0),0)+IF(AND(ISNUMBER('Apostas - Grupos'!AT6),ISNUMBER('Apostas - Grupos'!AU6)),IF('Apostas - Grupos'!AU6&gt;'Apostas - Grupos'!AT6,1,0),0)</f>
        <v>0</v>
      </c>
      <c r="D105" s="116">
        <f>IF(AND(ISNUMBER('Apostas - Grupos'!AL6),ISNUMBER('Apostas - Grupos'!AM6)),IF('Apostas - Grupos'!AL6='Apostas - Grupos'!AM6,1,0),0)+IF(AND(ISNUMBER('Apostas - Grupos'!AP6),ISNUMBER('Apostas - Grupos'!AQ6)),IF('Apostas - Grupos'!AP6='Apostas - Grupos'!AQ6,1,0),0)+IF(AND(ISNUMBER('Apostas - Grupos'!AT6),ISNUMBER('Apostas - Grupos'!AU6)),IF('Apostas - Grupos'!AT6='Apostas - Grupos'!AU6,1,0),0)</f>
        <v>0</v>
      </c>
      <c r="E105" s="116">
        <f>IF(ISNUMBER('Apostas - Grupos'!AL6),'Apostas - Grupos'!AL6,0)+IF(ISNUMBER('Apostas - Grupos'!AP6),'Apostas - Grupos'!AP6,0)+IF(ISNUMBER('Apostas - Grupos'!AT6),'Apostas - Grupos'!AU6,0)</f>
        <v>0</v>
      </c>
      <c r="F105" s="116">
        <f>IF(ISNUMBER('Apostas - Grupos'!AL6),'Apostas - Grupos'!AM6,0)+IF(ISNUMBER('Apostas - Grupos'!AP6),'Apostas - Grupos'!AQ6,0)+IF(ISNUMBER('Apostas - Grupos'!AT6),'Apostas - Grupos'!AT6,0)</f>
        <v>0</v>
      </c>
      <c r="G105" s="116">
        <f t="shared" si="5"/>
        <v>0</v>
      </c>
      <c r="H105" s="24">
        <f t="shared" si="6"/>
        <v>0</v>
      </c>
      <c r="I105" s="116">
        <f t="shared" si="7"/>
        <v>200000489</v>
      </c>
      <c r="J105" s="24">
        <f>RANK(I105,$I$105:$I$108,0)</f>
        <v>1</v>
      </c>
      <c r="K105" s="116">
        <f>IF(AND(ISNUMBER('Apostas - Grupos'!AL6),ISNUMBER('Apostas - Grupos'!AM6)),1,0)+IF(AND(ISNUMBER('Apostas - Grupos'!AP6),ISNUMBER('Apostas - Grupos'!AQ6)),1,0)+IF(AND(ISNUMBER('Apostas - Grupos'!AT6),ISNUMBER('Apostas - Grupos'!AU6)),1,0)</f>
        <v>0</v>
      </c>
      <c r="L105" s="116">
        <f t="shared" si="8"/>
        <v>0</v>
      </c>
      <c r="M105" s="116">
        <v>11</v>
      </c>
    </row>
    <row r="106" spans="1:13">
      <c r="A106" s="115" t="s">
        <v>87</v>
      </c>
      <c r="B106" s="25" t="s">
        <v>89</v>
      </c>
      <c r="C106" s="116">
        <f>IF(AND(ISNUMBER('Apostas - Grupos'!AL6),ISNUMBER('Apostas - Grupos'!AM6)),IF('Apostas - Grupos'!AM6&gt;'Apostas - Grupos'!AL6,1,0),0)+IF(AND(ISNUMBER('Apostas - Grupos'!AR6),ISNUMBER('Apostas - Grupos'!AS6)),IF('Apostas - Grupos'!AS6&gt;'Apostas - Grupos'!AR6,1,0),0)+IF(AND(ISNUMBER('Apostas - Grupos'!AV6),ISNUMBER('Apostas - Grupos'!AW6)),IF('Apostas - Grupos'!AV6&gt;'Apostas - Grupos'!AW6,1,0),0)</f>
        <v>0</v>
      </c>
      <c r="D106" s="116">
        <f>IF(AND(ISNUMBER('Apostas - Grupos'!AL6),ISNUMBER('Apostas - Grupos'!AM6)),IF('Apostas - Grupos'!AL6='Apostas - Grupos'!AM6,1,0),0)+IF(AND(ISNUMBER('Apostas - Grupos'!AR6),ISNUMBER('Apostas - Grupos'!AS6)),IF('Apostas - Grupos'!AR6='Apostas - Grupos'!AS6,1,0),0)+IF(AND(ISNUMBER('Apostas - Grupos'!AV6),ISNUMBER('Apostas - Grupos'!AW6)),IF('Apostas - Grupos'!AV6='Apostas - Grupos'!AW6,1,0),0)</f>
        <v>0</v>
      </c>
      <c r="E106" s="116">
        <f>IF(ISNUMBER('Apostas - Grupos'!AL6),'Apostas - Grupos'!AM6,0)+IF(ISNUMBER('Apostas - Grupos'!AR6),'Apostas - Grupos'!AS6,0)+IF(ISNUMBER('Apostas - Grupos'!AV6),'Apostas - Grupos'!AV6,0)</f>
        <v>0</v>
      </c>
      <c r="F106" s="116">
        <f>IF(ISNUMBER('Apostas - Grupos'!AL6),'Apostas - Grupos'!AL6,0)+IF(ISNUMBER('Apostas - Grupos'!AR6),'Apostas - Grupos'!AR6,0)+IF(ISNUMBER('Apostas - Grupos'!AV6),'Apostas - Grupos'!AW6,0)</f>
        <v>0</v>
      </c>
      <c r="G106" s="116">
        <f t="shared" si="5"/>
        <v>0</v>
      </c>
      <c r="H106" s="24">
        <f t="shared" si="6"/>
        <v>0</v>
      </c>
      <c r="I106" s="116">
        <f t="shared" si="7"/>
        <v>200000449</v>
      </c>
      <c r="J106" s="24">
        <f>RANK(I106,$I$105:$I$108,0)</f>
        <v>4</v>
      </c>
      <c r="K106" s="116">
        <f>IF(AND(ISNUMBER('Apostas - Grupos'!AL6),ISNUMBER('Apostas - Grupos'!AM6)),1,0)+IF(AND(ISNUMBER('Apostas - Grupos'!AR6),ISNUMBER('Apostas - Grupos'!AS6)),1,0)+IF(AND(ISNUMBER('Apostas - Grupos'!AV6),ISNUMBER('Apostas - Grupos'!AW6)),1,0)</f>
        <v>0</v>
      </c>
      <c r="L106" s="116">
        <f t="shared" si="8"/>
        <v>0</v>
      </c>
      <c r="M106" s="116">
        <v>51</v>
      </c>
    </row>
    <row r="107" spans="1:13">
      <c r="A107" s="115" t="s">
        <v>87</v>
      </c>
      <c r="B107" s="25" t="s">
        <v>91</v>
      </c>
      <c r="C107" s="116">
        <f>IF(AND(ISNUMBER('Apostas - Grupos'!AN6),ISNUMBER('Apostas - Grupos'!AO6)),IF('Apostas - Grupos'!AN6&gt;'Apostas - Grupos'!AO6,1,0),0)+IF(AND(ISNUMBER('Apostas - Grupos'!AP6),ISNUMBER('Apostas - Grupos'!AQ6)),IF('Apostas - Grupos'!AQ6&gt;'Apostas - Grupos'!AP6,1,0),0)+IF(AND(ISNUMBER('Apostas - Grupos'!AV6),ISNUMBER('Apostas - Grupos'!AW6)),IF('Apostas - Grupos'!AW6&gt;'Apostas - Grupos'!AV6,1,0),0)</f>
        <v>0</v>
      </c>
      <c r="D107" s="116">
        <f>IF(AND(ISNUMBER('Apostas - Grupos'!AN6),ISNUMBER('Apostas - Grupos'!AO6)),IF('Apostas - Grupos'!AN6='Apostas - Grupos'!AO6,1,0),0)+IF(AND(ISNUMBER('Apostas - Grupos'!AP6),ISNUMBER('Apostas - Grupos'!AQ6)),IF('Apostas - Grupos'!AP6='Apostas - Grupos'!AQ6,1,0),0)+IF(AND(ISNUMBER('Apostas - Grupos'!AV6),ISNUMBER('Apostas - Grupos'!AW6)),IF('Apostas - Grupos'!AV6='Apostas - Grupos'!AW6,1,0),0)</f>
        <v>0</v>
      </c>
      <c r="E107" s="116">
        <f>IF(ISNUMBER('Apostas - Grupos'!AN6),'Apostas - Grupos'!AN6,0)+IF(ISNUMBER('Apostas - Grupos'!AP6),'Apostas - Grupos'!AQ6,0)+IF(ISNUMBER('Apostas - Grupos'!AV6),'Apostas - Grupos'!AW6,0)</f>
        <v>0</v>
      </c>
      <c r="F107" s="116">
        <f>IF(ISNUMBER('Apostas - Grupos'!AN6),'Apostas - Grupos'!AO6,0)+IF(ISNUMBER('Apostas - Grupos'!AP6),'Apostas - Grupos'!AP6,0)+IF(ISNUMBER('Apostas - Grupos'!AV6),'Apostas - Grupos'!AV6,0)</f>
        <v>0</v>
      </c>
      <c r="G107" s="116">
        <f t="shared" si="5"/>
        <v>0</v>
      </c>
      <c r="H107" s="24">
        <f t="shared" si="6"/>
        <v>0</v>
      </c>
      <c r="I107" s="116">
        <f t="shared" si="7"/>
        <v>200000477</v>
      </c>
      <c r="J107" s="24">
        <f>RANK(I107,$I$105:$I$108,0)</f>
        <v>2</v>
      </c>
      <c r="K107" s="116">
        <f>IF(AND(ISNUMBER('Apostas - Grupos'!AN6),ISNUMBER('Apostas - Grupos'!AO6)),1,0)+IF(AND(ISNUMBER('Apostas - Grupos'!AP6),ISNUMBER('Apostas - Grupos'!AQ6)),1,0)+IF(AND(ISNUMBER('Apostas - Grupos'!AV6),ISNUMBER('Apostas - Grupos'!AW6)),1,0)</f>
        <v>0</v>
      </c>
      <c r="L107" s="116">
        <f t="shared" si="8"/>
        <v>0</v>
      </c>
      <c r="M107" s="116">
        <v>23</v>
      </c>
    </row>
    <row r="108" spans="1:13">
      <c r="A108" s="115" t="s">
        <v>87</v>
      </c>
      <c r="B108" s="25" t="s">
        <v>92</v>
      </c>
      <c r="C108" s="116">
        <f>IF(AND(ISNUMBER('Apostas - Grupos'!AN6),ISNUMBER('Apostas - Grupos'!AO6)),IF('Apostas - Grupos'!AO6&gt;'Apostas - Grupos'!AN6,1,0),0)+IF(AND(ISNUMBER('Apostas - Grupos'!AR6),ISNUMBER('Apostas - Grupos'!AS6)),IF('Apostas - Grupos'!AR6&gt;'Apostas - Grupos'!AS6,1,0),0)+IF(AND(ISNUMBER('Apostas - Grupos'!AT6),ISNUMBER('Apostas - Grupos'!AU6)),IF('Apostas - Grupos'!AT6&gt;'Apostas - Grupos'!AU6,1,0),0)</f>
        <v>0</v>
      </c>
      <c r="D108" s="116">
        <f>IF(AND(ISNUMBER('Apostas - Grupos'!AN6),ISNUMBER('Apostas - Grupos'!AO6)),IF('Apostas - Grupos'!AN6='Apostas - Grupos'!AO6,1,0),0)+IF(AND(ISNUMBER('Apostas - Grupos'!AR6),ISNUMBER('Apostas - Grupos'!AS6)),IF('Apostas - Grupos'!AR6='Apostas - Grupos'!AS6,1,0),0)+IF(AND(ISNUMBER('Apostas - Grupos'!AT6),ISNUMBER('Apostas - Grupos'!AU6)),IF('Apostas - Grupos'!AT6='Apostas - Grupos'!AU6,1,0),0)</f>
        <v>0</v>
      </c>
      <c r="E108" s="116">
        <f>IF(ISNUMBER('Apostas - Grupos'!AN6),'Apostas - Grupos'!AO6,0)+IF(ISNUMBER('Apostas - Grupos'!AR6),'Apostas - Grupos'!AR6,0)+IF(ISNUMBER('Apostas - Grupos'!AT6),'Apostas - Grupos'!AT6,0)</f>
        <v>0</v>
      </c>
      <c r="F108" s="116">
        <f>IF(ISNUMBER('Apostas - Grupos'!AN6),'Apostas - Grupos'!AN6,0)+IF(ISNUMBER('Apostas - Grupos'!AR6),'Apostas - Grupos'!AS6,0)+IF(ISNUMBER('Apostas - Grupos'!AT6),'Apostas - Grupos'!AU6,0)</f>
        <v>0</v>
      </c>
      <c r="G108" s="116">
        <f t="shared" si="5"/>
        <v>0</v>
      </c>
      <c r="H108" s="24">
        <f t="shared" si="6"/>
        <v>0</v>
      </c>
      <c r="I108" s="116">
        <f t="shared" si="7"/>
        <v>200000464</v>
      </c>
      <c r="J108" s="24">
        <f>RANK(I108,$I$105:$I$108,0)</f>
        <v>3</v>
      </c>
      <c r="K108" s="116">
        <f>IF(AND(ISNUMBER('Apostas - Grupos'!AN6),ISNUMBER('Apostas - Grupos'!AO6)),1,0)+IF(AND(ISNUMBER('Apostas - Grupos'!AR6),ISNUMBER('Apostas - Grupos'!AS6)),1,0)+IF(AND(ISNUMBER('Apostas - Grupos'!AT6),ISNUMBER('Apostas - Grupos'!AU6)),1,0)</f>
        <v>0</v>
      </c>
      <c r="L108" s="116">
        <f t="shared" si="8"/>
        <v>0</v>
      </c>
      <c r="M108" s="116">
        <v>36</v>
      </c>
    </row>
    <row r="109" spans="1:13">
      <c r="A109" s="117" t="s">
        <v>98</v>
      </c>
      <c r="B109" s="30" t="s">
        <v>99</v>
      </c>
      <c r="C109" s="118">
        <f>IF(AND(ISNUMBER('Apostas - Grupos'!AX6),ISNUMBER('Apostas - Grupos'!AY6)),IF('Apostas - Grupos'!AX6&gt;'Apostas - Grupos'!AY6,1,0),0)+IF(AND(ISNUMBER('Apostas - Grupos'!BB6),ISNUMBER('Apostas - Grupos'!BC6)),IF('Apostas - Grupos'!BB6&gt;'Apostas - Grupos'!BC6,1,0),0)+IF(AND(ISNUMBER('Apostas - Grupos'!BF6),ISNUMBER('Apostas - Grupos'!BG6)),IF('Apostas - Grupos'!BG6&gt;'Apostas - Grupos'!BF6,1,0),0)</f>
        <v>0</v>
      </c>
      <c r="D109" s="118">
        <f>IF(AND(ISNUMBER('Apostas - Grupos'!AX6),ISNUMBER('Apostas - Grupos'!AY6)),IF('Apostas - Grupos'!AX6='Apostas - Grupos'!AY6,1,0),0)+IF(AND(ISNUMBER('Apostas - Grupos'!BB6),ISNUMBER('Apostas - Grupos'!BC6)),IF('Apostas - Grupos'!BB6='Apostas - Grupos'!BC6,1,0),0)+IF(AND(ISNUMBER('Apostas - Grupos'!BF6),ISNUMBER('Apostas - Grupos'!BG6)),IF('Apostas - Grupos'!BF6='Apostas - Grupos'!BG6,1,0),0)</f>
        <v>0</v>
      </c>
      <c r="E109" s="118">
        <f>IF(ISNUMBER('Apostas - Grupos'!AX6),'Apostas - Grupos'!AX6,0)+IF(ISNUMBER('Apostas - Grupos'!BB6),'Apostas - Grupos'!BB6,0)+IF(ISNUMBER('Apostas - Grupos'!BF6),'Apostas - Grupos'!BG6,0)</f>
        <v>0</v>
      </c>
      <c r="F109" s="118">
        <f>IF(ISNUMBER('Apostas - Grupos'!AX6),'Apostas - Grupos'!AY6,0)+IF(ISNUMBER('Apostas - Grupos'!BB6),'Apostas - Grupos'!BC6,0)+IF(ISNUMBER('Apostas - Grupos'!BF6),'Apostas - Grupos'!BF6,0)</f>
        <v>0</v>
      </c>
      <c r="G109" s="118">
        <f t="shared" si="5"/>
        <v>0</v>
      </c>
      <c r="H109" s="29">
        <f t="shared" si="6"/>
        <v>0</v>
      </c>
      <c r="I109" s="118">
        <f t="shared" si="7"/>
        <v>200000488</v>
      </c>
      <c r="J109" s="29">
        <f>RANK(I109,$I$109:$I$112,0)</f>
        <v>1</v>
      </c>
      <c r="K109" s="118">
        <f>IF(AND(ISNUMBER('Apostas - Grupos'!AX6),ISNUMBER('Apostas - Grupos'!AY6)),1,0)+IF(AND(ISNUMBER('Apostas - Grupos'!BB6),ISNUMBER('Apostas - Grupos'!BC6)),1,0)+IF(AND(ISNUMBER('Apostas - Grupos'!BF6),ISNUMBER('Apostas - Grupos'!BG6)),1,0)</f>
        <v>0</v>
      </c>
      <c r="L109" s="118">
        <f t="shared" si="8"/>
        <v>0</v>
      </c>
      <c r="M109" s="118">
        <v>12</v>
      </c>
    </row>
    <row r="110" spans="1:13">
      <c r="A110" s="117" t="s">
        <v>98</v>
      </c>
      <c r="B110" s="30" t="s">
        <v>100</v>
      </c>
      <c r="C110" s="118">
        <f>IF(AND(ISNUMBER('Apostas - Grupos'!AX6),ISNUMBER('Apostas - Grupos'!AY6)),IF('Apostas - Grupos'!AY6&gt;'Apostas - Grupos'!AX6,1,0),0)+IF(AND(ISNUMBER('Apostas - Grupos'!BD6),ISNUMBER('Apostas - Grupos'!BE6)),IF('Apostas - Grupos'!BE6&gt;'Apostas - Grupos'!BD6,1,0),0)+IF(AND(ISNUMBER('Apostas - Grupos'!BH6),ISNUMBER('Apostas - Grupos'!BI6)),IF('Apostas - Grupos'!BH6&gt;'Apostas - Grupos'!BI6,1,0),0)</f>
        <v>0</v>
      </c>
      <c r="D110" s="118">
        <f>IF(AND(ISNUMBER('Apostas - Grupos'!AX6),ISNUMBER('Apostas - Grupos'!AY6)),IF('Apostas - Grupos'!AX6='Apostas - Grupos'!AY6,1,0),0)+IF(AND(ISNUMBER('Apostas - Grupos'!BD6),ISNUMBER('Apostas - Grupos'!BE6)),IF('Apostas - Grupos'!BD6='Apostas - Grupos'!BE6,1,0),0)+IF(AND(ISNUMBER('Apostas - Grupos'!BH6),ISNUMBER('Apostas - Grupos'!BI6)),IF('Apostas - Grupos'!BH6='Apostas - Grupos'!BI6,1,0),0)</f>
        <v>0</v>
      </c>
      <c r="E110" s="118">
        <f>IF(ISNUMBER('Apostas - Grupos'!AX6),'Apostas - Grupos'!AY6,0)+IF(ISNUMBER('Apostas - Grupos'!BD6),'Apostas - Grupos'!BE6,0)+IF(ISNUMBER('Apostas - Grupos'!BH6),'Apostas - Grupos'!BH6,0)</f>
        <v>0</v>
      </c>
      <c r="F110" s="118">
        <f>IF(ISNUMBER('Apostas - Grupos'!AX6),'Apostas - Grupos'!AX6,0)+IF(ISNUMBER('Apostas - Grupos'!BD6),'Apostas - Grupos'!BD6,0)+IF(ISNUMBER('Apostas - Grupos'!BH6),'Apostas - Grupos'!BI6,0)</f>
        <v>0</v>
      </c>
      <c r="G110" s="118">
        <f t="shared" si="5"/>
        <v>0</v>
      </c>
      <c r="H110" s="29">
        <f t="shared" si="6"/>
        <v>0</v>
      </c>
      <c r="I110" s="118">
        <f t="shared" si="7"/>
        <v>200000417</v>
      </c>
      <c r="J110" s="29">
        <f>RANK(I110,$I$109:$I$112,0)</f>
        <v>4</v>
      </c>
      <c r="K110" s="118">
        <f>IF(AND(ISNUMBER('Apostas - Grupos'!AX6),ISNUMBER('Apostas - Grupos'!AY6)),1,0)+IF(AND(ISNUMBER('Apostas - Grupos'!BD6),ISNUMBER('Apostas - Grupos'!BE6)),1,0)+IF(AND(ISNUMBER('Apostas - Grupos'!BH6),ISNUMBER('Apostas - Grupos'!BI6)),1,0)</f>
        <v>0</v>
      </c>
      <c r="L110" s="118">
        <f t="shared" si="8"/>
        <v>0</v>
      </c>
      <c r="M110" s="118">
        <v>83</v>
      </c>
    </row>
    <row r="111" spans="1:13">
      <c r="A111" s="117" t="s">
        <v>98</v>
      </c>
      <c r="B111" s="30" t="s">
        <v>102</v>
      </c>
      <c r="C111" s="118">
        <f>IF(AND(ISNUMBER('Apostas - Grupos'!AZ6),ISNUMBER('Apostas - Grupos'!BA6)),IF('Apostas - Grupos'!AZ6&gt;'Apostas - Grupos'!BA6,1,0),0)+IF(AND(ISNUMBER('Apostas - Grupos'!BB6),ISNUMBER('Apostas - Grupos'!BC6)),IF('Apostas - Grupos'!BC6&gt;'Apostas - Grupos'!BB6,1,0),0)+IF(AND(ISNUMBER('Apostas - Grupos'!BH6),ISNUMBER('Apostas - Grupos'!BI6)),IF('Apostas - Grupos'!BI6&gt;'Apostas - Grupos'!BH6,1,0),0)</f>
        <v>0</v>
      </c>
      <c r="D111" s="118">
        <f>IF(AND(ISNUMBER('Apostas - Grupos'!AZ6),ISNUMBER('Apostas - Grupos'!BA6)),IF('Apostas - Grupos'!AZ6='Apostas - Grupos'!BA6,1,0),0)+IF(AND(ISNUMBER('Apostas - Grupos'!BB6),ISNUMBER('Apostas - Grupos'!BC6)),IF('Apostas - Grupos'!BB6='Apostas - Grupos'!BC6,1,0),0)+IF(AND(ISNUMBER('Apostas - Grupos'!BH6),ISNUMBER('Apostas - Grupos'!BI6)),IF('Apostas - Grupos'!BH6='Apostas - Grupos'!BI6,1,0),0)</f>
        <v>0</v>
      </c>
      <c r="E111" s="118">
        <f>IF(ISNUMBER('Apostas - Grupos'!AZ6),'Apostas - Grupos'!AZ6,0)+IF(ISNUMBER('Apostas - Grupos'!BB6),'Apostas - Grupos'!BC6,0)+IF(ISNUMBER('Apostas - Grupos'!BH6),'Apostas - Grupos'!BI6,0)</f>
        <v>0</v>
      </c>
      <c r="F111" s="118">
        <f>IF(ISNUMBER('Apostas - Grupos'!AZ6),'Apostas - Grupos'!BA6,0)+IF(ISNUMBER('Apostas - Grupos'!BB6),'Apostas - Grupos'!BB6,0)+IF(ISNUMBER('Apostas - Grupos'!BH6),'Apostas - Grupos'!BH6,0)</f>
        <v>0</v>
      </c>
      <c r="G111" s="118">
        <f t="shared" si="5"/>
        <v>0</v>
      </c>
      <c r="H111" s="29">
        <f t="shared" si="6"/>
        <v>0</v>
      </c>
      <c r="I111" s="118">
        <f t="shared" si="7"/>
        <v>200000459</v>
      </c>
      <c r="J111" s="29">
        <f>RANK(I111,$I$109:$I$112,0)</f>
        <v>3</v>
      </c>
      <c r="K111" s="118">
        <f>IF(AND(ISNUMBER('Apostas - Grupos'!AZ6),ISNUMBER('Apostas - Grupos'!BA6)),1,0)+IF(AND(ISNUMBER('Apostas - Grupos'!BB6),ISNUMBER('Apostas - Grupos'!BC6)),1,0)+IF(AND(ISNUMBER('Apostas - Grupos'!BH6),ISNUMBER('Apostas - Grupos'!BI6)),1,0)</f>
        <v>0</v>
      </c>
      <c r="L111" s="118">
        <f t="shared" si="8"/>
        <v>0</v>
      </c>
      <c r="M111" s="118">
        <v>41</v>
      </c>
    </row>
    <row r="112" spans="1:13">
      <c r="A112" s="117" t="s">
        <v>98</v>
      </c>
      <c r="B112" s="30" t="s">
        <v>103</v>
      </c>
      <c r="C112" s="118">
        <f>IF(AND(ISNUMBER('Apostas - Grupos'!AZ6),ISNUMBER('Apostas - Grupos'!BA6)),IF('Apostas - Grupos'!BA6&gt;'Apostas - Grupos'!AZ6,1,0),0)+IF(AND(ISNUMBER('Apostas - Grupos'!BD6),ISNUMBER('Apostas - Grupos'!BE6)),IF('Apostas - Grupos'!BD6&gt;'Apostas - Grupos'!BE6,1,0),0)+IF(AND(ISNUMBER('Apostas - Grupos'!BF6),ISNUMBER('Apostas - Grupos'!BG6)),IF('Apostas - Grupos'!BF6&gt;'Apostas - Grupos'!BG6,1,0),0)</f>
        <v>0</v>
      </c>
      <c r="D112" s="118">
        <f>IF(AND(ISNUMBER('Apostas - Grupos'!AZ6),ISNUMBER('Apostas - Grupos'!BA6)),IF('Apostas - Grupos'!AZ6='Apostas - Grupos'!BA6,1,0),0)+IF(AND(ISNUMBER('Apostas - Grupos'!BD6),ISNUMBER('Apostas - Grupos'!BE6)),IF('Apostas - Grupos'!BD6='Apostas - Grupos'!BE6,1,0),0)+IF(AND(ISNUMBER('Apostas - Grupos'!BF6),ISNUMBER('Apostas - Grupos'!BG6)),IF('Apostas - Grupos'!BF6='Apostas - Grupos'!BG6,1,0),0)</f>
        <v>0</v>
      </c>
      <c r="E112" s="118">
        <f>IF(ISNUMBER('Apostas - Grupos'!AZ6),'Apostas - Grupos'!BA6,0)+IF(ISNUMBER('Apostas - Grupos'!BD6),'Apostas - Grupos'!BD6,0)+IF(ISNUMBER('Apostas - Grupos'!BF6),'Apostas - Grupos'!BF6,0)</f>
        <v>0</v>
      </c>
      <c r="F112" s="118">
        <f>IF(ISNUMBER('Apostas - Grupos'!AZ6),'Apostas - Grupos'!AZ6,0)+IF(ISNUMBER('Apostas - Grupos'!BD6),'Apostas - Grupos'!BE6,0)+IF(ISNUMBER('Apostas - Grupos'!BF6),'Apostas - Grupos'!BG6,0)</f>
        <v>0</v>
      </c>
      <c r="G112" s="118">
        <f t="shared" si="5"/>
        <v>0</v>
      </c>
      <c r="H112" s="29">
        <f t="shared" si="6"/>
        <v>0</v>
      </c>
      <c r="I112" s="118">
        <f t="shared" si="7"/>
        <v>200000461</v>
      </c>
      <c r="J112" s="29">
        <f>RANK(I112,$I$109:$I$112,0)</f>
        <v>2</v>
      </c>
      <c r="K112" s="118">
        <f>IF(AND(ISNUMBER('Apostas - Grupos'!AZ6),ISNUMBER('Apostas - Grupos'!BA6)),1,0)+IF(AND(ISNUMBER('Apostas - Grupos'!BD6),ISNUMBER('Apostas - Grupos'!BE6)),1,0)+IF(AND(ISNUMBER('Apostas - Grupos'!BF6),ISNUMBER('Apostas - Grupos'!BG6)),1,0)</f>
        <v>0</v>
      </c>
      <c r="L112" s="118">
        <f t="shared" si="8"/>
        <v>0</v>
      </c>
      <c r="M112" s="118">
        <v>39</v>
      </c>
    </row>
    <row r="113" spans="1:13">
      <c r="A113" s="119" t="s">
        <v>109</v>
      </c>
      <c r="B113" s="35" t="s">
        <v>110</v>
      </c>
      <c r="C113" s="120">
        <f>IF(AND(ISNUMBER('Apostas - Grupos'!BJ6),ISNUMBER('Apostas - Grupos'!BK6)),IF('Apostas - Grupos'!BJ6&gt;'Apostas - Grupos'!BK6,1,0),0)+IF(AND(ISNUMBER('Apostas - Grupos'!BN6),ISNUMBER('Apostas - Grupos'!BO6)),IF('Apostas - Grupos'!BN6&gt;'Apostas - Grupos'!BO6,1,0),0)+IF(AND(ISNUMBER('Apostas - Grupos'!BT6),ISNUMBER('Apostas - Grupos'!BU6)),IF('Apostas - Grupos'!BU6&gt;'Apostas - Grupos'!BT6,1,0),0)</f>
        <v>0</v>
      </c>
      <c r="D113" s="120">
        <f>IF(AND(ISNUMBER('Apostas - Grupos'!BJ6),ISNUMBER('Apostas - Grupos'!BK6)),IF('Apostas - Grupos'!BJ6='Apostas - Grupos'!BK6,1,0),0)+IF(AND(ISNUMBER('Apostas - Grupos'!BN6),ISNUMBER('Apostas - Grupos'!BO6)),IF('Apostas - Grupos'!BN6='Apostas - Grupos'!BO6,1,0),0)+IF(AND(ISNUMBER('Apostas - Grupos'!BT6),ISNUMBER('Apostas - Grupos'!BU6)),IF('Apostas - Grupos'!BT6='Apostas - Grupos'!BU6,1,0),0)</f>
        <v>0</v>
      </c>
      <c r="E113" s="120">
        <f>IF(ISNUMBER('Apostas - Grupos'!BJ6),'Apostas - Grupos'!BJ6,0)+IF(ISNUMBER('Apostas - Grupos'!BN6),'Apostas - Grupos'!BN6,0)+IF(ISNUMBER('Apostas - Grupos'!BT6),'Apostas - Grupos'!BU6,0)</f>
        <v>0</v>
      </c>
      <c r="F113" s="120">
        <f>IF(ISNUMBER('Apostas - Grupos'!BJ6),'Apostas - Grupos'!BK6,0)+IF(ISNUMBER('Apostas - Grupos'!BN6),'Apostas - Grupos'!BO6,0)+IF(ISNUMBER('Apostas - Grupos'!BT6),'Apostas - Grupos'!BT6,0)</f>
        <v>0</v>
      </c>
      <c r="G113" s="120">
        <f t="shared" si="5"/>
        <v>0</v>
      </c>
      <c r="H113" s="34">
        <f t="shared" si="6"/>
        <v>0</v>
      </c>
      <c r="I113" s="120">
        <f t="shared" si="7"/>
        <v>200000492</v>
      </c>
      <c r="J113" s="34">
        <f>RANK(I113,$I$113:$I$116,0)</f>
        <v>1</v>
      </c>
      <c r="K113" s="120">
        <f>IF(AND(ISNUMBER('Apostas - Grupos'!BJ6),ISNUMBER('Apostas - Grupos'!BK6)),1,0)+IF(AND(ISNUMBER('Apostas - Grupos'!BN6),ISNUMBER('Apostas - Grupos'!BO6)),1,0)+IF(AND(ISNUMBER('Apostas - Grupos'!BT6),ISNUMBER('Apostas - Grupos'!BU6)),1,0)</f>
        <v>0</v>
      </c>
      <c r="L113" s="120">
        <f t="shared" si="8"/>
        <v>0</v>
      </c>
      <c r="M113" s="120">
        <v>8</v>
      </c>
    </row>
    <row r="114" spans="1:13">
      <c r="A114" s="119" t="s">
        <v>109</v>
      </c>
      <c r="B114" s="35" t="s">
        <v>111</v>
      </c>
      <c r="C114" s="120">
        <f>IF(AND(ISNUMBER('Apostas - Grupos'!BJ6),ISNUMBER('Apostas - Grupos'!BK6)),IF('Apostas - Grupos'!BK6&gt;'Apostas - Grupos'!BJ6,1,0),0)+IF(AND(ISNUMBER('Apostas - Grupos'!BP6),ISNUMBER('Apostas - Grupos'!BQ6)),IF('Apostas - Grupos'!BQ6&gt;'Apostas - Grupos'!BP6,1,0),0)+IF(AND(ISNUMBER('Apostas - Grupos'!BR6),ISNUMBER('Apostas - Grupos'!BS6)),IF('Apostas - Grupos'!BR6&gt;'Apostas - Grupos'!BS6,1,0),0)</f>
        <v>0</v>
      </c>
      <c r="D114" s="120">
        <f>IF(AND(ISNUMBER('Apostas - Grupos'!BJ6),ISNUMBER('Apostas - Grupos'!BK6)),IF('Apostas - Grupos'!BJ6='Apostas - Grupos'!BK6,1,0),0)+IF(AND(ISNUMBER('Apostas - Grupos'!BP6),ISNUMBER('Apostas - Grupos'!BQ6)),IF('Apostas - Grupos'!BP6='Apostas - Grupos'!BQ6,1,0),0)+IF(AND(ISNUMBER('Apostas - Grupos'!BR6),ISNUMBER('Apostas - Grupos'!BS6)),IF('Apostas - Grupos'!BR6='Apostas - Grupos'!BS6,1,0),0)</f>
        <v>0</v>
      </c>
      <c r="E114" s="120">
        <f>IF(ISNUMBER('Apostas - Grupos'!BJ6),'Apostas - Grupos'!BK6,0)+IF(ISNUMBER('Apostas - Grupos'!BP6),'Apostas - Grupos'!BQ6,0)+IF(ISNUMBER('Apostas - Grupos'!BR6),'Apostas - Grupos'!BR6,0)</f>
        <v>0</v>
      </c>
      <c r="F114" s="120">
        <f>IF(ISNUMBER('Apostas - Grupos'!BJ6),'Apostas - Grupos'!BJ6,0)+IF(ISNUMBER('Apostas - Grupos'!BP6),'Apostas - Grupos'!BP6,0)+IF(ISNUMBER('Apostas - Grupos'!BR6),'Apostas - Grupos'!BS6,0)</f>
        <v>0</v>
      </c>
      <c r="G114" s="120">
        <f t="shared" si="5"/>
        <v>0</v>
      </c>
      <c r="H114" s="34">
        <f t="shared" si="6"/>
        <v>0</v>
      </c>
      <c r="I114" s="120">
        <f t="shared" si="7"/>
        <v>200000485</v>
      </c>
      <c r="J114" s="34">
        <f>RANK(I114,$I$113:$I$116,0)</f>
        <v>2</v>
      </c>
      <c r="K114" s="120">
        <f>IF(AND(ISNUMBER('Apostas - Grupos'!BJ6),ISNUMBER('Apostas - Grupos'!BK6)),1,0)+IF(AND(ISNUMBER('Apostas - Grupos'!BP6),ISNUMBER('Apostas - Grupos'!BQ6)),1,0)+IF(AND(ISNUMBER('Apostas - Grupos'!BR6),ISNUMBER('Apostas - Grupos'!BS6)),1,0)</f>
        <v>0</v>
      </c>
      <c r="L114" s="120">
        <f t="shared" si="8"/>
        <v>0</v>
      </c>
      <c r="M114" s="120">
        <v>15</v>
      </c>
    </row>
    <row r="115" spans="1:13">
      <c r="A115" s="119" t="s">
        <v>109</v>
      </c>
      <c r="B115" s="35" t="s">
        <v>113</v>
      </c>
      <c r="C115" s="120">
        <f>IF(AND(ISNUMBER('Apostas - Grupos'!BL6),ISNUMBER('Apostas - Grupos'!BM6)),IF('Apostas - Grupos'!BL6&gt;'Apostas - Grupos'!BM6,1,0),0)+IF(AND(ISNUMBER('Apostas - Grupos'!BN6),ISNUMBER('Apostas - Grupos'!BO6)),IF('Apostas - Grupos'!BO6&gt;'Apostas - Grupos'!BN6,1,0),0)+IF(AND(ISNUMBER('Apostas - Grupos'!BR6),ISNUMBER('Apostas - Grupos'!BS6)),IF('Apostas - Grupos'!BS6&gt;'Apostas - Grupos'!BR6,1,0),0)</f>
        <v>0</v>
      </c>
      <c r="D115" s="120">
        <f>IF(AND(ISNUMBER('Apostas - Grupos'!BL6),ISNUMBER('Apostas - Grupos'!BM6)),IF('Apostas - Grupos'!BL6='Apostas - Grupos'!BM6,1,0),0)+IF(AND(ISNUMBER('Apostas - Grupos'!BN6),ISNUMBER('Apostas - Grupos'!BO6)),IF('Apostas - Grupos'!BN6='Apostas - Grupos'!BO6,1,0),0)+IF(AND(ISNUMBER('Apostas - Grupos'!BR6),ISNUMBER('Apostas - Grupos'!BS6)),IF('Apostas - Grupos'!BR6='Apostas - Grupos'!BS6,1,0),0)</f>
        <v>0</v>
      </c>
      <c r="E115" s="120">
        <f>IF(ISNUMBER('Apostas - Grupos'!BL6),'Apostas - Grupos'!BL6,0)+IF(ISNUMBER('Apostas - Grupos'!BN6),'Apostas - Grupos'!BO6,0)+IF(ISNUMBER('Apostas - Grupos'!BR6),'Apostas - Grupos'!BS6,0)</f>
        <v>0</v>
      </c>
      <c r="F115" s="120">
        <f>IF(ISNUMBER('Apostas - Grupos'!BL6),'Apostas - Grupos'!BM6,0)+IF(ISNUMBER('Apostas - Grupos'!BN6),'Apostas - Grupos'!BN6,0)+IF(ISNUMBER('Apostas - Grupos'!BR6),'Apostas - Grupos'!BR6,0)</f>
        <v>0</v>
      </c>
      <c r="G115" s="120">
        <f t="shared" si="5"/>
        <v>0</v>
      </c>
      <c r="H115" s="34">
        <f t="shared" si="6"/>
        <v>0</v>
      </c>
      <c r="I115" s="120">
        <f t="shared" si="7"/>
        <v>200000474</v>
      </c>
      <c r="J115" s="34">
        <f>RANK(I115,$I$113:$I$116,0)</f>
        <v>3</v>
      </c>
      <c r="K115" s="120">
        <f>IF(AND(ISNUMBER('Apostas - Grupos'!BL6),ISNUMBER('Apostas - Grupos'!BM6)),1,0)+IF(AND(ISNUMBER('Apostas - Grupos'!BN6),ISNUMBER('Apostas - Grupos'!BO6)),1,0)+IF(AND(ISNUMBER('Apostas - Grupos'!BR6),ISNUMBER('Apostas - Grupos'!BS6)),1,0)</f>
        <v>0</v>
      </c>
      <c r="L115" s="120">
        <f t="shared" si="8"/>
        <v>0</v>
      </c>
      <c r="M115" s="120">
        <v>26</v>
      </c>
    </row>
    <row r="116" spans="1:13">
      <c r="A116" s="119" t="s">
        <v>109</v>
      </c>
      <c r="B116" s="35" t="s">
        <v>114</v>
      </c>
      <c r="C116" s="120">
        <f>IF(AND(ISNUMBER('Apostas - Grupos'!BL6),ISNUMBER('Apostas - Grupos'!BM6)),IF('Apostas - Grupos'!BM6&gt;'Apostas - Grupos'!BL6,1,0),0)+IF(AND(ISNUMBER('Apostas - Grupos'!BP6),ISNUMBER('Apostas - Grupos'!BQ6)),IF('Apostas - Grupos'!BP6&gt;'Apostas - Grupos'!BQ6,1,0),0)+IF(AND(ISNUMBER('Apostas - Grupos'!BT6),ISNUMBER('Apostas - Grupos'!BU6)),IF('Apostas - Grupos'!BT6&gt;'Apostas - Grupos'!BU6,1,0),0)</f>
        <v>0</v>
      </c>
      <c r="D116" s="120">
        <f>IF(AND(ISNUMBER('Apostas - Grupos'!BL6),ISNUMBER('Apostas - Grupos'!BM6)),IF('Apostas - Grupos'!BL6='Apostas - Grupos'!BM6,1,0),0)+IF(AND(ISNUMBER('Apostas - Grupos'!BP6),ISNUMBER('Apostas - Grupos'!BQ6)),IF('Apostas - Grupos'!BP6='Apostas - Grupos'!BQ6,1,0),0)+IF(AND(ISNUMBER('Apostas - Grupos'!BT6),ISNUMBER('Apostas - Grupos'!BU6)),IF('Apostas - Grupos'!BT6='Apostas - Grupos'!BU6,1,0),0)</f>
        <v>0</v>
      </c>
      <c r="E116" s="120">
        <f>IF(ISNUMBER('Apostas - Grupos'!BL6),'Apostas - Grupos'!BM6,0)+IF(ISNUMBER('Apostas - Grupos'!BP6),'Apostas - Grupos'!BP6,0)+IF(ISNUMBER('Apostas - Grupos'!BT6),'Apostas - Grupos'!BT6,0)</f>
        <v>0</v>
      </c>
      <c r="F116" s="120">
        <f>IF(ISNUMBER('Apostas - Grupos'!BL6),'Apostas - Grupos'!BL6,0)+IF(ISNUMBER('Apostas - Grupos'!BP6),'Apostas - Grupos'!BQ6,0)+IF(ISNUMBER('Apostas - Grupos'!BT6),'Apostas - Grupos'!BU6,0)</f>
        <v>0</v>
      </c>
      <c r="G116" s="120">
        <f t="shared" si="5"/>
        <v>0</v>
      </c>
      <c r="H116" s="34">
        <f t="shared" si="6"/>
        <v>0</v>
      </c>
      <c r="I116" s="120">
        <f t="shared" si="7"/>
        <v>200000470</v>
      </c>
      <c r="J116" s="34">
        <f>RANK(I116,$I$113:$I$116,0)</f>
        <v>4</v>
      </c>
      <c r="K116" s="120">
        <f>IF(AND(ISNUMBER('Apostas - Grupos'!BL6),ISNUMBER('Apostas - Grupos'!BM6)),1,0)+IF(AND(ISNUMBER('Apostas - Grupos'!BP6),ISNUMBER('Apostas - Grupos'!BQ6)),1,0)+IF(AND(ISNUMBER('Apostas - Grupos'!BT6),ISNUMBER('Apostas - Grupos'!BU6)),1,0)</f>
        <v>0</v>
      </c>
      <c r="L116" s="120">
        <f t="shared" si="8"/>
        <v>0</v>
      </c>
      <c r="M116" s="120">
        <v>30</v>
      </c>
    </row>
    <row r="117" spans="1:13">
      <c r="A117" s="121" t="s">
        <v>120</v>
      </c>
      <c r="B117" s="40" t="s">
        <v>121</v>
      </c>
      <c r="C117" s="122">
        <f>IF(AND(ISNUMBER('Apostas - Grupos'!BV6),ISNUMBER('Apostas - Grupos'!BW6)),IF('Apostas - Grupos'!BV6&gt;'Apostas - Grupos'!BW6,1,0),0)+IF(AND(ISNUMBER('Apostas - Grupos'!BZ6),ISNUMBER('Apostas - Grupos'!CA6)),IF('Apostas - Grupos'!BZ6&gt;'Apostas - Grupos'!CA6,1,0),0)+IF(AND(ISNUMBER('Apostas - Grupos'!CF6),ISNUMBER('Apostas - Grupos'!CG6)),IF('Apostas - Grupos'!CG6&gt;'Apostas - Grupos'!CF6,1,0),0)</f>
        <v>0</v>
      </c>
      <c r="D117" s="122">
        <f>IF(AND(ISNUMBER('Apostas - Grupos'!BV6),ISNUMBER('Apostas - Grupos'!BW6)),IF('Apostas - Grupos'!BV6='Apostas - Grupos'!BW6,1,0),0)+IF(AND(ISNUMBER('Apostas - Grupos'!BZ6),ISNUMBER('Apostas - Grupos'!CA6)),IF('Apostas - Grupos'!BZ6='Apostas - Grupos'!CA6,1,0),0)+IF(AND(ISNUMBER('Apostas - Grupos'!CF6),ISNUMBER('Apostas - Grupos'!CG6)),IF('Apostas - Grupos'!CF6='Apostas - Grupos'!CG6,1,0),0)</f>
        <v>0</v>
      </c>
      <c r="E117" s="122">
        <f>IF(ISNUMBER('Apostas - Grupos'!BV6),'Apostas - Grupos'!BV6,0)+IF(ISNUMBER('Apostas - Grupos'!BZ6),'Apostas - Grupos'!BZ6,0)+IF(ISNUMBER('Apostas - Grupos'!CF6),'Apostas - Grupos'!CG6,0)</f>
        <v>0</v>
      </c>
      <c r="F117" s="122">
        <f>IF(ISNUMBER('Apostas - Grupos'!BV6),'Apostas - Grupos'!BW6,0)+IF(ISNUMBER('Apostas - Grupos'!BZ6),'Apostas - Grupos'!CA6,0)+IF(ISNUMBER('Apostas - Grupos'!CF6),'Apostas - Grupos'!CF6,0)</f>
        <v>0</v>
      </c>
      <c r="G117" s="122">
        <f t="shared" si="5"/>
        <v>0</v>
      </c>
      <c r="H117" s="39">
        <f t="shared" si="6"/>
        <v>0</v>
      </c>
      <c r="I117" s="122">
        <f t="shared" si="7"/>
        <v>200000497</v>
      </c>
      <c r="J117" s="39">
        <f>RANK(I117,$I$117:$I$120,0)</f>
        <v>1</v>
      </c>
      <c r="K117" s="122">
        <f>IF(AND(ISNUMBER('Apostas - Grupos'!BV6),ISNUMBER('Apostas - Grupos'!BW6)),1,0)+IF(AND(ISNUMBER('Apostas - Grupos'!BZ6),ISNUMBER('Apostas - Grupos'!CA6)),1,0)+IF(AND(ISNUMBER('Apostas - Grupos'!CF6),ISNUMBER('Apostas - Grupos'!CG6)),1,0)</f>
        <v>0</v>
      </c>
      <c r="L117" s="122">
        <f t="shared" si="8"/>
        <v>0</v>
      </c>
      <c r="M117" s="122">
        <v>3</v>
      </c>
    </row>
    <row r="118" spans="1:13">
      <c r="A118" s="121" t="s">
        <v>120</v>
      </c>
      <c r="B118" s="40" t="s">
        <v>122</v>
      </c>
      <c r="C118" s="122">
        <f>IF(AND(ISNUMBER('Apostas - Grupos'!BV6),ISNUMBER('Apostas - Grupos'!BW6)),IF('Apostas - Grupos'!BW6&gt;'Apostas - Grupos'!BV6,1,0),0)+IF(AND(ISNUMBER('Apostas - Grupos'!CB6),ISNUMBER('Apostas - Grupos'!CC6)),IF('Apostas - Grupos'!CC6&gt;'Apostas - Grupos'!CB6,1,0),0)+IF(AND(ISNUMBER('Apostas - Grupos'!CD6),ISNUMBER('Apostas - Grupos'!CE6)),IF('Apostas - Grupos'!CD6&gt;'Apostas - Grupos'!CE6,1,0),0)</f>
        <v>0</v>
      </c>
      <c r="D118" s="122">
        <f>IF(AND(ISNUMBER('Apostas - Grupos'!BV6),ISNUMBER('Apostas - Grupos'!BW6)),IF('Apostas - Grupos'!BV6='Apostas - Grupos'!BW6,1,0),0)+IF(AND(ISNUMBER('Apostas - Grupos'!CB6),ISNUMBER('Apostas - Grupos'!CC6)),IF('Apostas - Grupos'!CB6='Apostas - Grupos'!CC6,1,0),0)+IF(AND(ISNUMBER('Apostas - Grupos'!CD6),ISNUMBER('Apostas - Grupos'!CE6)),IF('Apostas - Grupos'!CD6='Apostas - Grupos'!CE6,1,0),0)</f>
        <v>0</v>
      </c>
      <c r="E118" s="122">
        <f>IF(ISNUMBER('Apostas - Grupos'!BV6),'Apostas - Grupos'!BW6,0)+IF(ISNUMBER('Apostas - Grupos'!CB6),'Apostas - Grupos'!CC6,0)+IF(ISNUMBER('Apostas - Grupos'!CD6),'Apostas - Grupos'!CD6,0)</f>
        <v>0</v>
      </c>
      <c r="F118" s="122">
        <f>IF(ISNUMBER('Apostas - Grupos'!BV6),'Apostas - Grupos'!BV6,0)+IF(ISNUMBER('Apostas - Grupos'!CB6),'Apostas - Grupos'!CB6,0)+IF(ISNUMBER('Apostas - Grupos'!CD6),'Apostas - Grupos'!CE6,0)</f>
        <v>0</v>
      </c>
      <c r="G118" s="122">
        <f t="shared" si="5"/>
        <v>0</v>
      </c>
      <c r="H118" s="39">
        <f t="shared" si="6"/>
        <v>0</v>
      </c>
      <c r="I118" s="122">
        <f t="shared" si="7"/>
        <v>200000464</v>
      </c>
      <c r="J118" s="39">
        <f>RANK(I118,$I$117:$I$120,0)</f>
        <v>3</v>
      </c>
      <c r="K118" s="122">
        <f>IF(AND(ISNUMBER('Apostas - Grupos'!BV6),ISNUMBER('Apostas - Grupos'!BW6)),1,0)+IF(AND(ISNUMBER('Apostas - Grupos'!CB6),ISNUMBER('Apostas - Grupos'!CC6)),1,0)+IF(AND(ISNUMBER('Apostas - Grupos'!CD6),ISNUMBER('Apostas - Grupos'!CE6)),1,0)</f>
        <v>0</v>
      </c>
      <c r="L118" s="122">
        <f t="shared" si="8"/>
        <v>0</v>
      </c>
      <c r="M118" s="122">
        <v>36</v>
      </c>
    </row>
    <row r="119" spans="1:13">
      <c r="A119" s="121" t="s">
        <v>120</v>
      </c>
      <c r="B119" s="40" t="s">
        <v>124</v>
      </c>
      <c r="C119" s="122">
        <f>IF(AND(ISNUMBER('Apostas - Grupos'!BX6),ISNUMBER('Apostas - Grupos'!BY6)),IF('Apostas - Grupos'!BX6&gt;'Apostas - Grupos'!BY6,1,0),0)+IF(AND(ISNUMBER('Apostas - Grupos'!BZ6),ISNUMBER('Apostas - Grupos'!CA6)),IF('Apostas - Grupos'!CA6&gt;'Apostas - Grupos'!BZ6,1,0),0)+IF(AND(ISNUMBER('Apostas - Grupos'!CD6),ISNUMBER('Apostas - Grupos'!CE6)),IF('Apostas - Grupos'!CE6&gt;'Apostas - Grupos'!CD6,1,0),0)</f>
        <v>0</v>
      </c>
      <c r="D119" s="122">
        <f>IF(AND(ISNUMBER('Apostas - Grupos'!BX6),ISNUMBER('Apostas - Grupos'!BY6)),IF('Apostas - Grupos'!BX6='Apostas - Grupos'!BY6,1,0),0)+IF(AND(ISNUMBER('Apostas - Grupos'!BZ6),ISNUMBER('Apostas - Grupos'!CA6)),IF('Apostas - Grupos'!BZ6='Apostas - Grupos'!CA6,1,0),0)+IF(AND(ISNUMBER('Apostas - Grupos'!CD6),ISNUMBER('Apostas - Grupos'!CE6)),IF('Apostas - Grupos'!CD6='Apostas - Grupos'!CE6,1,0),0)</f>
        <v>0</v>
      </c>
      <c r="E119" s="122">
        <f>IF(ISNUMBER('Apostas - Grupos'!BX6),'Apostas - Grupos'!BX6,0)+IF(ISNUMBER('Apostas - Grupos'!BZ6),'Apostas - Grupos'!CA6,0)+IF(ISNUMBER('Apostas - Grupos'!CD6),'Apostas - Grupos'!CE6,0)</f>
        <v>0</v>
      </c>
      <c r="F119" s="122">
        <f>IF(ISNUMBER('Apostas - Grupos'!BX6),'Apostas - Grupos'!BY6,0)+IF(ISNUMBER('Apostas - Grupos'!BZ6),'Apostas - Grupos'!BZ6,0)+IF(ISNUMBER('Apostas - Grupos'!CD6),'Apostas - Grupos'!CD6,0)</f>
        <v>0</v>
      </c>
      <c r="G119" s="122">
        <f t="shared" si="5"/>
        <v>0</v>
      </c>
      <c r="H119" s="39">
        <f t="shared" si="6"/>
        <v>0</v>
      </c>
      <c r="I119" s="122">
        <f t="shared" si="7"/>
        <v>200000475</v>
      </c>
      <c r="J119" s="39">
        <f>RANK(I119,$I$117:$I$120,0)</f>
        <v>2</v>
      </c>
      <c r="K119" s="122">
        <f>IF(AND(ISNUMBER('Apostas - Grupos'!BX6),ISNUMBER('Apostas - Grupos'!BY6)),1,0)+IF(AND(ISNUMBER('Apostas - Grupos'!BZ6),ISNUMBER('Apostas - Grupos'!CA6)),1,0)+IF(AND(ISNUMBER('Apostas - Grupos'!CD6),ISNUMBER('Apostas - Grupos'!CE6)),1,0)</f>
        <v>0</v>
      </c>
      <c r="L119" s="122">
        <f t="shared" si="8"/>
        <v>0</v>
      </c>
      <c r="M119" s="122">
        <v>25</v>
      </c>
    </row>
    <row r="120" spans="1:13">
      <c r="A120" s="121" t="s">
        <v>120</v>
      </c>
      <c r="B120" s="40" t="s">
        <v>125</v>
      </c>
      <c r="C120" s="122">
        <f>IF(AND(ISNUMBER('Apostas - Grupos'!BX6),ISNUMBER('Apostas - Grupos'!BY6)),IF('Apostas - Grupos'!BY6&gt;'Apostas - Grupos'!BX6,1,0),0)+IF(AND(ISNUMBER('Apostas - Grupos'!CB6),ISNUMBER('Apostas - Grupos'!CC6)),IF('Apostas - Grupos'!CB6&gt;'Apostas - Grupos'!CC6,1,0),0)+IF(AND(ISNUMBER('Apostas - Grupos'!CF6),ISNUMBER('Apostas - Grupos'!CG6)),IF('Apostas - Grupos'!CF6&gt;'Apostas - Grupos'!CG6,1,0),0)</f>
        <v>0</v>
      </c>
      <c r="D120" s="122">
        <f>IF(AND(ISNUMBER('Apostas - Grupos'!BX6),ISNUMBER('Apostas - Grupos'!BY6)),IF('Apostas - Grupos'!BX6='Apostas - Grupos'!BY6,1,0),0)+IF(AND(ISNUMBER('Apostas - Grupos'!CB6),ISNUMBER('Apostas - Grupos'!CC6)),IF('Apostas - Grupos'!CB6='Apostas - Grupos'!CC6,1,0),0)+IF(AND(ISNUMBER('Apostas - Grupos'!CF6),ISNUMBER('Apostas - Grupos'!CG6)),IF('Apostas - Grupos'!CF6='Apostas - Grupos'!CG6,1,0),0)</f>
        <v>0</v>
      </c>
      <c r="E120" s="122">
        <f>IF(ISNUMBER('Apostas - Grupos'!BX6),'Apostas - Grupos'!BY6,0)+IF(ISNUMBER('Apostas - Grupos'!CB6),'Apostas - Grupos'!CB6,0)+IF(ISNUMBER('Apostas - Grupos'!CF6),'Apostas - Grupos'!CF6,0)</f>
        <v>0</v>
      </c>
      <c r="F120" s="122">
        <f>IF(ISNUMBER('Apostas - Grupos'!BX6),'Apostas - Grupos'!BX6,0)+IF(ISNUMBER('Apostas - Grupos'!CB6),'Apostas - Grupos'!CC6,0)+IF(ISNUMBER('Apostas - Grupos'!CF6),'Apostas - Grupos'!CG6,0)</f>
        <v>0</v>
      </c>
      <c r="G120" s="122">
        <f t="shared" si="5"/>
        <v>0</v>
      </c>
      <c r="H120" s="39">
        <f t="shared" si="6"/>
        <v>0</v>
      </c>
      <c r="I120" s="122">
        <f t="shared" si="7"/>
        <v>200000402</v>
      </c>
      <c r="J120" s="39">
        <f>RANK(I120,$I$117:$I$120,0)</f>
        <v>4</v>
      </c>
      <c r="K120" s="122">
        <f>IF(AND(ISNUMBER('Apostas - Grupos'!BX6),ISNUMBER('Apostas - Grupos'!BY6)),1,0)+IF(AND(ISNUMBER('Apostas - Grupos'!CB6),ISNUMBER('Apostas - Grupos'!CC6)),1,0)+IF(AND(ISNUMBER('Apostas - Grupos'!CF6),ISNUMBER('Apostas - Grupos'!CG6)),1,0)</f>
        <v>0</v>
      </c>
      <c r="L120" s="122">
        <f t="shared" si="8"/>
        <v>0</v>
      </c>
      <c r="M120" s="122">
        <v>98</v>
      </c>
    </row>
    <row r="121" spans="1:13">
      <c r="A121" s="123" t="s">
        <v>131</v>
      </c>
      <c r="B121" s="45" t="s">
        <v>132</v>
      </c>
      <c r="C121" s="124">
        <f>IF(AND(ISNUMBER('Apostas - Grupos'!CH6),ISNUMBER('Apostas - Grupos'!CI6)),IF('Apostas - Grupos'!CH6&gt;'Apostas - Grupos'!CI6,1,0),0)+IF(AND(ISNUMBER('Apostas - Grupos'!CL6),ISNUMBER('Apostas - Grupos'!CM6)),IF('Apostas - Grupos'!CL6&gt;'Apostas - Grupos'!CM6,1,0),0)+IF(AND(ISNUMBER('Apostas - Grupos'!CR6),ISNUMBER('Apostas - Grupos'!CS6)),IF('Apostas - Grupos'!CS6&gt;'Apostas - Grupos'!CR6,1,0),0)</f>
        <v>0</v>
      </c>
      <c r="D121" s="124">
        <f>IF(AND(ISNUMBER('Apostas - Grupos'!CH6),ISNUMBER('Apostas - Grupos'!CI6)),IF('Apostas - Grupos'!CH6='Apostas - Grupos'!CI6,1,0),0)+IF(AND(ISNUMBER('Apostas - Grupos'!CL6),ISNUMBER('Apostas - Grupos'!CM6)),IF('Apostas - Grupos'!CL6='Apostas - Grupos'!CM6,1,0),0)+IF(AND(ISNUMBER('Apostas - Grupos'!CR6),ISNUMBER('Apostas - Grupos'!CS6)),IF('Apostas - Grupos'!CR6='Apostas - Grupos'!CS6,1,0),0)</f>
        <v>0</v>
      </c>
      <c r="E121" s="124">
        <f>IF(ISNUMBER('Apostas - Grupos'!CH6),'Apostas - Grupos'!CH6,0)+IF(ISNUMBER('Apostas - Grupos'!CL6),'Apostas - Grupos'!CL6,0)+IF(ISNUMBER('Apostas - Grupos'!CR6),'Apostas - Grupos'!CS6,0)</f>
        <v>0</v>
      </c>
      <c r="F121" s="124">
        <f>IF(ISNUMBER('Apostas - Grupos'!CH6),'Apostas - Grupos'!CI6,0)+IF(ISNUMBER('Apostas - Grupos'!CL6),'Apostas - Grupos'!CM6,0)+IF(ISNUMBER('Apostas - Grupos'!CR6),'Apostas - Grupos'!CR6,0)</f>
        <v>0</v>
      </c>
      <c r="G121" s="124">
        <f t="shared" si="5"/>
        <v>0</v>
      </c>
      <c r="H121" s="44">
        <f t="shared" si="6"/>
        <v>0</v>
      </c>
      <c r="I121" s="124">
        <f t="shared" si="7"/>
        <v>200000496</v>
      </c>
      <c r="J121" s="44">
        <f>RANK(I121,$I$121:$I$124,0)</f>
        <v>1</v>
      </c>
      <c r="K121" s="124">
        <f>IF(AND(ISNUMBER('Apostas - Grupos'!CH6),ISNUMBER('Apostas - Grupos'!CI6)),1,0)+IF(AND(ISNUMBER('Apostas - Grupos'!CL6),ISNUMBER('Apostas - Grupos'!CM6)),1,0)+IF(AND(ISNUMBER('Apostas - Grupos'!CR6),ISNUMBER('Apostas - Grupos'!CS6)),1,0)</f>
        <v>0</v>
      </c>
      <c r="L121" s="124">
        <f t="shared" si="8"/>
        <v>0</v>
      </c>
      <c r="M121" s="124">
        <v>4</v>
      </c>
    </row>
    <row r="122" spans="1:13">
      <c r="A122" s="123" t="s">
        <v>131</v>
      </c>
      <c r="B122" s="45" t="s">
        <v>133</v>
      </c>
      <c r="C122" s="124">
        <f>IF(AND(ISNUMBER('Apostas - Grupos'!CH6),ISNUMBER('Apostas - Grupos'!CI6)),IF('Apostas - Grupos'!CI6&gt;'Apostas - Grupos'!CH6,1,0),0)+IF(AND(ISNUMBER('Apostas - Grupos'!CN6),ISNUMBER('Apostas - Grupos'!CO6)),IF('Apostas - Grupos'!CO6&gt;'Apostas - Grupos'!CN6,1,0),0)+IF(AND(ISNUMBER('Apostas - Grupos'!CP6),ISNUMBER('Apostas - Grupos'!CQ6)),IF('Apostas - Grupos'!CP6&gt;'Apostas - Grupos'!CQ6,1,0),0)</f>
        <v>0</v>
      </c>
      <c r="D122" s="124">
        <f>IF(AND(ISNUMBER('Apostas - Grupos'!CH6),ISNUMBER('Apostas - Grupos'!CI6)),IF('Apostas - Grupos'!CH6='Apostas - Grupos'!CI6,1,0),0)+IF(AND(ISNUMBER('Apostas - Grupos'!CN6),ISNUMBER('Apostas - Grupos'!CO6)),IF('Apostas - Grupos'!CN6='Apostas - Grupos'!CO6,1,0),0)+IF(AND(ISNUMBER('Apostas - Grupos'!CP6),ISNUMBER('Apostas - Grupos'!CQ6)),IF('Apostas - Grupos'!CP6='Apostas - Grupos'!CQ6,1,0),0)</f>
        <v>0</v>
      </c>
      <c r="E122" s="124">
        <f>IF(ISNUMBER('Apostas - Grupos'!CH6),'Apostas - Grupos'!CI6,0)+IF(ISNUMBER('Apostas - Grupos'!CN6),'Apostas - Grupos'!CO6,0)+IF(ISNUMBER('Apostas - Grupos'!CP6),'Apostas - Grupos'!CP6,0)</f>
        <v>0</v>
      </c>
      <c r="F122" s="124">
        <f>IF(ISNUMBER('Apostas - Grupos'!CH6),'Apostas - Grupos'!CH6,0)+IF(ISNUMBER('Apostas - Grupos'!CN6),'Apostas - Grupos'!CN6,0)+IF(ISNUMBER('Apostas - Grupos'!CP6),'Apostas - Grupos'!CQ6,0)</f>
        <v>0</v>
      </c>
      <c r="G122" s="124">
        <f t="shared" si="5"/>
        <v>0</v>
      </c>
      <c r="H122" s="44">
        <f t="shared" si="6"/>
        <v>0</v>
      </c>
      <c r="I122" s="124">
        <f t="shared" si="7"/>
        <v>200000412</v>
      </c>
      <c r="J122" s="44">
        <f>RANK(I122,$I$121:$I$124,0)</f>
        <v>4</v>
      </c>
      <c r="K122" s="124">
        <f>IF(AND(ISNUMBER('Apostas - Grupos'!CH6),ISNUMBER('Apostas - Grupos'!CI6)),1,0)+IF(AND(ISNUMBER('Apostas - Grupos'!CN6),ISNUMBER('Apostas - Grupos'!CO6)),1,0)+IF(AND(ISNUMBER('Apostas - Grupos'!CP6),ISNUMBER('Apostas - Grupos'!CQ6)),1,0)</f>
        <v>0</v>
      </c>
      <c r="L122" s="124">
        <f t="shared" si="8"/>
        <v>0</v>
      </c>
      <c r="M122" s="124">
        <v>88</v>
      </c>
    </row>
    <row r="123" spans="1:13">
      <c r="A123" s="123" t="s">
        <v>131</v>
      </c>
      <c r="B123" s="45" t="s">
        <v>135</v>
      </c>
      <c r="C123" s="124">
        <f>IF(AND(ISNUMBER('Apostas - Grupos'!CJ6),ISNUMBER('Apostas - Grupos'!CK6)),IF('Apostas - Grupos'!CJ6&gt;'Apostas - Grupos'!CK6,1,0),0)+IF(AND(ISNUMBER('Apostas - Grupos'!CL6),ISNUMBER('Apostas - Grupos'!CM6)),IF('Apostas - Grupos'!CM6&gt;'Apostas - Grupos'!CL6,1,0),0)+IF(AND(ISNUMBER('Apostas - Grupos'!CP6),ISNUMBER('Apostas - Grupos'!CQ6)),IF('Apostas - Grupos'!CQ6&gt;'Apostas - Grupos'!CP6,1,0),0)</f>
        <v>0</v>
      </c>
      <c r="D123" s="124">
        <f>IF(AND(ISNUMBER('Apostas - Grupos'!CJ6),ISNUMBER('Apostas - Grupos'!CK6)),IF('Apostas - Grupos'!CJ6='Apostas - Grupos'!CK6,1,0),0)+IF(AND(ISNUMBER('Apostas - Grupos'!CL6),ISNUMBER('Apostas - Grupos'!CM6)),IF('Apostas - Grupos'!CL6='Apostas - Grupos'!CM6,1,0),0)+IF(AND(ISNUMBER('Apostas - Grupos'!CP6),ISNUMBER('Apostas - Grupos'!CQ6)),IF('Apostas - Grupos'!CP6='Apostas - Grupos'!CQ6,1,0),0)</f>
        <v>0</v>
      </c>
      <c r="E123" s="124">
        <f>IF(ISNUMBER('Apostas - Grupos'!CJ6),'Apostas - Grupos'!CJ6,0)+IF(ISNUMBER('Apostas - Grupos'!CL6),'Apostas - Grupos'!CM6,0)+IF(ISNUMBER('Apostas - Grupos'!CP6),'Apostas - Grupos'!CQ6,0)</f>
        <v>0</v>
      </c>
      <c r="F123" s="124">
        <f>IF(ISNUMBER('Apostas - Grupos'!CJ6),'Apostas - Grupos'!CK6,0)+IF(ISNUMBER('Apostas - Grupos'!CL6),'Apostas - Grupos'!CL6,0)+IF(ISNUMBER('Apostas - Grupos'!CP6),'Apostas - Grupos'!CP6,0)</f>
        <v>0</v>
      </c>
      <c r="G123" s="124">
        <f t="shared" si="5"/>
        <v>0</v>
      </c>
      <c r="H123" s="44">
        <f t="shared" si="6"/>
        <v>0</v>
      </c>
      <c r="I123" s="124">
        <f t="shared" si="7"/>
        <v>200000443</v>
      </c>
      <c r="J123" s="44">
        <f>RANK(I123,$I$121:$I$124,0)</f>
        <v>3</v>
      </c>
      <c r="K123" s="124">
        <f>IF(AND(ISNUMBER('Apostas - Grupos'!CJ6),ISNUMBER('Apostas - Grupos'!CK6)),1,0)+IF(AND(ISNUMBER('Apostas - Grupos'!CL6),ISNUMBER('Apostas - Grupos'!CM6)),1,0)+IF(AND(ISNUMBER('Apostas - Grupos'!CP6),ISNUMBER('Apostas - Grupos'!CQ6)),1,0)</f>
        <v>0</v>
      </c>
      <c r="L123" s="124">
        <f t="shared" si="8"/>
        <v>0</v>
      </c>
      <c r="M123" s="124">
        <v>57</v>
      </c>
    </row>
    <row r="124" spans="1:13">
      <c r="A124" s="123" t="s">
        <v>131</v>
      </c>
      <c r="B124" s="45" t="s">
        <v>136</v>
      </c>
      <c r="C124" s="124">
        <f>IF(AND(ISNUMBER('Apostas - Grupos'!CJ6),ISNUMBER('Apostas - Grupos'!CK6)),IF('Apostas - Grupos'!CK6&gt;'Apostas - Grupos'!CJ6,1,0),0)+IF(AND(ISNUMBER('Apostas - Grupos'!CN6),ISNUMBER('Apostas - Grupos'!CO6)),IF('Apostas - Grupos'!CN6&gt;'Apostas - Grupos'!CO6,1,0),0)+IF(AND(ISNUMBER('Apostas - Grupos'!CR6),ISNUMBER('Apostas - Grupos'!CS6)),IF('Apostas - Grupos'!CR6&gt;'Apostas - Grupos'!CS6,1,0),0)</f>
        <v>0</v>
      </c>
      <c r="D124" s="124">
        <f>IF(AND(ISNUMBER('Apostas - Grupos'!CJ6),ISNUMBER('Apostas - Grupos'!CK6)),IF('Apostas - Grupos'!CJ6='Apostas - Grupos'!CK6,1,0),0)+IF(AND(ISNUMBER('Apostas - Grupos'!CN6),ISNUMBER('Apostas - Grupos'!CO6)),IF('Apostas - Grupos'!CN6='Apostas - Grupos'!CO6,1,0),0)+IF(AND(ISNUMBER('Apostas - Grupos'!CR6),ISNUMBER('Apostas - Grupos'!CS6)),IF('Apostas - Grupos'!CR6='Apostas - Grupos'!CS6,1,0),0)</f>
        <v>0</v>
      </c>
      <c r="E124" s="124">
        <f>IF(ISNUMBER('Apostas - Grupos'!CJ6),'Apostas - Grupos'!CK6,0)+IF(ISNUMBER('Apostas - Grupos'!CN6),'Apostas - Grupos'!CN6,0)+IF(ISNUMBER('Apostas - Grupos'!CR6),'Apostas - Grupos'!CR6,0)</f>
        <v>0</v>
      </c>
      <c r="F124" s="124">
        <f>IF(ISNUMBER('Apostas - Grupos'!CJ6),'Apostas - Grupos'!CJ6,0)+IF(ISNUMBER('Apostas - Grupos'!CN6),'Apostas - Grupos'!CO6,0)+IF(ISNUMBER('Apostas - Grupos'!CR6),'Apostas - Grupos'!CS6,0)</f>
        <v>0</v>
      </c>
      <c r="G124" s="124">
        <f t="shared" si="5"/>
        <v>0</v>
      </c>
      <c r="H124" s="44">
        <f t="shared" si="6"/>
        <v>0</v>
      </c>
      <c r="I124" s="124">
        <f t="shared" si="7"/>
        <v>200000483</v>
      </c>
      <c r="J124" s="44">
        <f>RANK(I124,$I$121:$I$124,0)</f>
        <v>2</v>
      </c>
      <c r="K124" s="124">
        <f>IF(AND(ISNUMBER('Apostas - Grupos'!CJ6),ISNUMBER('Apostas - Grupos'!CK6)),1,0)+IF(AND(ISNUMBER('Apostas - Grupos'!CN6),ISNUMBER('Apostas - Grupos'!CO6)),1,0)+IF(AND(ISNUMBER('Apostas - Grupos'!CR6),ISNUMBER('Apostas - Grupos'!CS6)),1,0)</f>
        <v>0</v>
      </c>
      <c r="L124" s="124">
        <f t="shared" si="8"/>
        <v>0</v>
      </c>
      <c r="M124" s="124">
        <v>17</v>
      </c>
    </row>
    <row r="125" spans="1:13">
      <c r="A125" s="125" t="s">
        <v>142</v>
      </c>
      <c r="B125" s="50" t="s">
        <v>143</v>
      </c>
      <c r="C125" s="126">
        <f>IF(AND(ISNUMBER('Apostas - Grupos'!CT6),ISNUMBER('Apostas - Grupos'!CU6)),IF('Apostas - Grupos'!CT6&gt;'Apostas - Grupos'!CU6,1,0),0)+IF(AND(ISNUMBER('Apostas - Grupos'!CX6),ISNUMBER('Apostas - Grupos'!CY6)),IF('Apostas - Grupos'!CX6&gt;'Apostas - Grupos'!CY6,1,0),0)+IF(AND(ISNUMBER('Apostas - Grupos'!DB6),ISNUMBER('Apostas - Grupos'!DC6)),IF('Apostas - Grupos'!DC6&gt;'Apostas - Grupos'!DB6,1,0),0)</f>
        <v>0</v>
      </c>
      <c r="D125" s="126">
        <f>IF(AND(ISNUMBER('Apostas - Grupos'!CT6),ISNUMBER('Apostas - Grupos'!CU6)),IF('Apostas - Grupos'!CT6='Apostas - Grupos'!CU6,1,0),0)+IF(AND(ISNUMBER('Apostas - Grupos'!CX6),ISNUMBER('Apostas - Grupos'!CY6)),IF('Apostas - Grupos'!CX6='Apostas - Grupos'!CY6,1,0),0)+IF(AND(ISNUMBER('Apostas - Grupos'!DB6),ISNUMBER('Apostas - Grupos'!DC6)),IF('Apostas - Grupos'!DB6='Apostas - Grupos'!DC6,1,0),0)</f>
        <v>0</v>
      </c>
      <c r="E125" s="126">
        <f>IF(ISNUMBER('Apostas - Grupos'!CT6),'Apostas - Grupos'!CT6,0)+IF(ISNUMBER('Apostas - Grupos'!CX6),'Apostas - Grupos'!CX6,0)+IF(ISNUMBER('Apostas - Grupos'!DB6),'Apostas - Grupos'!DC6,0)</f>
        <v>0</v>
      </c>
      <c r="F125" s="126">
        <f>IF(ISNUMBER('Apostas - Grupos'!CT6),'Apostas - Grupos'!CU6,0)+IF(ISNUMBER('Apostas - Grupos'!CX6),'Apostas - Grupos'!CY6,0)+IF(ISNUMBER('Apostas - Grupos'!DB6),'Apostas - Grupos'!DB6,0)</f>
        <v>0</v>
      </c>
      <c r="G125" s="126">
        <f t="shared" si="5"/>
        <v>0</v>
      </c>
      <c r="H125" s="49">
        <f t="shared" si="6"/>
        <v>0</v>
      </c>
      <c r="I125" s="126">
        <f t="shared" si="7"/>
        <v>200000498</v>
      </c>
      <c r="J125" s="49">
        <f>RANK(I125,$I$125:$I$128,0)</f>
        <v>1</v>
      </c>
      <c r="K125" s="126">
        <f>IF(AND(ISNUMBER('Apostas - Grupos'!CT6),ISNUMBER('Apostas - Grupos'!CU6)),1,0)+IF(AND(ISNUMBER('Apostas - Grupos'!CX6),ISNUMBER('Apostas - Grupos'!CY6)),1,0)+IF(AND(ISNUMBER('Apostas - Grupos'!DB6),ISNUMBER('Apostas - Grupos'!DC6)),1,0)</f>
        <v>0</v>
      </c>
      <c r="L125" s="126">
        <f t="shared" si="8"/>
        <v>0</v>
      </c>
      <c r="M125" s="126">
        <v>2</v>
      </c>
    </row>
    <row r="126" spans="1:13">
      <c r="A126" s="125" t="s">
        <v>142</v>
      </c>
      <c r="B126" s="50" t="s">
        <v>144</v>
      </c>
      <c r="C126" s="126">
        <f>IF(AND(ISNUMBER('Apostas - Grupos'!CT6),ISNUMBER('Apostas - Grupos'!CU6)),IF('Apostas - Grupos'!CU6&gt;'Apostas - Grupos'!CT6,1,0),0)+IF(AND(ISNUMBER('Apostas - Grupos'!CZ6),ISNUMBER('Apostas - Grupos'!DA6)),IF('Apostas - Grupos'!DA6&gt;'Apostas - Grupos'!CZ6,1,0),0)+IF(AND(ISNUMBER('Apostas - Grupos'!DD6),ISNUMBER('Apostas - Grupos'!DE6)),IF('Apostas - Grupos'!DD6&gt;'Apostas - Grupos'!DE6,1,0),0)</f>
        <v>0</v>
      </c>
      <c r="D126" s="126">
        <f>IF(AND(ISNUMBER('Apostas - Grupos'!CT6),ISNUMBER('Apostas - Grupos'!CU6)),IF('Apostas - Grupos'!CT6='Apostas - Grupos'!CU6,1,0),0)+IF(AND(ISNUMBER('Apostas - Grupos'!CZ6),ISNUMBER('Apostas - Grupos'!DA6)),IF('Apostas - Grupos'!CZ6='Apostas - Grupos'!DA6,1,0),0)+IF(AND(ISNUMBER('Apostas - Grupos'!DD6),ISNUMBER('Apostas - Grupos'!DE6)),IF('Apostas - Grupos'!DD6='Apostas - Grupos'!DE6,1,0),0)</f>
        <v>0</v>
      </c>
      <c r="E126" s="126">
        <f>IF(ISNUMBER('Apostas - Grupos'!CT6),'Apostas - Grupos'!CU6,0)+IF(ISNUMBER('Apostas - Grupos'!CZ6),'Apostas - Grupos'!DA6,0)+IF(ISNUMBER('Apostas - Grupos'!DD6),'Apostas - Grupos'!DD6,0)</f>
        <v>0</v>
      </c>
      <c r="F126" s="126">
        <f>IF(ISNUMBER('Apostas - Grupos'!CT6),'Apostas - Grupos'!CT6,0)+IF(ISNUMBER('Apostas - Grupos'!CZ6),'Apostas - Grupos'!CZ6,0)+IF(ISNUMBER('Apostas - Grupos'!DD6),'Apostas - Grupos'!DE6,0)</f>
        <v>0</v>
      </c>
      <c r="G126" s="126">
        <f t="shared" si="5"/>
        <v>0</v>
      </c>
      <c r="H126" s="49">
        <f t="shared" si="6"/>
        <v>0</v>
      </c>
      <c r="I126" s="126">
        <f t="shared" si="7"/>
        <v>200000479</v>
      </c>
      <c r="J126" s="49">
        <f>RANK(I126,$I$125:$I$128,0)</f>
        <v>2</v>
      </c>
      <c r="K126" s="126">
        <f>IF(AND(ISNUMBER('Apostas - Grupos'!CT6),ISNUMBER('Apostas - Grupos'!CU6)),1,0)+IF(AND(ISNUMBER('Apostas - Grupos'!CZ6),ISNUMBER('Apostas - Grupos'!DA6)),1,0)+IF(AND(ISNUMBER('Apostas - Grupos'!DD6),ISNUMBER('Apostas - Grupos'!DE6)),1,0)</f>
        <v>0</v>
      </c>
      <c r="L126" s="126">
        <f t="shared" si="8"/>
        <v>0</v>
      </c>
      <c r="M126" s="126">
        <v>21</v>
      </c>
    </row>
    <row r="127" spans="1:13">
      <c r="A127" s="125" t="s">
        <v>142</v>
      </c>
      <c r="B127" s="50" t="s">
        <v>146</v>
      </c>
      <c r="C127" s="126">
        <f>IF(AND(ISNUMBER('Apostas - Grupos'!CV6),ISNUMBER('Apostas - Grupos'!CW6)),IF('Apostas - Grupos'!CV6&gt;'Apostas - Grupos'!CW6,1,0),0)+IF(AND(ISNUMBER('Apostas - Grupos'!CX6),ISNUMBER('Apostas - Grupos'!CY6)),IF('Apostas - Grupos'!CY6&gt;'Apostas - Grupos'!CX6,1,0),0)+IF(AND(ISNUMBER('Apostas - Grupos'!DD6),ISNUMBER('Apostas - Grupos'!DE6)),IF('Apostas - Grupos'!DE6&gt;'Apostas - Grupos'!DD6,1,0),0)</f>
        <v>0</v>
      </c>
      <c r="D127" s="126">
        <f>IF(AND(ISNUMBER('Apostas - Grupos'!CV6),ISNUMBER('Apostas - Grupos'!CW6)),IF('Apostas - Grupos'!CV6='Apostas - Grupos'!CW6,1,0),0)+IF(AND(ISNUMBER('Apostas - Grupos'!CX6),ISNUMBER('Apostas - Grupos'!CY6)),IF('Apostas - Grupos'!CX6='Apostas - Grupos'!CY6,1,0),0)+IF(AND(ISNUMBER('Apostas - Grupos'!DD6),ISNUMBER('Apostas - Grupos'!DE6)),IF('Apostas - Grupos'!DD6='Apostas - Grupos'!DE6,1,0),0)</f>
        <v>0</v>
      </c>
      <c r="E127" s="126">
        <f>IF(ISNUMBER('Apostas - Grupos'!CV6),'Apostas - Grupos'!CV6,0)+IF(ISNUMBER('Apostas - Grupos'!CX6),'Apostas - Grupos'!CY6,0)+IF(ISNUMBER('Apostas - Grupos'!DD6),'Apostas - Grupos'!DE6,0)</f>
        <v>0</v>
      </c>
      <c r="F127" s="126">
        <f>IF(ISNUMBER('Apostas - Grupos'!CV6),'Apostas - Grupos'!CW6,0)+IF(ISNUMBER('Apostas - Grupos'!CX6),'Apostas - Grupos'!CX6,0)+IF(ISNUMBER('Apostas - Grupos'!DD6),'Apostas - Grupos'!DD6,0)</f>
        <v>0</v>
      </c>
      <c r="G127" s="126">
        <f t="shared" si="5"/>
        <v>0</v>
      </c>
      <c r="H127" s="49">
        <f t="shared" si="6"/>
        <v>0</v>
      </c>
      <c r="I127" s="126">
        <f t="shared" si="7"/>
        <v>200000435</v>
      </c>
      <c r="J127" s="49">
        <f>RANK(I127,$I$125:$I$128,0)</f>
        <v>4</v>
      </c>
      <c r="K127" s="126">
        <f>IF(AND(ISNUMBER('Apostas - Grupos'!CV6),ISNUMBER('Apostas - Grupos'!CW6)),1,0)+IF(AND(ISNUMBER('Apostas - Grupos'!CX6),ISNUMBER('Apostas - Grupos'!CY6)),1,0)+IF(AND(ISNUMBER('Apostas - Grupos'!DD6),ISNUMBER('Apostas - Grupos'!DE6)),1,0)</f>
        <v>0</v>
      </c>
      <c r="L127" s="126">
        <f t="shared" si="8"/>
        <v>0</v>
      </c>
      <c r="M127" s="126">
        <v>65</v>
      </c>
    </row>
    <row r="128" spans="1:13">
      <c r="A128" s="125" t="s">
        <v>142</v>
      </c>
      <c r="B128" s="50" t="s">
        <v>147</v>
      </c>
      <c r="C128" s="126">
        <f>IF(AND(ISNUMBER('Apostas - Grupos'!CV6),ISNUMBER('Apostas - Grupos'!CW6)),IF('Apostas - Grupos'!CW6&gt;'Apostas - Grupos'!CV6,1,0),0)+IF(AND(ISNUMBER('Apostas - Grupos'!CZ6),ISNUMBER('Apostas - Grupos'!DA6)),IF('Apostas - Grupos'!CZ6&gt;'Apostas - Grupos'!DA6,1,0),0)+IF(AND(ISNUMBER('Apostas - Grupos'!DB6),ISNUMBER('Apostas - Grupos'!DC6)),IF('Apostas - Grupos'!DB6&gt;'Apostas - Grupos'!DC6,1,0),0)</f>
        <v>0</v>
      </c>
      <c r="D128" s="126">
        <f>IF(AND(ISNUMBER('Apostas - Grupos'!CV6),ISNUMBER('Apostas - Grupos'!CW6)),IF('Apostas - Grupos'!CV6='Apostas - Grupos'!CW6,1,0),0)+IF(AND(ISNUMBER('Apostas - Grupos'!CZ6),ISNUMBER('Apostas - Grupos'!DA6)),IF('Apostas - Grupos'!CZ6='Apostas - Grupos'!DA6,1,0),0)+IF(AND(ISNUMBER('Apostas - Grupos'!DB6),ISNUMBER('Apostas - Grupos'!DC6)),IF('Apostas - Grupos'!DB6='Apostas - Grupos'!DC6,1,0),0)</f>
        <v>0</v>
      </c>
      <c r="E128" s="126">
        <f>IF(ISNUMBER('Apostas - Grupos'!CV6),'Apostas - Grupos'!CW6,0)+IF(ISNUMBER('Apostas - Grupos'!CZ6),'Apostas - Grupos'!CZ6,0)+IF(ISNUMBER('Apostas - Grupos'!DB6),'Apostas - Grupos'!DB6,0)</f>
        <v>0</v>
      </c>
      <c r="F128" s="126">
        <f>IF(ISNUMBER('Apostas - Grupos'!CV6),'Apostas - Grupos'!CV6,0)+IF(ISNUMBER('Apostas - Grupos'!CZ6),'Apostas - Grupos'!DA6,0)+IF(ISNUMBER('Apostas - Grupos'!DB6),'Apostas - Grupos'!DC6,0)</f>
        <v>0</v>
      </c>
      <c r="G128" s="126">
        <f t="shared" si="5"/>
        <v>0</v>
      </c>
      <c r="H128" s="49">
        <f t="shared" si="6"/>
        <v>0</v>
      </c>
      <c r="I128" s="126">
        <f t="shared" si="7"/>
        <v>200000472</v>
      </c>
      <c r="J128" s="49">
        <f>RANK(I128,$I$125:$I$128,0)</f>
        <v>3</v>
      </c>
      <c r="K128" s="126">
        <f>IF(AND(ISNUMBER('Apostas - Grupos'!CV6),ISNUMBER('Apostas - Grupos'!CW6)),1,0)+IF(AND(ISNUMBER('Apostas - Grupos'!CZ6),ISNUMBER('Apostas - Grupos'!DA6)),1,0)+IF(AND(ISNUMBER('Apostas - Grupos'!DB6),ISNUMBER('Apostas - Grupos'!DC6)),1,0)</f>
        <v>0</v>
      </c>
      <c r="L128" s="126">
        <f t="shared" si="8"/>
        <v>0</v>
      </c>
      <c r="M128" s="126">
        <v>28</v>
      </c>
    </row>
    <row r="129" spans="1:13">
      <c r="A129" s="127" t="s">
        <v>153</v>
      </c>
      <c r="B129" s="55" t="s">
        <v>154</v>
      </c>
      <c r="C129" s="128">
        <f>IF(AND(ISNUMBER('Apostas - Grupos'!DF6),ISNUMBER('Apostas - Grupos'!DG6)),IF('Apostas - Grupos'!DF6&gt;'Apostas - Grupos'!DG6,1,0),0)+IF(AND(ISNUMBER('Apostas - Grupos'!DJ6),ISNUMBER('Apostas - Grupos'!DK6)),IF('Apostas - Grupos'!DJ6&gt;'Apostas - Grupos'!DK6,1,0),0)+IF(AND(ISNUMBER('Apostas - Grupos'!DP6),ISNUMBER('Apostas - Grupos'!DQ6)),IF('Apostas - Grupos'!DQ6&gt;'Apostas - Grupos'!DP6,1,0),0)</f>
        <v>0</v>
      </c>
      <c r="D129" s="128">
        <f>IF(AND(ISNUMBER('Apostas - Grupos'!DF6),ISNUMBER('Apostas - Grupos'!DG6)),IF('Apostas - Grupos'!DF6='Apostas - Grupos'!DG6,1,0),0)+IF(AND(ISNUMBER('Apostas - Grupos'!DJ6),ISNUMBER('Apostas - Grupos'!DK6)),IF('Apostas - Grupos'!DJ6='Apostas - Grupos'!DK6,1,0),0)+IF(AND(ISNUMBER('Apostas - Grupos'!DP6),ISNUMBER('Apostas - Grupos'!DQ6)),IF('Apostas - Grupos'!DP6='Apostas - Grupos'!DQ6,1,0),0)</f>
        <v>0</v>
      </c>
      <c r="E129" s="128">
        <f>IF(ISNUMBER('Apostas - Grupos'!DF6),'Apostas - Grupos'!DF6,0)+IF(ISNUMBER('Apostas - Grupos'!DJ6),'Apostas - Grupos'!DJ6,0)+IF(ISNUMBER('Apostas - Grupos'!DP6),'Apostas - Grupos'!DQ6,0)</f>
        <v>0</v>
      </c>
      <c r="F129" s="128">
        <f>IF(ISNUMBER('Apostas - Grupos'!DF6),'Apostas - Grupos'!DG6,0)+IF(ISNUMBER('Apostas - Grupos'!DJ6),'Apostas - Grupos'!DK6,0)+IF(ISNUMBER('Apostas - Grupos'!DP6),'Apostas - Grupos'!DP6,0)</f>
        <v>0</v>
      </c>
      <c r="G129" s="128">
        <f t="shared" si="5"/>
        <v>0</v>
      </c>
      <c r="H129" s="54">
        <f t="shared" si="6"/>
        <v>0</v>
      </c>
      <c r="I129" s="128">
        <f t="shared" si="7"/>
        <v>200000499</v>
      </c>
      <c r="J129" s="54">
        <f>RANK(I129,$I$129:$I$132,0)</f>
        <v>1</v>
      </c>
      <c r="K129" s="128">
        <f>IF(AND(ISNUMBER('Apostas - Grupos'!DF6),ISNUMBER('Apostas - Grupos'!DG6)),1,0)+IF(AND(ISNUMBER('Apostas - Grupos'!DJ6),ISNUMBER('Apostas - Grupos'!DK6)),1,0)+IF(AND(ISNUMBER('Apostas - Grupos'!DP6),ISNUMBER('Apostas - Grupos'!DQ6)),1,0)</f>
        <v>0</v>
      </c>
      <c r="L129" s="128">
        <f t="shared" si="8"/>
        <v>0</v>
      </c>
      <c r="M129" s="128">
        <v>1</v>
      </c>
    </row>
    <row r="130" spans="1:13">
      <c r="A130" s="127" t="s">
        <v>153</v>
      </c>
      <c r="B130" s="55" t="s">
        <v>155</v>
      </c>
      <c r="C130" s="128">
        <f>IF(AND(ISNUMBER('Apostas - Grupos'!DF6),ISNUMBER('Apostas - Grupos'!DG6)),IF('Apostas - Grupos'!DG6&gt;'Apostas - Grupos'!DF6,1,0),0)+IF(AND(ISNUMBER('Apostas - Grupos'!DL6),ISNUMBER('Apostas - Grupos'!DM6)),IF('Apostas - Grupos'!DM6&gt;'Apostas - Grupos'!DL6,1,0),0)+IF(AND(ISNUMBER('Apostas - Grupos'!DN6),ISNUMBER('Apostas - Grupos'!DO6)),IF('Apostas - Grupos'!DN6&gt;'Apostas - Grupos'!DO6,1,0),0)</f>
        <v>0</v>
      </c>
      <c r="D130" s="128">
        <f>IF(AND(ISNUMBER('Apostas - Grupos'!DF6),ISNUMBER('Apostas - Grupos'!DG6)),IF('Apostas - Grupos'!DF6='Apostas - Grupos'!DG6,1,0),0)+IF(AND(ISNUMBER('Apostas - Grupos'!DL6),ISNUMBER('Apostas - Grupos'!DM6)),IF('Apostas - Grupos'!DL6='Apostas - Grupos'!DM6,1,0),0)+IF(AND(ISNUMBER('Apostas - Grupos'!DN6),ISNUMBER('Apostas - Grupos'!DO6)),IF('Apostas - Grupos'!DN6='Apostas - Grupos'!DO6,1,0),0)</f>
        <v>0</v>
      </c>
      <c r="E130" s="128">
        <f>IF(ISNUMBER('Apostas - Grupos'!DF6),'Apostas - Grupos'!DG6,0)+IF(ISNUMBER('Apostas - Grupos'!DL6),'Apostas - Grupos'!DM6,0)+IF(ISNUMBER('Apostas - Grupos'!DN6),'Apostas - Grupos'!DN6,0)</f>
        <v>0</v>
      </c>
      <c r="F130" s="128">
        <f>IF(ISNUMBER('Apostas - Grupos'!DF6),'Apostas - Grupos'!DF6,0)+IF(ISNUMBER('Apostas - Grupos'!DL6),'Apostas - Grupos'!DL6,0)+IF(ISNUMBER('Apostas - Grupos'!DN6),'Apostas - Grupos'!DO6,0)</f>
        <v>0</v>
      </c>
      <c r="G130" s="128">
        <f t="shared" si="5"/>
        <v>0</v>
      </c>
      <c r="H130" s="54">
        <f t="shared" si="6"/>
        <v>0</v>
      </c>
      <c r="I130" s="128">
        <f t="shared" si="7"/>
        <v>200000468</v>
      </c>
      <c r="J130" s="54">
        <f>RANK(I130,$I$129:$I$132,0)</f>
        <v>3</v>
      </c>
      <c r="K130" s="128">
        <f>IF(AND(ISNUMBER('Apostas - Grupos'!DF6),ISNUMBER('Apostas - Grupos'!DG6)),1,0)+IF(AND(ISNUMBER('Apostas - Grupos'!DL6),ISNUMBER('Apostas - Grupos'!DM6)),1,0)+IF(AND(ISNUMBER('Apostas - Grupos'!DN6),ISNUMBER('Apostas - Grupos'!DO6)),1,0)</f>
        <v>0</v>
      </c>
      <c r="L130" s="128">
        <f t="shared" si="8"/>
        <v>0</v>
      </c>
      <c r="M130" s="128">
        <v>32</v>
      </c>
    </row>
    <row r="131" spans="1:13">
      <c r="A131" s="127" t="s">
        <v>153</v>
      </c>
      <c r="B131" s="55" t="s">
        <v>157</v>
      </c>
      <c r="C131" s="128">
        <f>IF(AND(ISNUMBER('Apostas - Grupos'!DH6),ISNUMBER('Apostas - Grupos'!DI6)),IF('Apostas - Grupos'!DH6&gt;'Apostas - Grupos'!DI6,1,0),0)+IF(AND(ISNUMBER('Apostas - Grupos'!DJ6),ISNUMBER('Apostas - Grupos'!DK6)),IF('Apostas - Grupos'!DK6&gt;'Apostas - Grupos'!DJ6,1,0),0)+IF(AND(ISNUMBER('Apostas - Grupos'!DN6),ISNUMBER('Apostas - Grupos'!DO6)),IF('Apostas - Grupos'!DO6&gt;'Apostas - Grupos'!DN6,1,0),0)</f>
        <v>0</v>
      </c>
      <c r="D131" s="128">
        <f>IF(AND(ISNUMBER('Apostas - Grupos'!DH6),ISNUMBER('Apostas - Grupos'!DI6)),IF('Apostas - Grupos'!DH6='Apostas - Grupos'!DI6,1,0),0)+IF(AND(ISNUMBER('Apostas - Grupos'!DJ6),ISNUMBER('Apostas - Grupos'!DK6)),IF('Apostas - Grupos'!DJ6='Apostas - Grupos'!DK6,1,0),0)+IF(AND(ISNUMBER('Apostas - Grupos'!DN6),ISNUMBER('Apostas - Grupos'!DO6)),IF('Apostas - Grupos'!DN6='Apostas - Grupos'!DO6,1,0),0)</f>
        <v>0</v>
      </c>
      <c r="E131" s="128">
        <f>IF(ISNUMBER('Apostas - Grupos'!DH6),'Apostas - Grupos'!DH6,0)+IF(ISNUMBER('Apostas - Grupos'!DJ6),'Apostas - Grupos'!DK6,0)+IF(ISNUMBER('Apostas - Grupos'!DN6),'Apostas - Grupos'!DO6,0)</f>
        <v>0</v>
      </c>
      <c r="F131" s="128">
        <f>IF(ISNUMBER('Apostas - Grupos'!DH6),'Apostas - Grupos'!DI6,0)+IF(ISNUMBER('Apostas - Grupos'!DJ6),'Apostas - Grupos'!DJ6,0)+IF(ISNUMBER('Apostas - Grupos'!DN6),'Apostas - Grupos'!DN6,0)</f>
        <v>0</v>
      </c>
      <c r="G131" s="128">
        <f t="shared" si="5"/>
        <v>0</v>
      </c>
      <c r="H131" s="54">
        <f t="shared" si="6"/>
        <v>0</v>
      </c>
      <c r="I131" s="128">
        <f t="shared" si="7"/>
        <v>200000476</v>
      </c>
      <c r="J131" s="54">
        <f>RANK(I131,$I$129:$I$132,0)</f>
        <v>2</v>
      </c>
      <c r="K131" s="128">
        <f>IF(AND(ISNUMBER('Apostas - Grupos'!DH6),ISNUMBER('Apostas - Grupos'!DI6)),1,0)+IF(AND(ISNUMBER('Apostas - Grupos'!DJ6),ISNUMBER('Apostas - Grupos'!DK6)),1,0)+IF(AND(ISNUMBER('Apostas - Grupos'!DN6),ISNUMBER('Apostas - Grupos'!DO6)),1,0)</f>
        <v>0</v>
      </c>
      <c r="L131" s="128">
        <f t="shared" si="8"/>
        <v>0</v>
      </c>
      <c r="M131" s="128">
        <v>24</v>
      </c>
    </row>
    <row r="132" spans="1:13">
      <c r="A132" s="127" t="s">
        <v>153</v>
      </c>
      <c r="B132" s="55" t="s">
        <v>158</v>
      </c>
      <c r="C132" s="128">
        <f>IF(AND(ISNUMBER('Apostas - Grupos'!DH6),ISNUMBER('Apostas - Grupos'!DI6)),IF('Apostas - Grupos'!DI6&gt;'Apostas - Grupos'!DH6,1,0),0)+IF(AND(ISNUMBER('Apostas - Grupos'!DL6),ISNUMBER('Apostas - Grupos'!DM6)),IF('Apostas - Grupos'!DL6&gt;'Apostas - Grupos'!DM6,1,0),0)+IF(AND(ISNUMBER('Apostas - Grupos'!DP6),ISNUMBER('Apostas - Grupos'!DQ6)),IF('Apostas - Grupos'!DP6&gt;'Apostas - Grupos'!DQ6,1,0),0)</f>
        <v>0</v>
      </c>
      <c r="D132" s="128">
        <f>IF(AND(ISNUMBER('Apostas - Grupos'!DH6),ISNUMBER('Apostas - Grupos'!DI6)),IF('Apostas - Grupos'!DH6='Apostas - Grupos'!DI6,1,0),0)+IF(AND(ISNUMBER('Apostas - Grupos'!DL6),ISNUMBER('Apostas - Grupos'!DM6)),IF('Apostas - Grupos'!DL6='Apostas - Grupos'!DM6,1,0),0)+IF(AND(ISNUMBER('Apostas - Grupos'!DP6),ISNUMBER('Apostas - Grupos'!DQ6)),IF('Apostas - Grupos'!DP6='Apostas - Grupos'!DQ6,1,0),0)</f>
        <v>0</v>
      </c>
      <c r="E132" s="128">
        <f>IF(ISNUMBER('Apostas - Grupos'!DH6),'Apostas - Grupos'!DI6,0)+IF(ISNUMBER('Apostas - Grupos'!DL6),'Apostas - Grupos'!DL6,0)+IF(ISNUMBER('Apostas - Grupos'!DP6),'Apostas - Grupos'!DP6,0)</f>
        <v>0</v>
      </c>
      <c r="F132" s="128">
        <f>IF(ISNUMBER('Apostas - Grupos'!DH6),'Apostas - Grupos'!DH6,0)+IF(ISNUMBER('Apostas - Grupos'!DL6),'Apostas - Grupos'!DM6,0)+IF(ISNUMBER('Apostas - Grupos'!DP6),'Apostas - Grupos'!DQ6,0)</f>
        <v>0</v>
      </c>
      <c r="G132" s="128">
        <f t="shared" si="5"/>
        <v>0</v>
      </c>
      <c r="H132" s="54">
        <f t="shared" si="6"/>
        <v>0</v>
      </c>
      <c r="I132" s="128">
        <f t="shared" si="7"/>
        <v>200000414</v>
      </c>
      <c r="J132" s="54">
        <f>RANK(I132,$I$129:$I$132,0)</f>
        <v>4</v>
      </c>
      <c r="K132" s="128">
        <f>IF(AND(ISNUMBER('Apostas - Grupos'!DH6),ISNUMBER('Apostas - Grupos'!DI6)),1,0)+IF(AND(ISNUMBER('Apostas - Grupos'!DL6),ISNUMBER('Apostas - Grupos'!DM6)),1,0)+IF(AND(ISNUMBER('Apostas - Grupos'!DP6),ISNUMBER('Apostas - Grupos'!DQ6)),1,0)</f>
        <v>0</v>
      </c>
      <c r="L132" s="128">
        <f t="shared" si="8"/>
        <v>0</v>
      </c>
      <c r="M132" s="128">
        <v>86</v>
      </c>
    </row>
    <row r="133" spans="1:13">
      <c r="A133" s="129" t="s">
        <v>164</v>
      </c>
      <c r="B133" s="60" t="s">
        <v>165</v>
      </c>
      <c r="C133" s="130">
        <f>IF(AND(ISNUMBER('Apostas - Grupos'!DR6),ISNUMBER('Apostas - Grupos'!DS6)),IF('Apostas - Grupos'!DR6&gt;'Apostas - Grupos'!DS6,1,0),0)+IF(AND(ISNUMBER('Apostas - Grupos'!DV6),ISNUMBER('Apostas - Grupos'!DW6)),IF('Apostas - Grupos'!DV6&gt;'Apostas - Grupos'!DW6,1,0),0)+IF(AND(ISNUMBER('Apostas - Grupos'!DZ6),ISNUMBER('Apostas - Grupos'!EA6)),IF('Apostas - Grupos'!EA6&gt;'Apostas - Grupos'!DZ6,1,0),0)</f>
        <v>0</v>
      </c>
      <c r="D133" s="130">
        <f>IF(AND(ISNUMBER('Apostas - Grupos'!DR6),ISNUMBER('Apostas - Grupos'!DS6)),IF('Apostas - Grupos'!DR6='Apostas - Grupos'!DS6,1,0),0)+IF(AND(ISNUMBER('Apostas - Grupos'!DV6),ISNUMBER('Apostas - Grupos'!DW6)),IF('Apostas - Grupos'!DV6='Apostas - Grupos'!DW6,1,0),0)+IF(AND(ISNUMBER('Apostas - Grupos'!DZ6),ISNUMBER('Apostas - Grupos'!EA6)),IF('Apostas - Grupos'!DZ6='Apostas - Grupos'!EA6,1,0),0)</f>
        <v>0</v>
      </c>
      <c r="E133" s="130">
        <f>IF(ISNUMBER('Apostas - Grupos'!DR6),'Apostas - Grupos'!DR6,0)+IF(ISNUMBER('Apostas - Grupos'!DV6),'Apostas - Grupos'!DV6,0)+IF(ISNUMBER('Apostas - Grupos'!DZ6),'Apostas - Grupos'!EA6,0)</f>
        <v>0</v>
      </c>
      <c r="F133" s="130">
        <f>IF(ISNUMBER('Apostas - Grupos'!DR6),'Apostas - Grupos'!DS6,0)+IF(ISNUMBER('Apostas - Grupos'!DV6),'Apostas - Grupos'!DW6,0)+IF(ISNUMBER('Apostas - Grupos'!DZ6),'Apostas - Grupos'!DZ6,0)</f>
        <v>0</v>
      </c>
      <c r="G133" s="130">
        <f t="shared" si="5"/>
        <v>0</v>
      </c>
      <c r="H133" s="59">
        <f t="shared" si="6"/>
        <v>0</v>
      </c>
      <c r="I133" s="130">
        <f t="shared" si="7"/>
        <v>200000494</v>
      </c>
      <c r="J133" s="59">
        <f>RANK(I133,$I$133:$I$136,0)</f>
        <v>1</v>
      </c>
      <c r="K133" s="130">
        <f>IF(AND(ISNUMBER('Apostas - Grupos'!DR6),ISNUMBER('Apostas - Grupos'!DS6)),1,0)+IF(AND(ISNUMBER('Apostas - Grupos'!DV6),ISNUMBER('Apostas - Grupos'!DW6)),1,0)+IF(AND(ISNUMBER('Apostas - Grupos'!DZ6),ISNUMBER('Apostas - Grupos'!EA6)),1,0)</f>
        <v>0</v>
      </c>
      <c r="L133" s="130">
        <f t="shared" si="8"/>
        <v>0</v>
      </c>
      <c r="M133" s="130">
        <v>6</v>
      </c>
    </row>
    <row r="134" spans="1:13">
      <c r="A134" s="129" t="s">
        <v>164</v>
      </c>
      <c r="B134" s="60" t="s">
        <v>166</v>
      </c>
      <c r="C134" s="130">
        <f>IF(AND(ISNUMBER('Apostas - Grupos'!DR6),ISNUMBER('Apostas - Grupos'!DS6)),IF('Apostas - Grupos'!DS6&gt;'Apostas - Grupos'!DR6,1,0),0)+IF(AND(ISNUMBER('Apostas - Grupos'!DX6),ISNUMBER('Apostas - Grupos'!DY6)),IF('Apostas - Grupos'!DY6&gt;'Apostas - Grupos'!DX6,1,0),0)+IF(AND(ISNUMBER('Apostas - Grupos'!EB6),ISNUMBER('Apostas - Grupos'!EC6)),IF('Apostas - Grupos'!EB6&gt;'Apostas - Grupos'!EC6,1,0),0)</f>
        <v>0</v>
      </c>
      <c r="D134" s="130">
        <f>IF(AND(ISNUMBER('Apostas - Grupos'!DR6),ISNUMBER('Apostas - Grupos'!DS6)),IF('Apostas - Grupos'!DR6='Apostas - Grupos'!DS6,1,0),0)+IF(AND(ISNUMBER('Apostas - Grupos'!DX6),ISNUMBER('Apostas - Grupos'!DY6)),IF('Apostas - Grupos'!DX6='Apostas - Grupos'!DY6,1,0),0)+IF(AND(ISNUMBER('Apostas - Grupos'!EB6),ISNUMBER('Apostas - Grupos'!EC6)),IF('Apostas - Grupos'!EB6='Apostas - Grupos'!EC6,1,0),0)</f>
        <v>0</v>
      </c>
      <c r="E134" s="130">
        <f>IF(ISNUMBER('Apostas - Grupos'!DR6),'Apostas - Grupos'!DS6,0)+IF(ISNUMBER('Apostas - Grupos'!DX6),'Apostas - Grupos'!DY6,0)+IF(ISNUMBER('Apostas - Grupos'!EB6),'Apostas - Grupos'!EB6,0)</f>
        <v>0</v>
      </c>
      <c r="F134" s="130">
        <f>IF(ISNUMBER('Apostas - Grupos'!DR6),'Apostas - Grupos'!DR6,0)+IF(ISNUMBER('Apostas - Grupos'!DX6),'Apostas - Grupos'!DX6,0)+IF(ISNUMBER('Apostas - Grupos'!EB6),'Apostas - Grupos'!EC6,0)</f>
        <v>0</v>
      </c>
      <c r="G134" s="130">
        <f t="shared" si="5"/>
        <v>0</v>
      </c>
      <c r="H134" s="59">
        <f t="shared" si="6"/>
        <v>0</v>
      </c>
      <c r="I134" s="130">
        <f t="shared" si="7"/>
        <v>200000443</v>
      </c>
      <c r="J134" s="59">
        <f>RANK(I134,$I$133:$I$136,0)</f>
        <v>3</v>
      </c>
      <c r="K134" s="130">
        <f>IF(AND(ISNUMBER('Apostas - Grupos'!DR6),ISNUMBER('Apostas - Grupos'!DS6)),1,0)+IF(AND(ISNUMBER('Apostas - Grupos'!DX6),ISNUMBER('Apostas - Grupos'!DY6)),1,0)+IF(AND(ISNUMBER('Apostas - Grupos'!EB6),ISNUMBER('Apostas - Grupos'!EC6)),1,0)</f>
        <v>0</v>
      </c>
      <c r="L134" s="130">
        <f t="shared" si="8"/>
        <v>0</v>
      </c>
      <c r="M134" s="130">
        <v>57</v>
      </c>
    </row>
    <row r="135" spans="1:13">
      <c r="A135" s="129" t="s">
        <v>164</v>
      </c>
      <c r="B135" s="60" t="s">
        <v>168</v>
      </c>
      <c r="C135" s="130">
        <f>IF(AND(ISNUMBER('Apostas - Grupos'!DT6),ISNUMBER('Apostas - Grupos'!DU6)),IF('Apostas - Grupos'!DT6&gt;'Apostas - Grupos'!DU6,1,0),0)+IF(AND(ISNUMBER('Apostas - Grupos'!DV6),ISNUMBER('Apostas - Grupos'!DW6)),IF('Apostas - Grupos'!DW6&gt;'Apostas - Grupos'!DV6,1,0),0)+IF(AND(ISNUMBER('Apostas - Grupos'!EB6),ISNUMBER('Apostas - Grupos'!EC6)),IF('Apostas - Grupos'!EC6&gt;'Apostas - Grupos'!EB6,1,0),0)</f>
        <v>0</v>
      </c>
      <c r="D135" s="130">
        <f>IF(AND(ISNUMBER('Apostas - Grupos'!DT6),ISNUMBER('Apostas - Grupos'!DU6)),IF('Apostas - Grupos'!DT6='Apostas - Grupos'!DU6,1,0),0)+IF(AND(ISNUMBER('Apostas - Grupos'!DV6),ISNUMBER('Apostas - Grupos'!DW6)),IF('Apostas - Grupos'!DV6='Apostas - Grupos'!DW6,1,0),0)+IF(AND(ISNUMBER('Apostas - Grupos'!EB6),ISNUMBER('Apostas - Grupos'!EC6)),IF('Apostas - Grupos'!EB6='Apostas - Grupos'!EC6,1,0),0)</f>
        <v>0</v>
      </c>
      <c r="E135" s="130">
        <f>IF(ISNUMBER('Apostas - Grupos'!DT6),'Apostas - Grupos'!DT6,0)+IF(ISNUMBER('Apostas - Grupos'!DV6),'Apostas - Grupos'!DW6,0)+IF(ISNUMBER('Apostas - Grupos'!EB6),'Apostas - Grupos'!EC6,0)</f>
        <v>0</v>
      </c>
      <c r="F135" s="130">
        <f>IF(ISNUMBER('Apostas - Grupos'!DT6),'Apostas - Grupos'!DU6,0)+IF(ISNUMBER('Apostas - Grupos'!DV6),'Apostas - Grupos'!DV6,0)+IF(ISNUMBER('Apostas - Grupos'!EB6),'Apostas - Grupos'!EB6,0)</f>
        <v>0</v>
      </c>
      <c r="G135" s="130">
        <f t="shared" si="5"/>
        <v>0</v>
      </c>
      <c r="H135" s="59">
        <f t="shared" si="6"/>
        <v>0</v>
      </c>
      <c r="I135" s="130">
        <f t="shared" si="7"/>
        <v>200000426</v>
      </c>
      <c r="J135" s="59">
        <f>RANK(I135,$I$133:$I$136,0)</f>
        <v>4</v>
      </c>
      <c r="K135" s="130">
        <f>IF(AND(ISNUMBER('Apostas - Grupos'!DT6),ISNUMBER('Apostas - Grupos'!DU6)),1,0)+IF(AND(ISNUMBER('Apostas - Grupos'!DV6),ISNUMBER('Apostas - Grupos'!DW6)),1,0)+IF(AND(ISNUMBER('Apostas - Grupos'!EB6),ISNUMBER('Apostas - Grupos'!EC6)),1,0)</f>
        <v>0</v>
      </c>
      <c r="L135" s="130">
        <f t="shared" si="8"/>
        <v>0</v>
      </c>
      <c r="M135" s="130">
        <v>74</v>
      </c>
    </row>
    <row r="136" spans="1:13">
      <c r="A136" s="129" t="s">
        <v>164</v>
      </c>
      <c r="B136" s="60" t="s">
        <v>169</v>
      </c>
      <c r="C136" s="130">
        <f>IF(AND(ISNUMBER('Apostas - Grupos'!DT6),ISNUMBER('Apostas - Grupos'!DU6)),IF('Apostas - Grupos'!DU6&gt;'Apostas - Grupos'!DT6,1,0),0)+IF(AND(ISNUMBER('Apostas - Grupos'!DX6),ISNUMBER('Apostas - Grupos'!DY6)),IF('Apostas - Grupos'!DX6&gt;'Apostas - Grupos'!DY6,1,0),0)+IF(AND(ISNUMBER('Apostas - Grupos'!DZ6),ISNUMBER('Apostas - Grupos'!EA6)),IF('Apostas - Grupos'!DZ6&gt;'Apostas - Grupos'!EA6,1,0),0)</f>
        <v>0</v>
      </c>
      <c r="D136" s="130">
        <f>IF(AND(ISNUMBER('Apostas - Grupos'!DT6),ISNUMBER('Apostas - Grupos'!DU6)),IF('Apostas - Grupos'!DT6='Apostas - Grupos'!DU6,1,0),0)+IF(AND(ISNUMBER('Apostas - Grupos'!DX6),ISNUMBER('Apostas - Grupos'!DY6)),IF('Apostas - Grupos'!DX6='Apostas - Grupos'!DY6,1,0),0)+IF(AND(ISNUMBER('Apostas - Grupos'!DZ6),ISNUMBER('Apostas - Grupos'!EA6)),IF('Apostas - Grupos'!DZ6='Apostas - Grupos'!EA6,1,0),0)</f>
        <v>0</v>
      </c>
      <c r="E136" s="130">
        <f>IF(ISNUMBER('Apostas - Grupos'!DT6),'Apostas - Grupos'!DU6,0)+IF(ISNUMBER('Apostas - Grupos'!DX6),'Apostas - Grupos'!DX6,0)+IF(ISNUMBER('Apostas - Grupos'!DZ6),'Apostas - Grupos'!DZ6,0)</f>
        <v>0</v>
      </c>
      <c r="F136" s="130">
        <f>IF(ISNUMBER('Apostas - Grupos'!DT6),'Apostas - Grupos'!DT6,0)+IF(ISNUMBER('Apostas - Grupos'!DX6),'Apostas - Grupos'!DY6,0)+IF(ISNUMBER('Apostas - Grupos'!DZ6),'Apostas - Grupos'!EA6,0)</f>
        <v>0</v>
      </c>
      <c r="G136" s="130">
        <f t="shared" si="5"/>
        <v>0</v>
      </c>
      <c r="H136" s="59">
        <f t="shared" si="6"/>
        <v>0</v>
      </c>
      <c r="I136" s="130">
        <f t="shared" si="7"/>
        <v>200000482</v>
      </c>
      <c r="J136" s="59">
        <f>RANK(I136,$I$133:$I$136,0)</f>
        <v>2</v>
      </c>
      <c r="K136" s="130">
        <f>IF(AND(ISNUMBER('Apostas - Grupos'!DT6),ISNUMBER('Apostas - Grupos'!DU6)),1,0)+IF(AND(ISNUMBER('Apostas - Grupos'!DX6),ISNUMBER('Apostas - Grupos'!DY6)),1,0)+IF(AND(ISNUMBER('Apostas - Grupos'!DZ6),ISNUMBER('Apostas - Grupos'!EA6)),1,0)</f>
        <v>0</v>
      </c>
      <c r="L136" s="130">
        <f t="shared" si="8"/>
        <v>0</v>
      </c>
      <c r="M136" s="130">
        <v>18</v>
      </c>
    </row>
    <row r="137" spans="1:13">
      <c r="A137" s="131" t="s">
        <v>175</v>
      </c>
      <c r="B137" s="65" t="s">
        <v>176</v>
      </c>
      <c r="C137" s="132">
        <f>IF(AND(ISNUMBER('Apostas - Grupos'!ED6),ISNUMBER('Apostas - Grupos'!EE6)),IF('Apostas - Grupos'!ED6&gt;'Apostas - Grupos'!EE6,1,0),0)+IF(AND(ISNUMBER('Apostas - Grupos'!EH6),ISNUMBER('Apostas - Grupos'!EI6)),IF('Apostas - Grupos'!EH6&gt;'Apostas - Grupos'!EI6,1,0),0)+IF(AND(ISNUMBER('Apostas - Grupos'!EL6),ISNUMBER('Apostas - Grupos'!EM6)),IF('Apostas - Grupos'!EM6&gt;'Apostas - Grupos'!EL6,1,0),0)</f>
        <v>0</v>
      </c>
      <c r="D137" s="132">
        <f>IF(AND(ISNUMBER('Apostas - Grupos'!ED6),ISNUMBER('Apostas - Grupos'!EE6)),IF('Apostas - Grupos'!ED6='Apostas - Grupos'!EE6,1,0),0)+IF(AND(ISNUMBER('Apostas - Grupos'!EH6),ISNUMBER('Apostas - Grupos'!EI6)),IF('Apostas - Grupos'!EH6='Apostas - Grupos'!EI6,1,0),0)+IF(AND(ISNUMBER('Apostas - Grupos'!EL6),ISNUMBER('Apostas - Grupos'!EM6)),IF('Apostas - Grupos'!EL6='Apostas - Grupos'!EM6,1,0),0)</f>
        <v>0</v>
      </c>
      <c r="E137" s="132">
        <f>IF(ISNUMBER('Apostas - Grupos'!ED6),'Apostas - Grupos'!ED6,0)+IF(ISNUMBER('Apostas - Grupos'!EH6),'Apostas - Grupos'!EH6,0)+IF(ISNUMBER('Apostas - Grupos'!EL6),'Apostas - Grupos'!EM6,0)</f>
        <v>0</v>
      </c>
      <c r="F137" s="132">
        <f>IF(ISNUMBER('Apostas - Grupos'!ED6),'Apostas - Grupos'!EE6,0)+IF(ISNUMBER('Apostas - Grupos'!EH6),'Apostas - Grupos'!EI6,0)+IF(ISNUMBER('Apostas - Grupos'!EL6),'Apostas - Grupos'!EL6,0)</f>
        <v>0</v>
      </c>
      <c r="G137" s="132">
        <f t="shared" si="5"/>
        <v>0</v>
      </c>
      <c r="H137" s="64">
        <f t="shared" si="6"/>
        <v>0</v>
      </c>
      <c r="I137" s="132">
        <f t="shared" si="7"/>
        <v>200000491</v>
      </c>
      <c r="J137" s="64">
        <f>RANK(I137,$I$137:$I$140,0)</f>
        <v>1</v>
      </c>
      <c r="K137" s="132">
        <f>IF(AND(ISNUMBER('Apostas - Grupos'!ED6),ISNUMBER('Apostas - Grupos'!EE6)),1,0)+IF(AND(ISNUMBER('Apostas - Grupos'!EH6),ISNUMBER('Apostas - Grupos'!EI6)),1,0)+IF(AND(ISNUMBER('Apostas - Grupos'!EL6),ISNUMBER('Apostas - Grupos'!EM6)),1,0)</f>
        <v>0</v>
      </c>
      <c r="L137" s="132">
        <f t="shared" si="8"/>
        <v>0</v>
      </c>
      <c r="M137" s="132">
        <v>9</v>
      </c>
    </row>
    <row r="138" spans="1:13">
      <c r="A138" s="131" t="s">
        <v>175</v>
      </c>
      <c r="B138" s="65" t="s">
        <v>177</v>
      </c>
      <c r="C138" s="132">
        <f>IF(AND(ISNUMBER('Apostas - Grupos'!ED6),ISNUMBER('Apostas - Grupos'!EE6)),IF('Apostas - Grupos'!EE6&gt;'Apostas - Grupos'!ED6,1,0),0)+IF(AND(ISNUMBER('Apostas - Grupos'!EJ6),ISNUMBER('Apostas - Grupos'!EK6)),IF('Apostas - Grupos'!EK6&gt;'Apostas - Grupos'!EJ6,1,0),0)+IF(AND(ISNUMBER('Apostas - Grupos'!EN6),ISNUMBER('Apostas - Grupos'!EO6)),IF('Apostas - Grupos'!EN6&gt;'Apostas - Grupos'!EO6,1,0),0)</f>
        <v>0</v>
      </c>
      <c r="D138" s="132">
        <f>IF(AND(ISNUMBER('Apostas - Grupos'!ED6),ISNUMBER('Apostas - Grupos'!EE6)),IF('Apostas - Grupos'!ED6='Apostas - Grupos'!EE6,1,0),0)+IF(AND(ISNUMBER('Apostas - Grupos'!EJ6),ISNUMBER('Apostas - Grupos'!EK6)),IF('Apostas - Grupos'!EJ6='Apostas - Grupos'!EK6,1,0),0)+IF(AND(ISNUMBER('Apostas - Grupos'!EN6),ISNUMBER('Apostas - Grupos'!EO6)),IF('Apostas - Grupos'!EN6='Apostas - Grupos'!EO6,1,0),0)</f>
        <v>0</v>
      </c>
      <c r="E138" s="132">
        <f>IF(ISNUMBER('Apostas - Grupos'!ED6),'Apostas - Grupos'!EE6,0)+IF(ISNUMBER('Apostas - Grupos'!EJ6),'Apostas - Grupos'!EK6,0)+IF(ISNUMBER('Apostas - Grupos'!EN6),'Apostas - Grupos'!EN6,0)</f>
        <v>0</v>
      </c>
      <c r="F138" s="132">
        <f>IF(ISNUMBER('Apostas - Grupos'!ED6),'Apostas - Grupos'!ED6,0)+IF(ISNUMBER('Apostas - Grupos'!EJ6),'Apostas - Grupos'!EJ6,0)+IF(ISNUMBER('Apostas - Grupos'!EN6),'Apostas - Grupos'!EO6,0)</f>
        <v>0</v>
      </c>
      <c r="G138" s="132">
        <f t="shared" si="5"/>
        <v>0</v>
      </c>
      <c r="H138" s="64">
        <f t="shared" si="6"/>
        <v>0</v>
      </c>
      <c r="I138" s="132">
        <f t="shared" si="7"/>
        <v>200000490</v>
      </c>
      <c r="J138" s="64">
        <f>RANK(I138,$I$137:$I$140,0)</f>
        <v>2</v>
      </c>
      <c r="K138" s="132">
        <f>IF(AND(ISNUMBER('Apostas - Grupos'!ED6),ISNUMBER('Apostas - Grupos'!EE6)),1,0)+IF(AND(ISNUMBER('Apostas - Grupos'!EJ6),ISNUMBER('Apostas - Grupos'!EK6)),1,0)+IF(AND(ISNUMBER('Apostas - Grupos'!EN6),ISNUMBER('Apostas - Grupos'!EO6)),1,0)</f>
        <v>0</v>
      </c>
      <c r="L138" s="132">
        <f t="shared" si="8"/>
        <v>0</v>
      </c>
      <c r="M138" s="132">
        <v>10</v>
      </c>
    </row>
    <row r="139" spans="1:13">
      <c r="A139" s="131" t="s">
        <v>175</v>
      </c>
      <c r="B139" s="65" t="s">
        <v>179</v>
      </c>
      <c r="C139" s="132">
        <f>IF(AND(ISNUMBER('Apostas - Grupos'!EF6),ISNUMBER('Apostas - Grupos'!EG6)),IF('Apostas - Grupos'!EF6&gt;'Apostas - Grupos'!EG6,1,0),0)+IF(AND(ISNUMBER('Apostas - Grupos'!EH6),ISNUMBER('Apostas - Grupos'!EI6)),IF('Apostas - Grupos'!EI6&gt;'Apostas - Grupos'!EH6,1,0),0)+IF(AND(ISNUMBER('Apostas - Grupos'!EN6),ISNUMBER('Apostas - Grupos'!EO6)),IF('Apostas - Grupos'!EO6&gt;'Apostas - Grupos'!EN6,1,0),0)</f>
        <v>0</v>
      </c>
      <c r="D139" s="132">
        <f>IF(AND(ISNUMBER('Apostas - Grupos'!EF6),ISNUMBER('Apostas - Grupos'!EG6)),IF('Apostas - Grupos'!EF6='Apostas - Grupos'!EG6,1,0),0)+IF(AND(ISNUMBER('Apostas - Grupos'!EH6),ISNUMBER('Apostas - Grupos'!EI6)),IF('Apostas - Grupos'!EH6='Apostas - Grupos'!EI6,1,0),0)+IF(AND(ISNUMBER('Apostas - Grupos'!EN6),ISNUMBER('Apostas - Grupos'!EO6)),IF('Apostas - Grupos'!EN6='Apostas - Grupos'!EO6,1,0),0)</f>
        <v>0</v>
      </c>
      <c r="E139" s="132">
        <f>IF(ISNUMBER('Apostas - Grupos'!EF6),'Apostas - Grupos'!EF6,0)+IF(ISNUMBER('Apostas - Grupos'!EH6),'Apostas - Grupos'!EI6,0)+IF(ISNUMBER('Apostas - Grupos'!EN6),'Apostas - Grupos'!EO6,0)</f>
        <v>0</v>
      </c>
      <c r="F139" s="132">
        <f>IF(ISNUMBER('Apostas - Grupos'!EF6),'Apostas - Grupos'!EG6,0)+IF(ISNUMBER('Apostas - Grupos'!EH6),'Apostas - Grupos'!EH6,0)+IF(ISNUMBER('Apostas - Grupos'!EN6),'Apostas - Grupos'!EN6,0)</f>
        <v>0</v>
      </c>
      <c r="G139" s="132">
        <f t="shared" si="5"/>
        <v>0</v>
      </c>
      <c r="H139" s="64">
        <f t="shared" si="6"/>
        <v>0</v>
      </c>
      <c r="I139" s="132">
        <f t="shared" si="7"/>
        <v>200000448</v>
      </c>
      <c r="J139" s="64">
        <f>RANK(I139,$I$137:$I$140,0)</f>
        <v>3</v>
      </c>
      <c r="K139" s="132">
        <f>IF(AND(ISNUMBER('Apostas - Grupos'!EF6),ISNUMBER('Apostas - Grupos'!EG6)),1,0)+IF(AND(ISNUMBER('Apostas - Grupos'!EH6),ISNUMBER('Apostas - Grupos'!EI6)),1,0)+IF(AND(ISNUMBER('Apostas - Grupos'!EN6),ISNUMBER('Apostas - Grupos'!EO6)),1,0)</f>
        <v>0</v>
      </c>
      <c r="L139" s="132">
        <f t="shared" si="8"/>
        <v>0</v>
      </c>
      <c r="M139" s="132">
        <v>52</v>
      </c>
    </row>
    <row r="140" spans="1:13">
      <c r="A140" s="131" t="s">
        <v>175</v>
      </c>
      <c r="B140" s="65" t="s">
        <v>180</v>
      </c>
      <c r="C140" s="132">
        <f>IF(AND(ISNUMBER('Apostas - Grupos'!EF6),ISNUMBER('Apostas - Grupos'!EG6)),IF('Apostas - Grupos'!EG6&gt;'Apostas - Grupos'!EF6,1,0),0)+IF(AND(ISNUMBER('Apostas - Grupos'!EJ6),ISNUMBER('Apostas - Grupos'!EK6)),IF('Apostas - Grupos'!EJ6&gt;'Apostas - Grupos'!EK6,1,0),0)+IF(AND(ISNUMBER('Apostas - Grupos'!EL6),ISNUMBER('Apostas - Grupos'!EM6)),IF('Apostas - Grupos'!EL6&gt;'Apostas - Grupos'!EM6,1,0),0)</f>
        <v>0</v>
      </c>
      <c r="D140" s="132">
        <f>IF(AND(ISNUMBER('Apostas - Grupos'!EF6),ISNUMBER('Apostas - Grupos'!EG6)),IF('Apostas - Grupos'!EF6='Apostas - Grupos'!EG6,1,0),0)+IF(AND(ISNUMBER('Apostas - Grupos'!EJ6),ISNUMBER('Apostas - Grupos'!EK6)),IF('Apostas - Grupos'!EJ6='Apostas - Grupos'!EK6,1,0),0)+IF(AND(ISNUMBER('Apostas - Grupos'!EL6),ISNUMBER('Apostas - Grupos'!EM6)),IF('Apostas - Grupos'!EL6='Apostas - Grupos'!EM6,1,0),0)</f>
        <v>0</v>
      </c>
      <c r="E140" s="132">
        <f>IF(ISNUMBER('Apostas - Grupos'!EF6),'Apostas - Grupos'!EG6,0)+IF(ISNUMBER('Apostas - Grupos'!EJ6),'Apostas - Grupos'!EJ6,0)+IF(ISNUMBER('Apostas - Grupos'!EL6),'Apostas - Grupos'!EL6,0)</f>
        <v>0</v>
      </c>
      <c r="F140" s="132">
        <f>IF(ISNUMBER('Apostas - Grupos'!EF6),'Apostas - Grupos'!EF6,0)+IF(ISNUMBER('Apostas - Grupos'!EJ6),'Apostas - Grupos'!EK6,0)+IF(ISNUMBER('Apostas - Grupos'!EL6),'Apostas - Grupos'!EM6,0)</f>
        <v>0</v>
      </c>
      <c r="G140" s="132">
        <f t="shared" si="5"/>
        <v>0</v>
      </c>
      <c r="H140" s="64">
        <f t="shared" si="6"/>
        <v>0</v>
      </c>
      <c r="I140" s="132">
        <f t="shared" si="7"/>
        <v>200000428</v>
      </c>
      <c r="J140" s="64">
        <f>RANK(I140,$I$137:$I$140,0)</f>
        <v>4</v>
      </c>
      <c r="K140" s="132">
        <f>IF(AND(ISNUMBER('Apostas - Grupos'!EF6),ISNUMBER('Apostas - Grupos'!EG6)),1,0)+IF(AND(ISNUMBER('Apostas - Grupos'!EJ6),ISNUMBER('Apostas - Grupos'!EK6)),1,0)+IF(AND(ISNUMBER('Apostas - Grupos'!EL6),ISNUMBER('Apostas - Grupos'!EM6)),1,0)</f>
        <v>0</v>
      </c>
      <c r="L140" s="132">
        <f t="shared" si="8"/>
        <v>0</v>
      </c>
      <c r="M140" s="132">
        <v>72</v>
      </c>
    </row>
    <row r="143" spans="1:13">
      <c r="A143" s="134" t="s">
        <v>54</v>
      </c>
      <c r="B143" s="135" t="str">
        <f>IFERROR(INDEX($B$93:$B$96,MATCH(1,$J$93:$J$96,0)),"?")</f>
        <v>Mexico</v>
      </c>
      <c r="C143" s="135" t="str">
        <f>IFERROR(INDEX($B$93:$B$96,MATCH(2,$J$93:$J$96,0)),"?")</f>
        <v>Coreia do Sul</v>
      </c>
      <c r="D143" s="135" t="str">
        <f>IFERROR(INDEX($B$93:$B$96,MATCH(3,$J$93:$J$96,0)),"?")</f>
        <v>Tchequia</v>
      </c>
      <c r="E143" s="135" t="str">
        <f>IFERROR(INDEX($B$93:$B$96,MATCH(4,$J$93:$J$96,0)),"?")</f>
        <v>Africa do Sul</v>
      </c>
    </row>
    <row r="144" spans="1:13">
      <c r="A144" s="136" t="s">
        <v>65</v>
      </c>
      <c r="B144" s="135" t="str">
        <f>IFERROR(INDEX($B$97:$B$100,MATCH(1,$J$97:$J$100,0)),"?")</f>
        <v>Suica</v>
      </c>
      <c r="C144" s="135" t="str">
        <f>IFERROR(INDEX($B$97:$B$100,MATCH(2,$J$97:$J$100,0)),"?")</f>
        <v>Qatar</v>
      </c>
      <c r="D144" s="135" t="str">
        <f>IFERROR(INDEX($B$97:$B$100,MATCH(3,$J$97:$J$100,0)),"?")</f>
        <v>Canada</v>
      </c>
      <c r="E144" s="135" t="str">
        <f>IFERROR(INDEX($B$97:$B$100,MATCH(4,$J$97:$J$100,0)),"?")</f>
        <v>Bosnia e Herzegovina</v>
      </c>
    </row>
    <row r="145" spans="1:5">
      <c r="A145" s="137" t="s">
        <v>76</v>
      </c>
      <c r="B145" s="135" t="str">
        <f>IFERROR(INDEX($B$101:$B$104,MATCH(1,$J$101:$J$104,0)),"?")</f>
        <v>Brasil</v>
      </c>
      <c r="C145" s="135" t="str">
        <f>IFERROR(INDEX($B$101:$B$104,MATCH(2,$J$101:$J$104,0)),"?")</f>
        <v>Marrocos</v>
      </c>
      <c r="D145" s="135" t="str">
        <f>IFERROR(INDEX($B$101:$B$104,MATCH(3,$J$101:$J$104,0)),"?")</f>
        <v>Escocia</v>
      </c>
      <c r="E145" s="135" t="str">
        <f>IFERROR(INDEX($B$101:$B$104,MATCH(4,$J$101:$J$104,0)),"?")</f>
        <v>Haiti</v>
      </c>
    </row>
    <row r="146" spans="1:5">
      <c r="A146" s="138" t="s">
        <v>87</v>
      </c>
      <c r="B146" s="135" t="str">
        <f>IFERROR(INDEX($B$105:$B$108,MATCH(1,$J$105:$J$108,0)),"?")</f>
        <v>Estados Unidos</v>
      </c>
      <c r="C146" s="135" t="str">
        <f>IFERROR(INDEX($B$105:$B$108,MATCH(2,$J$105:$J$108,0)),"?")</f>
        <v>Australia</v>
      </c>
      <c r="D146" s="135" t="str">
        <f>IFERROR(INDEX($B$105:$B$108,MATCH(3,$J$105:$J$108,0)),"?")</f>
        <v>Turquia</v>
      </c>
      <c r="E146" s="135" t="str">
        <f>IFERROR(INDEX($B$105:$B$108,MATCH(4,$J$105:$J$108,0)),"?")</f>
        <v>Paraguai</v>
      </c>
    </row>
    <row r="147" spans="1:5">
      <c r="A147" s="139" t="s">
        <v>98</v>
      </c>
      <c r="B147" s="135" t="str">
        <f>IFERROR(INDEX($B$109:$B$112,MATCH(1,$J$109:$J$112,0)),"?")</f>
        <v>Alemanha</v>
      </c>
      <c r="C147" s="135" t="str">
        <f>IFERROR(INDEX($B$109:$B$112,MATCH(2,$J$109:$J$112,0)),"?")</f>
        <v>Equador</v>
      </c>
      <c r="D147" s="135" t="str">
        <f>IFERROR(INDEX($B$109:$B$112,MATCH(3,$J$109:$J$112,0)),"?")</f>
        <v>Costa do Marfim</v>
      </c>
      <c r="E147" s="135" t="str">
        <f>IFERROR(INDEX($B$109:$B$112,MATCH(4,$J$109:$J$112,0)),"?")</f>
        <v>Curacao</v>
      </c>
    </row>
    <row r="148" spans="1:5">
      <c r="A148" s="140" t="s">
        <v>109</v>
      </c>
      <c r="B148" s="135" t="str">
        <f>IFERROR(INDEX($B$113:$B$116,MATCH(1,$J$113:$J$116,0)),"?")</f>
        <v>Holanda</v>
      </c>
      <c r="C148" s="135" t="str">
        <f>IFERROR(INDEX($B$113:$B$116,MATCH(2,$J$113:$J$116,0)),"?")</f>
        <v>Japao</v>
      </c>
      <c r="D148" s="135" t="str">
        <f>IFERROR(INDEX($B$113:$B$116,MATCH(3,$J$113:$J$116,0)),"?")</f>
        <v>Suecia</v>
      </c>
      <c r="E148" s="135" t="str">
        <f>IFERROR(INDEX($B$113:$B$116,MATCH(4,$J$113:$J$116,0)),"?")</f>
        <v>Tunisia</v>
      </c>
    </row>
    <row r="149" spans="1:5">
      <c r="A149" s="141" t="s">
        <v>120</v>
      </c>
      <c r="B149" s="135" t="str">
        <f>IFERROR(INDEX($B$117:$B$120,MATCH(1,$J$117:$J$120,0)),"?")</f>
        <v>Belgica</v>
      </c>
      <c r="C149" s="135" t="str">
        <f>IFERROR(INDEX($B$117:$B$120,MATCH(2,$J$117:$J$120,0)),"?")</f>
        <v>Ira</v>
      </c>
      <c r="D149" s="135" t="str">
        <f>IFERROR(INDEX($B$117:$B$120,MATCH(3,$J$117:$J$120,0)),"?")</f>
        <v>Egito</v>
      </c>
      <c r="E149" s="135" t="str">
        <f>IFERROR(INDEX($B$117:$B$120,MATCH(4,$J$117:$J$120,0)),"?")</f>
        <v>Nova Zelandia</v>
      </c>
    </row>
    <row r="150" spans="1:5">
      <c r="A150" s="142" t="s">
        <v>131</v>
      </c>
      <c r="B150" s="135" t="str">
        <f>IFERROR(INDEX($B$121:$B$124,MATCH(1,$J$121:$J$124,0)),"?")</f>
        <v>Espanha</v>
      </c>
      <c r="C150" s="135" t="str">
        <f>IFERROR(INDEX($B$121:$B$124,MATCH(2,$J$121:$J$124,0)),"?")</f>
        <v>Uruguai</v>
      </c>
      <c r="D150" s="135" t="str">
        <f>IFERROR(INDEX($B$121:$B$124,MATCH(3,$J$121:$J$124,0)),"?")</f>
        <v>Arabia Saudita</v>
      </c>
      <c r="E150" s="135" t="str">
        <f>IFERROR(INDEX($B$121:$B$124,MATCH(4,$J$121:$J$124,0)),"?")</f>
        <v>Cabo Verde</v>
      </c>
    </row>
    <row r="151" spans="1:5">
      <c r="A151" s="143" t="s">
        <v>142</v>
      </c>
      <c r="B151" s="135" t="str">
        <f>IFERROR(INDEX($B$125:$B$128,MATCH(1,$J$125:$J$128,0)),"?")</f>
        <v>Franca</v>
      </c>
      <c r="C151" s="135" t="str">
        <f>IFERROR(INDEX($B$125:$B$128,MATCH(2,$J$125:$J$128,0)),"?")</f>
        <v>Senegal</v>
      </c>
      <c r="D151" s="135" t="str">
        <f>IFERROR(INDEX($B$125:$B$128,MATCH(3,$J$125:$J$128,0)),"?")</f>
        <v>Noruega</v>
      </c>
      <c r="E151" s="135" t="str">
        <f>IFERROR(INDEX($B$125:$B$128,MATCH(4,$J$125:$J$128,0)),"?")</f>
        <v>Iraque</v>
      </c>
    </row>
    <row r="152" spans="1:5">
      <c r="A152" s="144" t="s">
        <v>153</v>
      </c>
      <c r="B152" s="135" t="str">
        <f>IFERROR(INDEX($B$129:$B$132,MATCH(1,$J$129:$J$132,0)),"?")</f>
        <v>Argentina</v>
      </c>
      <c r="C152" s="135" t="str">
        <f>IFERROR(INDEX($B$129:$B$132,MATCH(2,$J$129:$J$132,0)),"?")</f>
        <v>Austria</v>
      </c>
      <c r="D152" s="135" t="str">
        <f>IFERROR(INDEX($B$129:$B$132,MATCH(3,$J$129:$J$132,0)),"?")</f>
        <v>Argelia</v>
      </c>
      <c r="E152" s="135" t="str">
        <f>IFERROR(INDEX($B$129:$B$132,MATCH(4,$J$129:$J$132,0)),"?")</f>
        <v>Jordania</v>
      </c>
    </row>
    <row r="153" spans="1:5">
      <c r="A153" s="145" t="s">
        <v>164</v>
      </c>
      <c r="B153" s="135" t="str">
        <f>IFERROR(INDEX($B$133:$B$136,MATCH(1,$J$133:$J$136,0)),"?")</f>
        <v>Portugal</v>
      </c>
      <c r="C153" s="135" t="str">
        <f>IFERROR(INDEX($B$133:$B$136,MATCH(2,$J$133:$J$136,0)),"?")</f>
        <v>Colombia</v>
      </c>
      <c r="D153" s="135" t="str">
        <f>IFERROR(INDEX($B$133:$B$136,MATCH(3,$J$133:$J$136,0)),"?")</f>
        <v>RD Congo</v>
      </c>
      <c r="E153" s="135" t="str">
        <f>IFERROR(INDEX($B$133:$B$136,MATCH(4,$J$133:$J$136,0)),"?")</f>
        <v>Uzbequistao</v>
      </c>
    </row>
    <row r="154" spans="1:5">
      <c r="A154" s="146" t="s">
        <v>175</v>
      </c>
      <c r="B154" s="135" t="str">
        <f>IFERROR(INDEX($B$137:$B$140,MATCH(1,$J$137:$J$140,0)),"?")</f>
        <v>Inglaterra</v>
      </c>
      <c r="C154" s="135" t="str">
        <f>IFERROR(INDEX($B$137:$B$140,MATCH(2,$J$137:$J$140,0)),"?")</f>
        <v>Croacia</v>
      </c>
      <c r="D154" s="135" t="str">
        <f>IFERROR(INDEX($B$137:$B$140,MATCH(3,$J$137:$J$140,0)),"?")</f>
        <v>Gana</v>
      </c>
      <c r="E154" s="135" t="str">
        <f>IFERROR(INDEX($B$137:$B$140,MATCH(4,$J$137:$J$140,0)),"?")</f>
        <v>Panama</v>
      </c>
    </row>
    <row r="156" spans="1:5">
      <c r="A156" s="148" t="s">
        <v>54</v>
      </c>
      <c r="B156" s="149" t="str">
        <f>IFERROR(INDEX($B$93:$B$96,MATCH(3,$J$93:$J$96,0)),"?")</f>
        <v>Tchequia</v>
      </c>
      <c r="C156" s="149">
        <f>IFERROR(INDEX($I$93:$I$96,MATCH(3,$J$93:$J$96,0)),0)</f>
        <v>200000462</v>
      </c>
      <c r="D156" s="150">
        <f t="shared" ref="D156:D167" si="9">RANK(C156,$C$156:$C$167,0)</f>
        <v>7</v>
      </c>
    </row>
    <row r="157" spans="1:5">
      <c r="A157" s="151" t="s">
        <v>65</v>
      </c>
      <c r="B157" s="149" t="str">
        <f>IFERROR(INDEX($B$97:$B$100,MATCH(3,$J$97:$J$100,0)),"?")</f>
        <v>Canada</v>
      </c>
      <c r="C157" s="149">
        <f>IFERROR(INDEX($I$97:$I$100,MATCH(3,$J$97:$J$100,0)),0)</f>
        <v>200000456</v>
      </c>
      <c r="D157" s="150">
        <f t="shared" si="9"/>
        <v>9</v>
      </c>
    </row>
    <row r="158" spans="1:5">
      <c r="A158" s="152" t="s">
        <v>76</v>
      </c>
      <c r="B158" s="149" t="str">
        <f>IFERROR(INDEX($B$101:$B$104,MATCH(3,$J$101:$J$104,0)),"?")</f>
        <v>Escocia</v>
      </c>
      <c r="C158" s="149">
        <f>IFERROR(INDEX($I$101:$I$104,MATCH(3,$J$101:$J$104,0)),0)</f>
        <v>200000473</v>
      </c>
      <c r="D158" s="150">
        <f t="shared" si="9"/>
        <v>2</v>
      </c>
    </row>
    <row r="159" spans="1:5">
      <c r="A159" s="153" t="s">
        <v>87</v>
      </c>
      <c r="B159" s="149" t="str">
        <f>IFERROR(INDEX($B$105:$B$108,MATCH(3,$J$105:$J$108,0)),"?")</f>
        <v>Turquia</v>
      </c>
      <c r="C159" s="149">
        <f>IFERROR(INDEX($I$105:$I$108,MATCH(3,$J$105:$J$108,0)),0)</f>
        <v>200000464</v>
      </c>
      <c r="D159" s="150">
        <f t="shared" si="9"/>
        <v>5</v>
      </c>
    </row>
    <row r="160" spans="1:5">
      <c r="A160" s="154" t="s">
        <v>98</v>
      </c>
      <c r="B160" s="149" t="str">
        <f>IFERROR(INDEX($B$109:$B$112,MATCH(3,$J$109:$J$112,0)),"?")</f>
        <v>Costa do Marfim</v>
      </c>
      <c r="C160" s="149">
        <f>IFERROR(INDEX($I$109:$I$112,MATCH(3,$J$109:$J$112,0)),0)</f>
        <v>200000459</v>
      </c>
      <c r="D160" s="150">
        <f t="shared" si="9"/>
        <v>8</v>
      </c>
    </row>
    <row r="161" spans="1:4">
      <c r="A161" s="155" t="s">
        <v>109</v>
      </c>
      <c r="B161" s="149" t="str">
        <f>IFERROR(INDEX($B$113:$B$116,MATCH(3,$J$113:$J$116,0)),"?")</f>
        <v>Suecia</v>
      </c>
      <c r="C161" s="149">
        <f>IFERROR(INDEX($I$113:$I$116,MATCH(3,$J$113:$J$116,0)),0)</f>
        <v>200000474</v>
      </c>
      <c r="D161" s="150">
        <f t="shared" si="9"/>
        <v>1</v>
      </c>
    </row>
    <row r="162" spans="1:4">
      <c r="A162" s="156" t="s">
        <v>120</v>
      </c>
      <c r="B162" s="149" t="str">
        <f>IFERROR(INDEX($B$117:$B$120,MATCH(3,$J$117:$J$120,0)),"?")</f>
        <v>Egito</v>
      </c>
      <c r="C162" s="149">
        <f>IFERROR(INDEX($I$117:$I$120,MATCH(3,$J$117:$J$120,0)),0)</f>
        <v>200000464</v>
      </c>
      <c r="D162" s="150">
        <f t="shared" si="9"/>
        <v>5</v>
      </c>
    </row>
    <row r="163" spans="1:4">
      <c r="A163" s="157" t="s">
        <v>131</v>
      </c>
      <c r="B163" s="149" t="str">
        <f>IFERROR(INDEX($B$121:$B$124,MATCH(3,$J$121:$J$124,0)),"?")</f>
        <v>Arabia Saudita</v>
      </c>
      <c r="C163" s="149">
        <f>IFERROR(INDEX($I$121:$I$124,MATCH(3,$J$121:$J$124,0)),0)</f>
        <v>200000443</v>
      </c>
      <c r="D163" s="150">
        <f t="shared" si="9"/>
        <v>11</v>
      </c>
    </row>
    <row r="164" spans="1:4">
      <c r="A164" s="158" t="s">
        <v>142</v>
      </c>
      <c r="B164" s="149" t="str">
        <f>IFERROR(INDEX($B$125:$B$128,MATCH(3,$J$125:$J$128,0)),"?")</f>
        <v>Noruega</v>
      </c>
      <c r="C164" s="149">
        <f>IFERROR(INDEX($I$125:$I$128,MATCH(3,$J$125:$J$128,0)),0)</f>
        <v>200000472</v>
      </c>
      <c r="D164" s="150">
        <f t="shared" si="9"/>
        <v>3</v>
      </c>
    </row>
    <row r="165" spans="1:4">
      <c r="A165" s="159" t="s">
        <v>153</v>
      </c>
      <c r="B165" s="149" t="str">
        <f>IFERROR(INDEX($B$129:$B$132,MATCH(3,$J$129:$J$132,0)),"?")</f>
        <v>Argelia</v>
      </c>
      <c r="C165" s="149">
        <f>IFERROR(INDEX($I$129:$I$132,MATCH(3,$J$129:$J$132,0)),0)</f>
        <v>200000468</v>
      </c>
      <c r="D165" s="150">
        <f t="shared" si="9"/>
        <v>4</v>
      </c>
    </row>
    <row r="166" spans="1:4">
      <c r="A166" s="160" t="s">
        <v>164</v>
      </c>
      <c r="B166" s="149" t="str">
        <f>IFERROR(INDEX($B$133:$B$136,MATCH(3,$J$133:$J$136,0)),"?")</f>
        <v>RD Congo</v>
      </c>
      <c r="C166" s="149">
        <f>IFERROR(INDEX($I$133:$I$136,MATCH(3,$J$133:$J$136,0)),0)</f>
        <v>200000443</v>
      </c>
      <c r="D166" s="150">
        <f t="shared" si="9"/>
        <v>11</v>
      </c>
    </row>
    <row r="167" spans="1:4">
      <c r="A167" s="161" t="s">
        <v>175</v>
      </c>
      <c r="B167" s="149" t="str">
        <f>IFERROR(INDEX($B$137:$B$140,MATCH(3,$J$137:$J$140,0)),"?")</f>
        <v>Gana</v>
      </c>
      <c r="C167" s="149">
        <f>IFERROR(INDEX($I$137:$I$140,MATCH(3,$J$137:$J$140,0)),0)</f>
        <v>200000448</v>
      </c>
      <c r="D167" s="150">
        <f t="shared" si="9"/>
        <v>10</v>
      </c>
    </row>
    <row r="169" spans="1:4">
      <c r="A169" s="163">
        <v>1</v>
      </c>
      <c r="B169" s="164" t="str">
        <f>IFERROR(INDEX($B$156:$B$167,MATCH(1,$D$156:$D$167,0)),"?")</f>
        <v>Suecia</v>
      </c>
    </row>
    <row r="170" spans="1:4">
      <c r="A170" s="163">
        <v>2</v>
      </c>
      <c r="B170" s="164" t="str">
        <f>IFERROR(INDEX($B$156:$B$167,MATCH(2,$D$156:$D$167,0)),"?")</f>
        <v>Escocia</v>
      </c>
    </row>
    <row r="171" spans="1:4">
      <c r="A171" s="163">
        <v>3</v>
      </c>
      <c r="B171" s="164" t="str">
        <f>IFERROR(INDEX($B$156:$B$167,MATCH(3,$D$156:$D$167,0)),"?")</f>
        <v>Noruega</v>
      </c>
    </row>
    <row r="172" spans="1:4">
      <c r="A172" s="163">
        <v>4</v>
      </c>
      <c r="B172" s="164" t="str">
        <f>IFERROR(INDEX($B$156:$B$167,MATCH(4,$D$156:$D$167,0)),"?")</f>
        <v>Argelia</v>
      </c>
    </row>
    <row r="173" spans="1:4">
      <c r="A173" s="163">
        <v>5</v>
      </c>
      <c r="B173" s="164" t="str">
        <f>IFERROR(INDEX($B$156:$B$167,MATCH(5,$D$156:$D$167,0)),"?")</f>
        <v>Turquia</v>
      </c>
    </row>
    <row r="174" spans="1:4">
      <c r="A174" s="163">
        <v>6</v>
      </c>
      <c r="B174" s="164" t="str">
        <f>IFERROR(INDEX($B$156:$B$167,MATCH(6,$D$156:$D$167,0)),"?")</f>
        <v>?</v>
      </c>
    </row>
    <row r="175" spans="1:4">
      <c r="A175" s="163">
        <v>7</v>
      </c>
      <c r="B175" s="164" t="str">
        <f>IFERROR(INDEX($B$156:$B$167,MATCH(7,$D$156:$D$167,0)),"?")</f>
        <v>Tchequia</v>
      </c>
    </row>
    <row r="176" spans="1:4">
      <c r="A176" s="163">
        <v>8</v>
      </c>
      <c r="B176" s="164" t="str">
        <f>IFERROR(INDEX($B$156:$B$167,MATCH(8,$D$156:$D$167,0)),"?")</f>
        <v>Costa do Marfim</v>
      </c>
    </row>
    <row r="178" spans="1:13">
      <c r="A178" s="165" t="s">
        <v>434</v>
      </c>
      <c r="B178" s="166" t="str">
        <f>IF(D156&lt;=8,"A","")&amp;IF(D157&lt;=8,"B","")&amp;IF(D158&lt;=8,"C","")&amp;IF(D159&lt;=8,"D","")&amp;IF(D160&lt;=8,"E","")&amp;IF(D161&lt;=8,"F","")&amp;IF(D162&lt;=8,"G","")&amp;IF(D163&lt;=8,"H","")&amp;IF(D164&lt;=8,"I","")&amp;IF(D165&lt;=8,"J","")&amp;IF(D166&lt;=8,"K","")&amp;IF(D167&lt;=8,"L","")</f>
        <v>ACDEFGIJ</v>
      </c>
    </row>
    <row r="182" spans="1:13">
      <c r="A182" s="171" t="s">
        <v>954</v>
      </c>
    </row>
    <row r="183" spans="1:13">
      <c r="A183" s="109" t="s">
        <v>54</v>
      </c>
      <c r="B183" s="9" t="s">
        <v>55</v>
      </c>
      <c r="C183" s="110">
        <f>IF(AND(ISNUMBER('Apostas - Grupos'!B7),ISNUMBER('Apostas - Grupos'!C7)),IF('Apostas - Grupos'!B7&gt;'Apostas - Grupos'!C7,1,0),0)+IF(AND(ISNUMBER('Apostas - Grupos'!H7),ISNUMBER('Apostas - Grupos'!I7)),IF('Apostas - Grupos'!H7&gt;'Apostas - Grupos'!I7,1,0),0)+IF(AND(ISNUMBER('Apostas - Grupos'!J7),ISNUMBER('Apostas - Grupos'!K7)),IF('Apostas - Grupos'!K7&gt;'Apostas - Grupos'!J7,1,0),0)</f>
        <v>0</v>
      </c>
      <c r="D183" s="110">
        <f>IF(AND(ISNUMBER('Apostas - Grupos'!B7),ISNUMBER('Apostas - Grupos'!C7)),IF('Apostas - Grupos'!B7='Apostas - Grupos'!C7,1,0),0)+IF(AND(ISNUMBER('Apostas - Grupos'!H7),ISNUMBER('Apostas - Grupos'!I7)),IF('Apostas - Grupos'!H7='Apostas - Grupos'!I7,1,0),0)+IF(AND(ISNUMBER('Apostas - Grupos'!J7),ISNUMBER('Apostas - Grupos'!K7)),IF('Apostas - Grupos'!J7='Apostas - Grupos'!K7,1,0),0)</f>
        <v>0</v>
      </c>
      <c r="E183" s="110">
        <f>IF(ISNUMBER('Apostas - Grupos'!B7),'Apostas - Grupos'!B7,0)+IF(ISNUMBER('Apostas - Grupos'!H7),'Apostas - Grupos'!H7,0)+IF(ISNUMBER('Apostas - Grupos'!J7),'Apostas - Grupos'!K7,0)</f>
        <v>0</v>
      </c>
      <c r="F183" s="110">
        <f>IF(ISNUMBER('Apostas - Grupos'!B7),'Apostas - Grupos'!C7,0)+IF(ISNUMBER('Apostas - Grupos'!H7),'Apostas - Grupos'!I7,0)+IF(ISNUMBER('Apostas - Grupos'!J7),'Apostas - Grupos'!J7,0)</f>
        <v>0</v>
      </c>
      <c r="G183" s="110">
        <f t="shared" ref="G183:G230" si="10">E183-F183</f>
        <v>0</v>
      </c>
      <c r="H183" s="8">
        <f t="shared" ref="H183:H230" si="11">3*C183+D183</f>
        <v>0</v>
      </c>
      <c r="I183" s="110">
        <f t="shared" ref="I183:I230" si="12">H183*1000000000+(G183+200)*1000000+E183*1000+(500-M183)</f>
        <v>200000484</v>
      </c>
      <c r="J183" s="8">
        <f>RANK(I183,$I$183:$I$186,0)</f>
        <v>1</v>
      </c>
      <c r="K183" s="110">
        <f>IF(AND(ISNUMBER('Apostas - Grupos'!B7),ISNUMBER('Apostas - Grupos'!C7)),1,0)+IF(AND(ISNUMBER('Apostas - Grupos'!H7),ISNUMBER('Apostas - Grupos'!I7)),1,0)+IF(AND(ISNUMBER('Apostas - Grupos'!J7),ISNUMBER('Apostas - Grupos'!K7)),1,0)</f>
        <v>0</v>
      </c>
      <c r="L183" s="110">
        <f t="shared" ref="L183:L230" si="13">K183-C183-D183</f>
        <v>0</v>
      </c>
      <c r="M183" s="110">
        <v>16</v>
      </c>
    </row>
    <row r="184" spans="1:13">
      <c r="A184" s="109" t="s">
        <v>54</v>
      </c>
      <c r="B184" s="9" t="s">
        <v>56</v>
      </c>
      <c r="C184" s="110">
        <f>IF(AND(ISNUMBER('Apostas - Grupos'!B7),ISNUMBER('Apostas - Grupos'!C7)),IF('Apostas - Grupos'!C7&gt;'Apostas - Grupos'!B7,1,0),0)+IF(AND(ISNUMBER('Apostas - Grupos'!F7),ISNUMBER('Apostas - Grupos'!G7)),IF('Apostas - Grupos'!G7&gt;'Apostas - Grupos'!F7,1,0),0)+IF(AND(ISNUMBER('Apostas - Grupos'!L7),ISNUMBER('Apostas - Grupos'!M7)),IF('Apostas - Grupos'!L7&gt;'Apostas - Grupos'!M7,1,0),0)</f>
        <v>0</v>
      </c>
      <c r="D184" s="110">
        <f>IF(AND(ISNUMBER('Apostas - Grupos'!B7),ISNUMBER('Apostas - Grupos'!C7)),IF('Apostas - Grupos'!B7='Apostas - Grupos'!C7,1,0),0)+IF(AND(ISNUMBER('Apostas - Grupos'!F7),ISNUMBER('Apostas - Grupos'!G7)),IF('Apostas - Grupos'!F7='Apostas - Grupos'!G7,1,0),0)+IF(AND(ISNUMBER('Apostas - Grupos'!L7),ISNUMBER('Apostas - Grupos'!M7)),IF('Apostas - Grupos'!L7='Apostas - Grupos'!M7,1,0),0)</f>
        <v>0</v>
      </c>
      <c r="E184" s="110">
        <f>IF(ISNUMBER('Apostas - Grupos'!B7),'Apostas - Grupos'!C7,0)+IF(ISNUMBER('Apostas - Grupos'!F7),'Apostas - Grupos'!G7,0)+IF(ISNUMBER('Apostas - Grupos'!L7),'Apostas - Grupos'!L7,0)</f>
        <v>0</v>
      </c>
      <c r="F184" s="110">
        <f>IF(ISNUMBER('Apostas - Grupos'!B7),'Apostas - Grupos'!B7,0)+IF(ISNUMBER('Apostas - Grupos'!F7),'Apostas - Grupos'!F7,0)+IF(ISNUMBER('Apostas - Grupos'!L7),'Apostas - Grupos'!M7,0)</f>
        <v>0</v>
      </c>
      <c r="G184" s="110">
        <f t="shared" si="10"/>
        <v>0</v>
      </c>
      <c r="H184" s="8">
        <f t="shared" si="11"/>
        <v>0</v>
      </c>
      <c r="I184" s="110">
        <f t="shared" si="12"/>
        <v>200000437</v>
      </c>
      <c r="J184" s="8">
        <f>RANK(I184,$I$183:$I$186,0)</f>
        <v>4</v>
      </c>
      <c r="K184" s="110">
        <f>IF(AND(ISNUMBER('Apostas - Grupos'!B7),ISNUMBER('Apostas - Grupos'!C7)),1,0)+IF(AND(ISNUMBER('Apostas - Grupos'!F7),ISNUMBER('Apostas - Grupos'!G7)),1,0)+IF(AND(ISNUMBER('Apostas - Grupos'!L7),ISNUMBER('Apostas - Grupos'!M7)),1,0)</f>
        <v>0</v>
      </c>
      <c r="L184" s="110">
        <f t="shared" si="13"/>
        <v>0</v>
      </c>
      <c r="M184" s="110">
        <v>63</v>
      </c>
    </row>
    <row r="185" spans="1:13">
      <c r="A185" s="109" t="s">
        <v>54</v>
      </c>
      <c r="B185" s="9" t="s">
        <v>58</v>
      </c>
      <c r="C185" s="110">
        <f>IF(AND(ISNUMBER('Apostas - Grupos'!D7),ISNUMBER('Apostas - Grupos'!E7)),IF('Apostas - Grupos'!D7&gt;'Apostas - Grupos'!E7,1,0),0)+IF(AND(ISNUMBER('Apostas - Grupos'!H7),ISNUMBER('Apostas - Grupos'!I7)),IF('Apostas - Grupos'!I7&gt;'Apostas - Grupos'!H7,1,0),0)+IF(AND(ISNUMBER('Apostas - Grupos'!L7),ISNUMBER('Apostas - Grupos'!M7)),IF('Apostas - Grupos'!M7&gt;'Apostas - Grupos'!L7,1,0),0)</f>
        <v>0</v>
      </c>
      <c r="D185" s="110">
        <f>IF(AND(ISNUMBER('Apostas - Grupos'!D7),ISNUMBER('Apostas - Grupos'!E7)),IF('Apostas - Grupos'!D7='Apostas - Grupos'!E7,1,0),0)+IF(AND(ISNUMBER('Apostas - Grupos'!H7),ISNUMBER('Apostas - Grupos'!I7)),IF('Apostas - Grupos'!H7='Apostas - Grupos'!I7,1,0),0)+IF(AND(ISNUMBER('Apostas - Grupos'!L7),ISNUMBER('Apostas - Grupos'!M7)),IF('Apostas - Grupos'!L7='Apostas - Grupos'!M7,1,0),0)</f>
        <v>0</v>
      </c>
      <c r="E185" s="110">
        <f>IF(ISNUMBER('Apostas - Grupos'!D7),'Apostas - Grupos'!D7,0)+IF(ISNUMBER('Apostas - Grupos'!H7),'Apostas - Grupos'!I7,0)+IF(ISNUMBER('Apostas - Grupos'!L7),'Apostas - Grupos'!M7,0)</f>
        <v>0</v>
      </c>
      <c r="F185" s="110">
        <f>IF(ISNUMBER('Apostas - Grupos'!D7),'Apostas - Grupos'!E7,0)+IF(ISNUMBER('Apostas - Grupos'!H7),'Apostas - Grupos'!H7,0)+IF(ISNUMBER('Apostas - Grupos'!L7),'Apostas - Grupos'!L7,0)</f>
        <v>0</v>
      </c>
      <c r="G185" s="110">
        <f t="shared" si="10"/>
        <v>0</v>
      </c>
      <c r="H185" s="8">
        <f t="shared" si="11"/>
        <v>0</v>
      </c>
      <c r="I185" s="110">
        <f t="shared" si="12"/>
        <v>200000477</v>
      </c>
      <c r="J185" s="8">
        <f>RANK(I185,$I$183:$I$186,0)</f>
        <v>2</v>
      </c>
      <c r="K185" s="110">
        <f>IF(AND(ISNUMBER('Apostas - Grupos'!D7),ISNUMBER('Apostas - Grupos'!E7)),1,0)+IF(AND(ISNUMBER('Apostas - Grupos'!H7),ISNUMBER('Apostas - Grupos'!I7)),1,0)+IF(AND(ISNUMBER('Apostas - Grupos'!L7),ISNUMBER('Apostas - Grupos'!M7)),1,0)</f>
        <v>0</v>
      </c>
      <c r="L185" s="110">
        <f t="shared" si="13"/>
        <v>0</v>
      </c>
      <c r="M185" s="110">
        <v>23</v>
      </c>
    </row>
    <row r="186" spans="1:13">
      <c r="A186" s="109" t="s">
        <v>54</v>
      </c>
      <c r="B186" s="9" t="s">
        <v>59</v>
      </c>
      <c r="C186" s="110">
        <f>IF(AND(ISNUMBER('Apostas - Grupos'!D7),ISNUMBER('Apostas - Grupos'!E7)),IF('Apostas - Grupos'!E7&gt;'Apostas - Grupos'!D7,1,0),0)+IF(AND(ISNUMBER('Apostas - Grupos'!F7),ISNUMBER('Apostas - Grupos'!G7)),IF('Apostas - Grupos'!F7&gt;'Apostas - Grupos'!G7,1,0),0)+IF(AND(ISNUMBER('Apostas - Grupos'!J7),ISNUMBER('Apostas - Grupos'!K7)),IF('Apostas - Grupos'!J7&gt;'Apostas - Grupos'!K7,1,0),0)</f>
        <v>0</v>
      </c>
      <c r="D186" s="110">
        <f>IF(AND(ISNUMBER('Apostas - Grupos'!D7),ISNUMBER('Apostas - Grupos'!E7)),IF('Apostas - Grupos'!D7='Apostas - Grupos'!E7,1,0),0)+IF(AND(ISNUMBER('Apostas - Grupos'!F7),ISNUMBER('Apostas - Grupos'!G7)),IF('Apostas - Grupos'!F7='Apostas - Grupos'!G7,1,0),0)+IF(AND(ISNUMBER('Apostas - Grupos'!J7),ISNUMBER('Apostas - Grupos'!K7)),IF('Apostas - Grupos'!J7='Apostas - Grupos'!K7,1,0),0)</f>
        <v>0</v>
      </c>
      <c r="E186" s="110">
        <f>IF(ISNUMBER('Apostas - Grupos'!D7),'Apostas - Grupos'!E7,0)+IF(ISNUMBER('Apostas - Grupos'!F7),'Apostas - Grupos'!F7,0)+IF(ISNUMBER('Apostas - Grupos'!J7),'Apostas - Grupos'!J7,0)</f>
        <v>0</v>
      </c>
      <c r="F186" s="110">
        <f>IF(ISNUMBER('Apostas - Grupos'!D7),'Apostas - Grupos'!D7,0)+IF(ISNUMBER('Apostas - Grupos'!F7),'Apostas - Grupos'!G7,0)+IF(ISNUMBER('Apostas - Grupos'!J7),'Apostas - Grupos'!K7,0)</f>
        <v>0</v>
      </c>
      <c r="G186" s="110">
        <f t="shared" si="10"/>
        <v>0</v>
      </c>
      <c r="H186" s="8">
        <f t="shared" si="11"/>
        <v>0</v>
      </c>
      <c r="I186" s="110">
        <f t="shared" si="12"/>
        <v>200000462</v>
      </c>
      <c r="J186" s="8">
        <f>RANK(I186,$I$183:$I$186,0)</f>
        <v>3</v>
      </c>
      <c r="K186" s="110">
        <f>IF(AND(ISNUMBER('Apostas - Grupos'!D7),ISNUMBER('Apostas - Grupos'!E7)),1,0)+IF(AND(ISNUMBER('Apostas - Grupos'!F7),ISNUMBER('Apostas - Grupos'!G7)),1,0)+IF(AND(ISNUMBER('Apostas - Grupos'!J7),ISNUMBER('Apostas - Grupos'!K7)),1,0)</f>
        <v>0</v>
      </c>
      <c r="L186" s="110">
        <f t="shared" si="13"/>
        <v>0</v>
      </c>
      <c r="M186" s="110">
        <v>38</v>
      </c>
    </row>
    <row r="187" spans="1:13">
      <c r="A187" s="111" t="s">
        <v>65</v>
      </c>
      <c r="B187" s="15" t="s">
        <v>66</v>
      </c>
      <c r="C187" s="112">
        <f>IF(AND(ISNUMBER('Apostas - Grupos'!N7),ISNUMBER('Apostas - Grupos'!O7)),IF('Apostas - Grupos'!N7&gt;'Apostas - Grupos'!O7,1,0),0)+IF(AND(ISNUMBER('Apostas - Grupos'!T7),ISNUMBER('Apostas - Grupos'!U7)),IF('Apostas - Grupos'!T7&gt;'Apostas - Grupos'!U7,1,0),0)+IF(AND(ISNUMBER('Apostas - Grupos'!V7),ISNUMBER('Apostas - Grupos'!W7)),IF('Apostas - Grupos'!W7&gt;'Apostas - Grupos'!V7,1,0),0)</f>
        <v>0</v>
      </c>
      <c r="D187" s="112">
        <f>IF(AND(ISNUMBER('Apostas - Grupos'!N7),ISNUMBER('Apostas - Grupos'!O7)),IF('Apostas - Grupos'!N7='Apostas - Grupos'!O7,1,0),0)+IF(AND(ISNUMBER('Apostas - Grupos'!T7),ISNUMBER('Apostas - Grupos'!U7)),IF('Apostas - Grupos'!T7='Apostas - Grupos'!U7,1,0),0)+IF(AND(ISNUMBER('Apostas - Grupos'!V7),ISNUMBER('Apostas - Grupos'!W7)),IF('Apostas - Grupos'!V7='Apostas - Grupos'!W7,1,0),0)</f>
        <v>0</v>
      </c>
      <c r="E187" s="112">
        <f>IF(ISNUMBER('Apostas - Grupos'!N7),'Apostas - Grupos'!N7,0)+IF(ISNUMBER('Apostas - Grupos'!T7),'Apostas - Grupos'!T7,0)+IF(ISNUMBER('Apostas - Grupos'!V7),'Apostas - Grupos'!W7,0)</f>
        <v>0</v>
      </c>
      <c r="F187" s="112">
        <f>IF(ISNUMBER('Apostas - Grupos'!N7),'Apostas - Grupos'!O7,0)+IF(ISNUMBER('Apostas - Grupos'!T7),'Apostas - Grupos'!U7,0)+IF(ISNUMBER('Apostas - Grupos'!V7),'Apostas - Grupos'!V7,0)</f>
        <v>0</v>
      </c>
      <c r="G187" s="112">
        <f t="shared" si="10"/>
        <v>0</v>
      </c>
      <c r="H187" s="14">
        <f t="shared" si="11"/>
        <v>0</v>
      </c>
      <c r="I187" s="112">
        <f t="shared" si="12"/>
        <v>200000456</v>
      </c>
      <c r="J187" s="14">
        <f>RANK(I187,$I$187:$I$190,0)</f>
        <v>3</v>
      </c>
      <c r="K187" s="112">
        <f>IF(AND(ISNUMBER('Apostas - Grupos'!N7),ISNUMBER('Apostas - Grupos'!O7)),1,0)+IF(AND(ISNUMBER('Apostas - Grupos'!T7),ISNUMBER('Apostas - Grupos'!U7)),1,0)+IF(AND(ISNUMBER('Apostas - Grupos'!V7),ISNUMBER('Apostas - Grupos'!W7)),1,0)</f>
        <v>0</v>
      </c>
      <c r="L187" s="112">
        <f t="shared" si="13"/>
        <v>0</v>
      </c>
      <c r="M187" s="112">
        <v>44</v>
      </c>
    </row>
    <row r="188" spans="1:13">
      <c r="A188" s="111" t="s">
        <v>65</v>
      </c>
      <c r="B188" s="15" t="s">
        <v>67</v>
      </c>
      <c r="C188" s="112">
        <f>IF(AND(ISNUMBER('Apostas - Grupos'!N7),ISNUMBER('Apostas - Grupos'!O7)),IF('Apostas - Grupos'!O7&gt;'Apostas - Grupos'!N7,1,0),0)+IF(AND(ISNUMBER('Apostas - Grupos'!R7),ISNUMBER('Apostas - Grupos'!S7)),IF('Apostas - Grupos'!S7&gt;'Apostas - Grupos'!R7,1,0),0)+IF(AND(ISNUMBER('Apostas - Grupos'!X7),ISNUMBER('Apostas - Grupos'!Y7)),IF('Apostas - Grupos'!X7&gt;'Apostas - Grupos'!Y7,1,0),0)</f>
        <v>0</v>
      </c>
      <c r="D188" s="112">
        <f>IF(AND(ISNUMBER('Apostas - Grupos'!N7),ISNUMBER('Apostas - Grupos'!O7)),IF('Apostas - Grupos'!N7='Apostas - Grupos'!O7,1,0),0)+IF(AND(ISNUMBER('Apostas - Grupos'!R7),ISNUMBER('Apostas - Grupos'!S7)),IF('Apostas - Grupos'!R7='Apostas - Grupos'!S7,1,0),0)+IF(AND(ISNUMBER('Apostas - Grupos'!X7),ISNUMBER('Apostas - Grupos'!Y7)),IF('Apostas - Grupos'!X7='Apostas - Grupos'!Y7,1,0),0)</f>
        <v>0</v>
      </c>
      <c r="E188" s="112">
        <f>IF(ISNUMBER('Apostas - Grupos'!N7),'Apostas - Grupos'!O7,0)+IF(ISNUMBER('Apostas - Grupos'!R7),'Apostas - Grupos'!S7,0)+IF(ISNUMBER('Apostas - Grupos'!X7),'Apostas - Grupos'!X7,0)</f>
        <v>0</v>
      </c>
      <c r="F188" s="112">
        <f>IF(ISNUMBER('Apostas - Grupos'!N7),'Apostas - Grupos'!N7,0)+IF(ISNUMBER('Apostas - Grupos'!R7),'Apostas - Grupos'!R7,0)+IF(ISNUMBER('Apostas - Grupos'!X7),'Apostas - Grupos'!Y7,0)</f>
        <v>0</v>
      </c>
      <c r="G188" s="112">
        <f t="shared" si="10"/>
        <v>0</v>
      </c>
      <c r="H188" s="14">
        <f t="shared" si="11"/>
        <v>0</v>
      </c>
      <c r="I188" s="112">
        <f t="shared" si="12"/>
        <v>200000445</v>
      </c>
      <c r="J188" s="14">
        <f>RANK(I188,$I$187:$I$190,0)</f>
        <v>4</v>
      </c>
      <c r="K188" s="112">
        <f>IF(AND(ISNUMBER('Apostas - Grupos'!N7),ISNUMBER('Apostas - Grupos'!O7)),1,0)+IF(AND(ISNUMBER('Apostas - Grupos'!R7),ISNUMBER('Apostas - Grupos'!S7)),1,0)+IF(AND(ISNUMBER('Apostas - Grupos'!X7),ISNUMBER('Apostas - Grupos'!Y7)),1,0)</f>
        <v>0</v>
      </c>
      <c r="L188" s="112">
        <f t="shared" si="13"/>
        <v>0</v>
      </c>
      <c r="M188" s="112">
        <v>55</v>
      </c>
    </row>
    <row r="189" spans="1:13">
      <c r="A189" s="111" t="s">
        <v>65</v>
      </c>
      <c r="B189" s="15" t="s">
        <v>69</v>
      </c>
      <c r="C189" s="112">
        <f>IF(AND(ISNUMBER('Apostas - Grupos'!P7),ISNUMBER('Apostas - Grupos'!Q7)),IF('Apostas - Grupos'!P7&gt;'Apostas - Grupos'!Q7,1,0),0)+IF(AND(ISNUMBER('Apostas - Grupos'!T7),ISNUMBER('Apostas - Grupos'!U7)),IF('Apostas - Grupos'!U7&gt;'Apostas - Grupos'!T7,1,0),0)+IF(AND(ISNUMBER('Apostas - Grupos'!X7),ISNUMBER('Apostas - Grupos'!Y7)),IF('Apostas - Grupos'!Y7&gt;'Apostas - Grupos'!X7,1,0),0)</f>
        <v>0</v>
      </c>
      <c r="D189" s="112">
        <f>IF(AND(ISNUMBER('Apostas - Grupos'!P7),ISNUMBER('Apostas - Grupos'!Q7)),IF('Apostas - Grupos'!P7='Apostas - Grupos'!Q7,1,0),0)+IF(AND(ISNUMBER('Apostas - Grupos'!T7),ISNUMBER('Apostas - Grupos'!U7)),IF('Apostas - Grupos'!T7='Apostas - Grupos'!U7,1,0),0)+IF(AND(ISNUMBER('Apostas - Grupos'!X7),ISNUMBER('Apostas - Grupos'!Y7)),IF('Apostas - Grupos'!X7='Apostas - Grupos'!Y7,1,0),0)</f>
        <v>0</v>
      </c>
      <c r="E189" s="112">
        <f>IF(ISNUMBER('Apostas - Grupos'!P7),'Apostas - Grupos'!P7,0)+IF(ISNUMBER('Apostas - Grupos'!T7),'Apostas - Grupos'!U7,0)+IF(ISNUMBER('Apostas - Grupos'!X7),'Apostas - Grupos'!Y7,0)</f>
        <v>0</v>
      </c>
      <c r="F189" s="112">
        <f>IF(ISNUMBER('Apostas - Grupos'!P7),'Apostas - Grupos'!Q7,0)+IF(ISNUMBER('Apostas - Grupos'!T7),'Apostas - Grupos'!T7,0)+IF(ISNUMBER('Apostas - Grupos'!X7),'Apostas - Grupos'!X7,0)</f>
        <v>0</v>
      </c>
      <c r="G189" s="112">
        <f t="shared" si="10"/>
        <v>0</v>
      </c>
      <c r="H189" s="14">
        <f t="shared" si="11"/>
        <v>0</v>
      </c>
      <c r="I189" s="112">
        <f t="shared" si="12"/>
        <v>200000462</v>
      </c>
      <c r="J189" s="14">
        <f>RANK(I189,$I$187:$I$190,0)</f>
        <v>2</v>
      </c>
      <c r="K189" s="112">
        <f>IF(AND(ISNUMBER('Apostas - Grupos'!P7),ISNUMBER('Apostas - Grupos'!Q7)),1,0)+IF(AND(ISNUMBER('Apostas - Grupos'!T7),ISNUMBER('Apostas - Grupos'!U7)),1,0)+IF(AND(ISNUMBER('Apostas - Grupos'!X7),ISNUMBER('Apostas - Grupos'!Y7)),1,0)</f>
        <v>0</v>
      </c>
      <c r="L189" s="112">
        <f t="shared" si="13"/>
        <v>0</v>
      </c>
      <c r="M189" s="112">
        <v>38</v>
      </c>
    </row>
    <row r="190" spans="1:13">
      <c r="A190" s="111" t="s">
        <v>65</v>
      </c>
      <c r="B190" s="15" t="s">
        <v>70</v>
      </c>
      <c r="C190" s="112">
        <f>IF(AND(ISNUMBER('Apostas - Grupos'!P7),ISNUMBER('Apostas - Grupos'!Q7)),IF('Apostas - Grupos'!Q7&gt;'Apostas - Grupos'!P7,1,0),0)+IF(AND(ISNUMBER('Apostas - Grupos'!R7),ISNUMBER('Apostas - Grupos'!S7)),IF('Apostas - Grupos'!R7&gt;'Apostas - Grupos'!S7,1,0),0)+IF(AND(ISNUMBER('Apostas - Grupos'!V7),ISNUMBER('Apostas - Grupos'!W7)),IF('Apostas - Grupos'!V7&gt;'Apostas - Grupos'!W7,1,0),0)</f>
        <v>0</v>
      </c>
      <c r="D190" s="112">
        <f>IF(AND(ISNUMBER('Apostas - Grupos'!P7),ISNUMBER('Apostas - Grupos'!Q7)),IF('Apostas - Grupos'!P7='Apostas - Grupos'!Q7,1,0),0)+IF(AND(ISNUMBER('Apostas - Grupos'!R7),ISNUMBER('Apostas - Grupos'!S7)),IF('Apostas - Grupos'!R7='Apostas - Grupos'!S7,1,0),0)+IF(AND(ISNUMBER('Apostas - Grupos'!V7),ISNUMBER('Apostas - Grupos'!W7)),IF('Apostas - Grupos'!V7='Apostas - Grupos'!W7,1,0),0)</f>
        <v>0</v>
      </c>
      <c r="E190" s="112">
        <f>IF(ISNUMBER('Apostas - Grupos'!P7),'Apostas - Grupos'!Q7,0)+IF(ISNUMBER('Apostas - Grupos'!R7),'Apostas - Grupos'!R7,0)+IF(ISNUMBER('Apostas - Grupos'!V7),'Apostas - Grupos'!V7,0)</f>
        <v>0</v>
      </c>
      <c r="F190" s="112">
        <f>IF(ISNUMBER('Apostas - Grupos'!P7),'Apostas - Grupos'!P7,0)+IF(ISNUMBER('Apostas - Grupos'!R7),'Apostas - Grupos'!S7,0)+IF(ISNUMBER('Apostas - Grupos'!V7),'Apostas - Grupos'!W7,0)</f>
        <v>0</v>
      </c>
      <c r="G190" s="112">
        <f t="shared" si="10"/>
        <v>0</v>
      </c>
      <c r="H190" s="14">
        <f t="shared" si="11"/>
        <v>0</v>
      </c>
      <c r="I190" s="112">
        <f t="shared" si="12"/>
        <v>200000480</v>
      </c>
      <c r="J190" s="14">
        <f>RANK(I190,$I$187:$I$190,0)</f>
        <v>1</v>
      </c>
      <c r="K190" s="112">
        <f>IF(AND(ISNUMBER('Apostas - Grupos'!P7),ISNUMBER('Apostas - Grupos'!Q7)),1,0)+IF(AND(ISNUMBER('Apostas - Grupos'!R7),ISNUMBER('Apostas - Grupos'!S7)),1,0)+IF(AND(ISNUMBER('Apostas - Grupos'!V7),ISNUMBER('Apostas - Grupos'!W7)),1,0)</f>
        <v>0</v>
      </c>
      <c r="L190" s="112">
        <f t="shared" si="13"/>
        <v>0</v>
      </c>
      <c r="M190" s="112">
        <v>20</v>
      </c>
    </row>
    <row r="191" spans="1:13">
      <c r="A191" s="113" t="s">
        <v>76</v>
      </c>
      <c r="B191" s="20" t="s">
        <v>77</v>
      </c>
      <c r="C191" s="114">
        <f>IF(AND(ISNUMBER('Apostas - Grupos'!Z7),ISNUMBER('Apostas - Grupos'!AA7)),IF('Apostas - Grupos'!Z7&gt;'Apostas - Grupos'!AA7,1,0),0)+IF(AND(ISNUMBER('Apostas - Grupos'!AF7),ISNUMBER('Apostas - Grupos'!AG7)),IF('Apostas - Grupos'!AF7&gt;'Apostas - Grupos'!AG7,1,0),0)+IF(AND(ISNUMBER('Apostas - Grupos'!AH7),ISNUMBER('Apostas - Grupos'!AI7)),IF('Apostas - Grupos'!AI7&gt;'Apostas - Grupos'!AH7,1,0),0)</f>
        <v>0</v>
      </c>
      <c r="D191" s="114">
        <f>IF(AND(ISNUMBER('Apostas - Grupos'!Z7),ISNUMBER('Apostas - Grupos'!AA7)),IF('Apostas - Grupos'!Z7='Apostas - Grupos'!AA7,1,0),0)+IF(AND(ISNUMBER('Apostas - Grupos'!AF7),ISNUMBER('Apostas - Grupos'!AG7)),IF('Apostas - Grupos'!AF7='Apostas - Grupos'!AG7,1,0),0)+IF(AND(ISNUMBER('Apostas - Grupos'!AH7),ISNUMBER('Apostas - Grupos'!AI7)),IF('Apostas - Grupos'!AH7='Apostas - Grupos'!AI7,1,0),0)</f>
        <v>0</v>
      </c>
      <c r="E191" s="114">
        <f>IF(ISNUMBER('Apostas - Grupos'!Z7),'Apostas - Grupos'!Z7,0)+IF(ISNUMBER('Apostas - Grupos'!AF7),'Apostas - Grupos'!AF7,0)+IF(ISNUMBER('Apostas - Grupos'!AH7),'Apostas - Grupos'!AI7,0)</f>
        <v>0</v>
      </c>
      <c r="F191" s="114">
        <f>IF(ISNUMBER('Apostas - Grupos'!Z7),'Apostas - Grupos'!AA7,0)+IF(ISNUMBER('Apostas - Grupos'!AF7),'Apostas - Grupos'!AG7,0)+IF(ISNUMBER('Apostas - Grupos'!AH7),'Apostas - Grupos'!AH7,0)</f>
        <v>0</v>
      </c>
      <c r="G191" s="114">
        <f t="shared" si="10"/>
        <v>0</v>
      </c>
      <c r="H191" s="19">
        <f t="shared" si="11"/>
        <v>0</v>
      </c>
      <c r="I191" s="114">
        <f t="shared" si="12"/>
        <v>200000495</v>
      </c>
      <c r="J191" s="19">
        <f>RANK(I191,$I$191:$I$194,0)</f>
        <v>1</v>
      </c>
      <c r="K191" s="114">
        <f>IF(AND(ISNUMBER('Apostas - Grupos'!Z7),ISNUMBER('Apostas - Grupos'!AA7)),1,0)+IF(AND(ISNUMBER('Apostas - Grupos'!AF7),ISNUMBER('Apostas - Grupos'!AG7)),1,0)+IF(AND(ISNUMBER('Apostas - Grupos'!AH7),ISNUMBER('Apostas - Grupos'!AI7)),1,0)</f>
        <v>0</v>
      </c>
      <c r="L191" s="114">
        <f t="shared" si="13"/>
        <v>0</v>
      </c>
      <c r="M191" s="114">
        <v>5</v>
      </c>
    </row>
    <row r="192" spans="1:13">
      <c r="A192" s="113" t="s">
        <v>76</v>
      </c>
      <c r="B192" s="20" t="s">
        <v>78</v>
      </c>
      <c r="C192" s="114">
        <f>IF(AND(ISNUMBER('Apostas - Grupos'!Z7),ISNUMBER('Apostas - Grupos'!AA7)),IF('Apostas - Grupos'!AA7&gt;'Apostas - Grupos'!Z7,1,0),0)+IF(AND(ISNUMBER('Apostas - Grupos'!AD7),ISNUMBER('Apostas - Grupos'!AE7)),IF('Apostas - Grupos'!AE7&gt;'Apostas - Grupos'!AD7,1,0),0)+IF(AND(ISNUMBER('Apostas - Grupos'!AJ7),ISNUMBER('Apostas - Grupos'!AK7)),IF('Apostas - Grupos'!AJ7&gt;'Apostas - Grupos'!AK7,1,0),0)</f>
        <v>0</v>
      </c>
      <c r="D192" s="114">
        <f>IF(AND(ISNUMBER('Apostas - Grupos'!Z7),ISNUMBER('Apostas - Grupos'!AA7)),IF('Apostas - Grupos'!Z7='Apostas - Grupos'!AA7,1,0),0)+IF(AND(ISNUMBER('Apostas - Grupos'!AD7),ISNUMBER('Apostas - Grupos'!AE7)),IF('Apostas - Grupos'!AD7='Apostas - Grupos'!AE7,1,0),0)+IF(AND(ISNUMBER('Apostas - Grupos'!AJ7),ISNUMBER('Apostas - Grupos'!AK7)),IF('Apostas - Grupos'!AJ7='Apostas - Grupos'!AK7,1,0),0)</f>
        <v>0</v>
      </c>
      <c r="E192" s="114">
        <f>IF(ISNUMBER('Apostas - Grupos'!Z7),'Apostas - Grupos'!AA7,0)+IF(ISNUMBER('Apostas - Grupos'!AD7),'Apostas - Grupos'!AE7,0)+IF(ISNUMBER('Apostas - Grupos'!AJ7),'Apostas - Grupos'!AJ7,0)</f>
        <v>0</v>
      </c>
      <c r="F192" s="114">
        <f>IF(ISNUMBER('Apostas - Grupos'!Z7),'Apostas - Grupos'!Z7,0)+IF(ISNUMBER('Apostas - Grupos'!AD7),'Apostas - Grupos'!AD7,0)+IF(ISNUMBER('Apostas - Grupos'!AJ7),'Apostas - Grupos'!AK7,0)</f>
        <v>0</v>
      </c>
      <c r="G192" s="114">
        <f t="shared" si="10"/>
        <v>0</v>
      </c>
      <c r="H192" s="19">
        <f t="shared" si="11"/>
        <v>0</v>
      </c>
      <c r="I192" s="114">
        <f t="shared" si="12"/>
        <v>200000486</v>
      </c>
      <c r="J192" s="19">
        <f>RANK(I192,$I$191:$I$194,0)</f>
        <v>2</v>
      </c>
      <c r="K192" s="114">
        <f>IF(AND(ISNUMBER('Apostas - Grupos'!Z7),ISNUMBER('Apostas - Grupos'!AA7)),1,0)+IF(AND(ISNUMBER('Apostas - Grupos'!AD7),ISNUMBER('Apostas - Grupos'!AE7)),1,0)+IF(AND(ISNUMBER('Apostas - Grupos'!AJ7),ISNUMBER('Apostas - Grupos'!AK7)),1,0)</f>
        <v>0</v>
      </c>
      <c r="L192" s="114">
        <f t="shared" si="13"/>
        <v>0</v>
      </c>
      <c r="M192" s="114">
        <v>14</v>
      </c>
    </row>
    <row r="193" spans="1:13">
      <c r="A193" s="113" t="s">
        <v>76</v>
      </c>
      <c r="B193" s="20" t="s">
        <v>80</v>
      </c>
      <c r="C193" s="114">
        <f>IF(AND(ISNUMBER('Apostas - Grupos'!AB7),ISNUMBER('Apostas - Grupos'!AC7)),IF('Apostas - Grupos'!AB7&gt;'Apostas - Grupos'!AC7,1,0),0)+IF(AND(ISNUMBER('Apostas - Grupos'!AF7),ISNUMBER('Apostas - Grupos'!AG7)),IF('Apostas - Grupos'!AG7&gt;'Apostas - Grupos'!AF7,1,0),0)+IF(AND(ISNUMBER('Apostas - Grupos'!AJ7),ISNUMBER('Apostas - Grupos'!AK7)),IF('Apostas - Grupos'!AK7&gt;'Apostas - Grupos'!AJ7,1,0),0)</f>
        <v>0</v>
      </c>
      <c r="D193" s="114">
        <f>IF(AND(ISNUMBER('Apostas - Grupos'!AB7),ISNUMBER('Apostas - Grupos'!AC7)),IF('Apostas - Grupos'!AB7='Apostas - Grupos'!AC7,1,0),0)+IF(AND(ISNUMBER('Apostas - Grupos'!AF7),ISNUMBER('Apostas - Grupos'!AG7)),IF('Apostas - Grupos'!AF7='Apostas - Grupos'!AG7,1,0),0)+IF(AND(ISNUMBER('Apostas - Grupos'!AJ7),ISNUMBER('Apostas - Grupos'!AK7)),IF('Apostas - Grupos'!AJ7='Apostas - Grupos'!AK7,1,0),0)</f>
        <v>0</v>
      </c>
      <c r="E193" s="114">
        <f>IF(ISNUMBER('Apostas - Grupos'!AB7),'Apostas - Grupos'!AB7,0)+IF(ISNUMBER('Apostas - Grupos'!AF7),'Apostas - Grupos'!AG7,0)+IF(ISNUMBER('Apostas - Grupos'!AJ7),'Apostas - Grupos'!AK7,0)</f>
        <v>0</v>
      </c>
      <c r="F193" s="114">
        <f>IF(ISNUMBER('Apostas - Grupos'!AB7),'Apostas - Grupos'!AC7,0)+IF(ISNUMBER('Apostas - Grupos'!AF7),'Apostas - Grupos'!AF7,0)+IF(ISNUMBER('Apostas - Grupos'!AJ7),'Apostas - Grupos'!AJ7,0)</f>
        <v>0</v>
      </c>
      <c r="G193" s="114">
        <f t="shared" si="10"/>
        <v>0</v>
      </c>
      <c r="H193" s="19">
        <f t="shared" si="11"/>
        <v>0</v>
      </c>
      <c r="I193" s="114">
        <f t="shared" si="12"/>
        <v>200000414</v>
      </c>
      <c r="J193" s="19">
        <f>RANK(I193,$I$191:$I$194,0)</f>
        <v>4</v>
      </c>
      <c r="K193" s="114">
        <f>IF(AND(ISNUMBER('Apostas - Grupos'!AB7),ISNUMBER('Apostas - Grupos'!AC7)),1,0)+IF(AND(ISNUMBER('Apostas - Grupos'!AF7),ISNUMBER('Apostas - Grupos'!AG7)),1,0)+IF(AND(ISNUMBER('Apostas - Grupos'!AJ7),ISNUMBER('Apostas - Grupos'!AK7)),1,0)</f>
        <v>0</v>
      </c>
      <c r="L193" s="114">
        <f t="shared" si="13"/>
        <v>0</v>
      </c>
      <c r="M193" s="114">
        <v>86</v>
      </c>
    </row>
    <row r="194" spans="1:13">
      <c r="A194" s="113" t="s">
        <v>76</v>
      </c>
      <c r="B194" s="20" t="s">
        <v>81</v>
      </c>
      <c r="C194" s="114">
        <f>IF(AND(ISNUMBER('Apostas - Grupos'!AB7),ISNUMBER('Apostas - Grupos'!AC7)),IF('Apostas - Grupos'!AC7&gt;'Apostas - Grupos'!AB7,1,0),0)+IF(AND(ISNUMBER('Apostas - Grupos'!AD7),ISNUMBER('Apostas - Grupos'!AE7)),IF('Apostas - Grupos'!AD7&gt;'Apostas - Grupos'!AE7,1,0),0)+IF(AND(ISNUMBER('Apostas - Grupos'!AH7),ISNUMBER('Apostas - Grupos'!AI7)),IF('Apostas - Grupos'!AH7&gt;'Apostas - Grupos'!AI7,1,0),0)</f>
        <v>0</v>
      </c>
      <c r="D194" s="114">
        <f>IF(AND(ISNUMBER('Apostas - Grupos'!AB7),ISNUMBER('Apostas - Grupos'!AC7)),IF('Apostas - Grupos'!AB7='Apostas - Grupos'!AC7,1,0),0)+IF(AND(ISNUMBER('Apostas - Grupos'!AD7),ISNUMBER('Apostas - Grupos'!AE7)),IF('Apostas - Grupos'!AD7='Apostas - Grupos'!AE7,1,0),0)+IF(AND(ISNUMBER('Apostas - Grupos'!AH7),ISNUMBER('Apostas - Grupos'!AI7)),IF('Apostas - Grupos'!AH7='Apostas - Grupos'!AI7,1,0),0)</f>
        <v>0</v>
      </c>
      <c r="E194" s="114">
        <f>IF(ISNUMBER('Apostas - Grupos'!AB7),'Apostas - Grupos'!AC7,0)+IF(ISNUMBER('Apostas - Grupos'!AD7),'Apostas - Grupos'!AD7,0)+IF(ISNUMBER('Apostas - Grupos'!AH7),'Apostas - Grupos'!AH7,0)</f>
        <v>0</v>
      </c>
      <c r="F194" s="114">
        <f>IF(ISNUMBER('Apostas - Grupos'!AB7),'Apostas - Grupos'!AB7,0)+IF(ISNUMBER('Apostas - Grupos'!AD7),'Apostas - Grupos'!AE7,0)+IF(ISNUMBER('Apostas - Grupos'!AH7),'Apostas - Grupos'!AI7,0)</f>
        <v>0</v>
      </c>
      <c r="G194" s="114">
        <f t="shared" si="10"/>
        <v>0</v>
      </c>
      <c r="H194" s="19">
        <f t="shared" si="11"/>
        <v>0</v>
      </c>
      <c r="I194" s="114">
        <f t="shared" si="12"/>
        <v>200000473</v>
      </c>
      <c r="J194" s="19">
        <f>RANK(I194,$I$191:$I$194,0)</f>
        <v>3</v>
      </c>
      <c r="K194" s="114">
        <f>IF(AND(ISNUMBER('Apostas - Grupos'!AB7),ISNUMBER('Apostas - Grupos'!AC7)),1,0)+IF(AND(ISNUMBER('Apostas - Grupos'!AD7),ISNUMBER('Apostas - Grupos'!AE7)),1,0)+IF(AND(ISNUMBER('Apostas - Grupos'!AH7),ISNUMBER('Apostas - Grupos'!AI7)),1,0)</f>
        <v>0</v>
      </c>
      <c r="L194" s="114">
        <f t="shared" si="13"/>
        <v>0</v>
      </c>
      <c r="M194" s="114">
        <v>27</v>
      </c>
    </row>
    <row r="195" spans="1:13">
      <c r="A195" s="115" t="s">
        <v>87</v>
      </c>
      <c r="B195" s="25" t="s">
        <v>88</v>
      </c>
      <c r="C195" s="116">
        <f>IF(AND(ISNUMBER('Apostas - Grupos'!AL7),ISNUMBER('Apostas - Grupos'!AM7)),IF('Apostas - Grupos'!AL7&gt;'Apostas - Grupos'!AM7,1,0),0)+IF(AND(ISNUMBER('Apostas - Grupos'!AP7),ISNUMBER('Apostas - Grupos'!AQ7)),IF('Apostas - Grupos'!AP7&gt;'Apostas - Grupos'!AQ7,1,0),0)+IF(AND(ISNUMBER('Apostas - Grupos'!AT7),ISNUMBER('Apostas - Grupos'!AU7)),IF('Apostas - Grupos'!AU7&gt;'Apostas - Grupos'!AT7,1,0),0)</f>
        <v>0</v>
      </c>
      <c r="D195" s="116">
        <f>IF(AND(ISNUMBER('Apostas - Grupos'!AL7),ISNUMBER('Apostas - Grupos'!AM7)),IF('Apostas - Grupos'!AL7='Apostas - Grupos'!AM7,1,0),0)+IF(AND(ISNUMBER('Apostas - Grupos'!AP7),ISNUMBER('Apostas - Grupos'!AQ7)),IF('Apostas - Grupos'!AP7='Apostas - Grupos'!AQ7,1,0),0)+IF(AND(ISNUMBER('Apostas - Grupos'!AT7),ISNUMBER('Apostas - Grupos'!AU7)),IF('Apostas - Grupos'!AT7='Apostas - Grupos'!AU7,1,0),0)</f>
        <v>0</v>
      </c>
      <c r="E195" s="116">
        <f>IF(ISNUMBER('Apostas - Grupos'!AL7),'Apostas - Grupos'!AL7,0)+IF(ISNUMBER('Apostas - Grupos'!AP7),'Apostas - Grupos'!AP7,0)+IF(ISNUMBER('Apostas - Grupos'!AT7),'Apostas - Grupos'!AU7,0)</f>
        <v>0</v>
      </c>
      <c r="F195" s="116">
        <f>IF(ISNUMBER('Apostas - Grupos'!AL7),'Apostas - Grupos'!AM7,0)+IF(ISNUMBER('Apostas - Grupos'!AP7),'Apostas - Grupos'!AQ7,0)+IF(ISNUMBER('Apostas - Grupos'!AT7),'Apostas - Grupos'!AT7,0)</f>
        <v>0</v>
      </c>
      <c r="G195" s="116">
        <f t="shared" si="10"/>
        <v>0</v>
      </c>
      <c r="H195" s="24">
        <f t="shared" si="11"/>
        <v>0</v>
      </c>
      <c r="I195" s="116">
        <f t="shared" si="12"/>
        <v>200000489</v>
      </c>
      <c r="J195" s="24">
        <f>RANK(I195,$I$195:$I$198,0)</f>
        <v>1</v>
      </c>
      <c r="K195" s="116">
        <f>IF(AND(ISNUMBER('Apostas - Grupos'!AL7),ISNUMBER('Apostas - Grupos'!AM7)),1,0)+IF(AND(ISNUMBER('Apostas - Grupos'!AP7),ISNUMBER('Apostas - Grupos'!AQ7)),1,0)+IF(AND(ISNUMBER('Apostas - Grupos'!AT7),ISNUMBER('Apostas - Grupos'!AU7)),1,0)</f>
        <v>0</v>
      </c>
      <c r="L195" s="116">
        <f t="shared" si="13"/>
        <v>0</v>
      </c>
      <c r="M195" s="116">
        <v>11</v>
      </c>
    </row>
    <row r="196" spans="1:13">
      <c r="A196" s="115" t="s">
        <v>87</v>
      </c>
      <c r="B196" s="25" t="s">
        <v>89</v>
      </c>
      <c r="C196" s="116">
        <f>IF(AND(ISNUMBER('Apostas - Grupos'!AL7),ISNUMBER('Apostas - Grupos'!AM7)),IF('Apostas - Grupos'!AM7&gt;'Apostas - Grupos'!AL7,1,0),0)+IF(AND(ISNUMBER('Apostas - Grupos'!AR7),ISNUMBER('Apostas - Grupos'!AS7)),IF('Apostas - Grupos'!AS7&gt;'Apostas - Grupos'!AR7,1,0),0)+IF(AND(ISNUMBER('Apostas - Grupos'!AV7),ISNUMBER('Apostas - Grupos'!AW7)),IF('Apostas - Grupos'!AV7&gt;'Apostas - Grupos'!AW7,1,0),0)</f>
        <v>0</v>
      </c>
      <c r="D196" s="116">
        <f>IF(AND(ISNUMBER('Apostas - Grupos'!AL7),ISNUMBER('Apostas - Grupos'!AM7)),IF('Apostas - Grupos'!AL7='Apostas - Grupos'!AM7,1,0),0)+IF(AND(ISNUMBER('Apostas - Grupos'!AR7),ISNUMBER('Apostas - Grupos'!AS7)),IF('Apostas - Grupos'!AR7='Apostas - Grupos'!AS7,1,0),0)+IF(AND(ISNUMBER('Apostas - Grupos'!AV7),ISNUMBER('Apostas - Grupos'!AW7)),IF('Apostas - Grupos'!AV7='Apostas - Grupos'!AW7,1,0),0)</f>
        <v>0</v>
      </c>
      <c r="E196" s="116">
        <f>IF(ISNUMBER('Apostas - Grupos'!AL7),'Apostas - Grupos'!AM7,0)+IF(ISNUMBER('Apostas - Grupos'!AR7),'Apostas - Grupos'!AS7,0)+IF(ISNUMBER('Apostas - Grupos'!AV7),'Apostas - Grupos'!AV7,0)</f>
        <v>0</v>
      </c>
      <c r="F196" s="116">
        <f>IF(ISNUMBER('Apostas - Grupos'!AL7),'Apostas - Grupos'!AL7,0)+IF(ISNUMBER('Apostas - Grupos'!AR7),'Apostas - Grupos'!AR7,0)+IF(ISNUMBER('Apostas - Grupos'!AV7),'Apostas - Grupos'!AW7,0)</f>
        <v>0</v>
      </c>
      <c r="G196" s="116">
        <f t="shared" si="10"/>
        <v>0</v>
      </c>
      <c r="H196" s="24">
        <f t="shared" si="11"/>
        <v>0</v>
      </c>
      <c r="I196" s="116">
        <f t="shared" si="12"/>
        <v>200000449</v>
      </c>
      <c r="J196" s="24">
        <f>RANK(I196,$I$195:$I$198,0)</f>
        <v>4</v>
      </c>
      <c r="K196" s="116">
        <f>IF(AND(ISNUMBER('Apostas - Grupos'!AL7),ISNUMBER('Apostas - Grupos'!AM7)),1,0)+IF(AND(ISNUMBER('Apostas - Grupos'!AR7),ISNUMBER('Apostas - Grupos'!AS7)),1,0)+IF(AND(ISNUMBER('Apostas - Grupos'!AV7),ISNUMBER('Apostas - Grupos'!AW7)),1,0)</f>
        <v>0</v>
      </c>
      <c r="L196" s="116">
        <f t="shared" si="13"/>
        <v>0</v>
      </c>
      <c r="M196" s="116">
        <v>51</v>
      </c>
    </row>
    <row r="197" spans="1:13">
      <c r="A197" s="115" t="s">
        <v>87</v>
      </c>
      <c r="B197" s="25" t="s">
        <v>91</v>
      </c>
      <c r="C197" s="116">
        <f>IF(AND(ISNUMBER('Apostas - Grupos'!AN7),ISNUMBER('Apostas - Grupos'!AO7)),IF('Apostas - Grupos'!AN7&gt;'Apostas - Grupos'!AO7,1,0),0)+IF(AND(ISNUMBER('Apostas - Grupos'!AP7),ISNUMBER('Apostas - Grupos'!AQ7)),IF('Apostas - Grupos'!AQ7&gt;'Apostas - Grupos'!AP7,1,0),0)+IF(AND(ISNUMBER('Apostas - Grupos'!AV7),ISNUMBER('Apostas - Grupos'!AW7)),IF('Apostas - Grupos'!AW7&gt;'Apostas - Grupos'!AV7,1,0),0)</f>
        <v>0</v>
      </c>
      <c r="D197" s="116">
        <f>IF(AND(ISNUMBER('Apostas - Grupos'!AN7),ISNUMBER('Apostas - Grupos'!AO7)),IF('Apostas - Grupos'!AN7='Apostas - Grupos'!AO7,1,0),0)+IF(AND(ISNUMBER('Apostas - Grupos'!AP7),ISNUMBER('Apostas - Grupos'!AQ7)),IF('Apostas - Grupos'!AP7='Apostas - Grupos'!AQ7,1,0),0)+IF(AND(ISNUMBER('Apostas - Grupos'!AV7),ISNUMBER('Apostas - Grupos'!AW7)),IF('Apostas - Grupos'!AV7='Apostas - Grupos'!AW7,1,0),0)</f>
        <v>0</v>
      </c>
      <c r="E197" s="116">
        <f>IF(ISNUMBER('Apostas - Grupos'!AN7),'Apostas - Grupos'!AN7,0)+IF(ISNUMBER('Apostas - Grupos'!AP7),'Apostas - Grupos'!AQ7,0)+IF(ISNUMBER('Apostas - Grupos'!AV7),'Apostas - Grupos'!AW7,0)</f>
        <v>0</v>
      </c>
      <c r="F197" s="116">
        <f>IF(ISNUMBER('Apostas - Grupos'!AN7),'Apostas - Grupos'!AO7,0)+IF(ISNUMBER('Apostas - Grupos'!AP7),'Apostas - Grupos'!AP7,0)+IF(ISNUMBER('Apostas - Grupos'!AV7),'Apostas - Grupos'!AV7,0)</f>
        <v>0</v>
      </c>
      <c r="G197" s="116">
        <f t="shared" si="10"/>
        <v>0</v>
      </c>
      <c r="H197" s="24">
        <f t="shared" si="11"/>
        <v>0</v>
      </c>
      <c r="I197" s="116">
        <f t="shared" si="12"/>
        <v>200000477</v>
      </c>
      <c r="J197" s="24">
        <f>RANK(I197,$I$195:$I$198,0)</f>
        <v>2</v>
      </c>
      <c r="K197" s="116">
        <f>IF(AND(ISNUMBER('Apostas - Grupos'!AN7),ISNUMBER('Apostas - Grupos'!AO7)),1,0)+IF(AND(ISNUMBER('Apostas - Grupos'!AP7),ISNUMBER('Apostas - Grupos'!AQ7)),1,0)+IF(AND(ISNUMBER('Apostas - Grupos'!AV7),ISNUMBER('Apostas - Grupos'!AW7)),1,0)</f>
        <v>0</v>
      </c>
      <c r="L197" s="116">
        <f t="shared" si="13"/>
        <v>0</v>
      </c>
      <c r="M197" s="116">
        <v>23</v>
      </c>
    </row>
    <row r="198" spans="1:13">
      <c r="A198" s="115" t="s">
        <v>87</v>
      </c>
      <c r="B198" s="25" t="s">
        <v>92</v>
      </c>
      <c r="C198" s="116">
        <f>IF(AND(ISNUMBER('Apostas - Grupos'!AN7),ISNUMBER('Apostas - Grupos'!AO7)),IF('Apostas - Grupos'!AO7&gt;'Apostas - Grupos'!AN7,1,0),0)+IF(AND(ISNUMBER('Apostas - Grupos'!AR7),ISNUMBER('Apostas - Grupos'!AS7)),IF('Apostas - Grupos'!AR7&gt;'Apostas - Grupos'!AS7,1,0),0)+IF(AND(ISNUMBER('Apostas - Grupos'!AT7),ISNUMBER('Apostas - Grupos'!AU7)),IF('Apostas - Grupos'!AT7&gt;'Apostas - Grupos'!AU7,1,0),0)</f>
        <v>0</v>
      </c>
      <c r="D198" s="116">
        <f>IF(AND(ISNUMBER('Apostas - Grupos'!AN7),ISNUMBER('Apostas - Grupos'!AO7)),IF('Apostas - Grupos'!AN7='Apostas - Grupos'!AO7,1,0),0)+IF(AND(ISNUMBER('Apostas - Grupos'!AR7),ISNUMBER('Apostas - Grupos'!AS7)),IF('Apostas - Grupos'!AR7='Apostas - Grupos'!AS7,1,0),0)+IF(AND(ISNUMBER('Apostas - Grupos'!AT7),ISNUMBER('Apostas - Grupos'!AU7)),IF('Apostas - Grupos'!AT7='Apostas - Grupos'!AU7,1,0),0)</f>
        <v>0</v>
      </c>
      <c r="E198" s="116">
        <f>IF(ISNUMBER('Apostas - Grupos'!AN7),'Apostas - Grupos'!AO7,0)+IF(ISNUMBER('Apostas - Grupos'!AR7),'Apostas - Grupos'!AR7,0)+IF(ISNUMBER('Apostas - Grupos'!AT7),'Apostas - Grupos'!AT7,0)</f>
        <v>0</v>
      </c>
      <c r="F198" s="116">
        <f>IF(ISNUMBER('Apostas - Grupos'!AN7),'Apostas - Grupos'!AN7,0)+IF(ISNUMBER('Apostas - Grupos'!AR7),'Apostas - Grupos'!AS7,0)+IF(ISNUMBER('Apostas - Grupos'!AT7),'Apostas - Grupos'!AU7,0)</f>
        <v>0</v>
      </c>
      <c r="G198" s="116">
        <f t="shared" si="10"/>
        <v>0</v>
      </c>
      <c r="H198" s="24">
        <f t="shared" si="11"/>
        <v>0</v>
      </c>
      <c r="I198" s="116">
        <f t="shared" si="12"/>
        <v>200000464</v>
      </c>
      <c r="J198" s="24">
        <f>RANK(I198,$I$195:$I$198,0)</f>
        <v>3</v>
      </c>
      <c r="K198" s="116">
        <f>IF(AND(ISNUMBER('Apostas - Grupos'!AN7),ISNUMBER('Apostas - Grupos'!AO7)),1,0)+IF(AND(ISNUMBER('Apostas - Grupos'!AR7),ISNUMBER('Apostas - Grupos'!AS7)),1,0)+IF(AND(ISNUMBER('Apostas - Grupos'!AT7),ISNUMBER('Apostas - Grupos'!AU7)),1,0)</f>
        <v>0</v>
      </c>
      <c r="L198" s="116">
        <f t="shared" si="13"/>
        <v>0</v>
      </c>
      <c r="M198" s="116">
        <v>36</v>
      </c>
    </row>
    <row r="199" spans="1:13">
      <c r="A199" s="117" t="s">
        <v>98</v>
      </c>
      <c r="B199" s="30" t="s">
        <v>99</v>
      </c>
      <c r="C199" s="118">
        <f>IF(AND(ISNUMBER('Apostas - Grupos'!AX7),ISNUMBER('Apostas - Grupos'!AY7)),IF('Apostas - Grupos'!AX7&gt;'Apostas - Grupos'!AY7,1,0),0)+IF(AND(ISNUMBER('Apostas - Grupos'!BB7),ISNUMBER('Apostas - Grupos'!BC7)),IF('Apostas - Grupos'!BB7&gt;'Apostas - Grupos'!BC7,1,0),0)+IF(AND(ISNUMBER('Apostas - Grupos'!BF7),ISNUMBER('Apostas - Grupos'!BG7)),IF('Apostas - Grupos'!BG7&gt;'Apostas - Grupos'!BF7,1,0),0)</f>
        <v>0</v>
      </c>
      <c r="D199" s="118">
        <f>IF(AND(ISNUMBER('Apostas - Grupos'!AX7),ISNUMBER('Apostas - Grupos'!AY7)),IF('Apostas - Grupos'!AX7='Apostas - Grupos'!AY7,1,0),0)+IF(AND(ISNUMBER('Apostas - Grupos'!BB7),ISNUMBER('Apostas - Grupos'!BC7)),IF('Apostas - Grupos'!BB7='Apostas - Grupos'!BC7,1,0),0)+IF(AND(ISNUMBER('Apostas - Grupos'!BF7),ISNUMBER('Apostas - Grupos'!BG7)),IF('Apostas - Grupos'!BF7='Apostas - Grupos'!BG7,1,0),0)</f>
        <v>0</v>
      </c>
      <c r="E199" s="118">
        <f>IF(ISNUMBER('Apostas - Grupos'!AX7),'Apostas - Grupos'!AX7,0)+IF(ISNUMBER('Apostas - Grupos'!BB7),'Apostas - Grupos'!BB7,0)+IF(ISNUMBER('Apostas - Grupos'!BF7),'Apostas - Grupos'!BG7,0)</f>
        <v>0</v>
      </c>
      <c r="F199" s="118">
        <f>IF(ISNUMBER('Apostas - Grupos'!AX7),'Apostas - Grupos'!AY7,0)+IF(ISNUMBER('Apostas - Grupos'!BB7),'Apostas - Grupos'!BC7,0)+IF(ISNUMBER('Apostas - Grupos'!BF7),'Apostas - Grupos'!BF7,0)</f>
        <v>0</v>
      </c>
      <c r="G199" s="118">
        <f t="shared" si="10"/>
        <v>0</v>
      </c>
      <c r="H199" s="29">
        <f t="shared" si="11"/>
        <v>0</v>
      </c>
      <c r="I199" s="118">
        <f t="shared" si="12"/>
        <v>200000488</v>
      </c>
      <c r="J199" s="29">
        <f>RANK(I199,$I$199:$I$202,0)</f>
        <v>1</v>
      </c>
      <c r="K199" s="118">
        <f>IF(AND(ISNUMBER('Apostas - Grupos'!AX7),ISNUMBER('Apostas - Grupos'!AY7)),1,0)+IF(AND(ISNUMBER('Apostas - Grupos'!BB7),ISNUMBER('Apostas - Grupos'!BC7)),1,0)+IF(AND(ISNUMBER('Apostas - Grupos'!BF7),ISNUMBER('Apostas - Grupos'!BG7)),1,0)</f>
        <v>0</v>
      </c>
      <c r="L199" s="118">
        <f t="shared" si="13"/>
        <v>0</v>
      </c>
      <c r="M199" s="118">
        <v>12</v>
      </c>
    </row>
    <row r="200" spans="1:13">
      <c r="A200" s="117" t="s">
        <v>98</v>
      </c>
      <c r="B200" s="30" t="s">
        <v>100</v>
      </c>
      <c r="C200" s="118">
        <f>IF(AND(ISNUMBER('Apostas - Grupos'!AX7),ISNUMBER('Apostas - Grupos'!AY7)),IF('Apostas - Grupos'!AY7&gt;'Apostas - Grupos'!AX7,1,0),0)+IF(AND(ISNUMBER('Apostas - Grupos'!BD7),ISNUMBER('Apostas - Grupos'!BE7)),IF('Apostas - Grupos'!BE7&gt;'Apostas - Grupos'!BD7,1,0),0)+IF(AND(ISNUMBER('Apostas - Grupos'!BH7),ISNUMBER('Apostas - Grupos'!BI7)),IF('Apostas - Grupos'!BH7&gt;'Apostas - Grupos'!BI7,1,0),0)</f>
        <v>0</v>
      </c>
      <c r="D200" s="118">
        <f>IF(AND(ISNUMBER('Apostas - Grupos'!AX7),ISNUMBER('Apostas - Grupos'!AY7)),IF('Apostas - Grupos'!AX7='Apostas - Grupos'!AY7,1,0),0)+IF(AND(ISNUMBER('Apostas - Grupos'!BD7),ISNUMBER('Apostas - Grupos'!BE7)),IF('Apostas - Grupos'!BD7='Apostas - Grupos'!BE7,1,0),0)+IF(AND(ISNUMBER('Apostas - Grupos'!BH7),ISNUMBER('Apostas - Grupos'!BI7)),IF('Apostas - Grupos'!BH7='Apostas - Grupos'!BI7,1,0),0)</f>
        <v>0</v>
      </c>
      <c r="E200" s="118">
        <f>IF(ISNUMBER('Apostas - Grupos'!AX7),'Apostas - Grupos'!AY7,0)+IF(ISNUMBER('Apostas - Grupos'!BD7),'Apostas - Grupos'!BE7,0)+IF(ISNUMBER('Apostas - Grupos'!BH7),'Apostas - Grupos'!BH7,0)</f>
        <v>0</v>
      </c>
      <c r="F200" s="118">
        <f>IF(ISNUMBER('Apostas - Grupos'!AX7),'Apostas - Grupos'!AX7,0)+IF(ISNUMBER('Apostas - Grupos'!BD7),'Apostas - Grupos'!BD7,0)+IF(ISNUMBER('Apostas - Grupos'!BH7),'Apostas - Grupos'!BI7,0)</f>
        <v>0</v>
      </c>
      <c r="G200" s="118">
        <f t="shared" si="10"/>
        <v>0</v>
      </c>
      <c r="H200" s="29">
        <f t="shared" si="11"/>
        <v>0</v>
      </c>
      <c r="I200" s="118">
        <f t="shared" si="12"/>
        <v>200000417</v>
      </c>
      <c r="J200" s="29">
        <f>RANK(I200,$I$199:$I$202,0)</f>
        <v>4</v>
      </c>
      <c r="K200" s="118">
        <f>IF(AND(ISNUMBER('Apostas - Grupos'!AX7),ISNUMBER('Apostas - Grupos'!AY7)),1,0)+IF(AND(ISNUMBER('Apostas - Grupos'!BD7),ISNUMBER('Apostas - Grupos'!BE7)),1,0)+IF(AND(ISNUMBER('Apostas - Grupos'!BH7),ISNUMBER('Apostas - Grupos'!BI7)),1,0)</f>
        <v>0</v>
      </c>
      <c r="L200" s="118">
        <f t="shared" si="13"/>
        <v>0</v>
      </c>
      <c r="M200" s="118">
        <v>83</v>
      </c>
    </row>
    <row r="201" spans="1:13">
      <c r="A201" s="117" t="s">
        <v>98</v>
      </c>
      <c r="B201" s="30" t="s">
        <v>102</v>
      </c>
      <c r="C201" s="118">
        <f>IF(AND(ISNUMBER('Apostas - Grupos'!AZ7),ISNUMBER('Apostas - Grupos'!BA7)),IF('Apostas - Grupos'!AZ7&gt;'Apostas - Grupos'!BA7,1,0),0)+IF(AND(ISNUMBER('Apostas - Grupos'!BB7),ISNUMBER('Apostas - Grupos'!BC7)),IF('Apostas - Grupos'!BC7&gt;'Apostas - Grupos'!BB7,1,0),0)+IF(AND(ISNUMBER('Apostas - Grupos'!BH7),ISNUMBER('Apostas - Grupos'!BI7)),IF('Apostas - Grupos'!BI7&gt;'Apostas - Grupos'!BH7,1,0),0)</f>
        <v>0</v>
      </c>
      <c r="D201" s="118">
        <f>IF(AND(ISNUMBER('Apostas - Grupos'!AZ7),ISNUMBER('Apostas - Grupos'!BA7)),IF('Apostas - Grupos'!AZ7='Apostas - Grupos'!BA7,1,0),0)+IF(AND(ISNUMBER('Apostas - Grupos'!BB7),ISNUMBER('Apostas - Grupos'!BC7)),IF('Apostas - Grupos'!BB7='Apostas - Grupos'!BC7,1,0),0)+IF(AND(ISNUMBER('Apostas - Grupos'!BH7),ISNUMBER('Apostas - Grupos'!BI7)),IF('Apostas - Grupos'!BH7='Apostas - Grupos'!BI7,1,0),0)</f>
        <v>0</v>
      </c>
      <c r="E201" s="118">
        <f>IF(ISNUMBER('Apostas - Grupos'!AZ7),'Apostas - Grupos'!AZ7,0)+IF(ISNUMBER('Apostas - Grupos'!BB7),'Apostas - Grupos'!BC7,0)+IF(ISNUMBER('Apostas - Grupos'!BH7),'Apostas - Grupos'!BI7,0)</f>
        <v>0</v>
      </c>
      <c r="F201" s="118">
        <f>IF(ISNUMBER('Apostas - Grupos'!AZ7),'Apostas - Grupos'!BA7,0)+IF(ISNUMBER('Apostas - Grupos'!BB7),'Apostas - Grupos'!BB7,0)+IF(ISNUMBER('Apostas - Grupos'!BH7),'Apostas - Grupos'!BH7,0)</f>
        <v>0</v>
      </c>
      <c r="G201" s="118">
        <f t="shared" si="10"/>
        <v>0</v>
      </c>
      <c r="H201" s="29">
        <f t="shared" si="11"/>
        <v>0</v>
      </c>
      <c r="I201" s="118">
        <f t="shared" si="12"/>
        <v>200000459</v>
      </c>
      <c r="J201" s="29">
        <f>RANK(I201,$I$199:$I$202,0)</f>
        <v>3</v>
      </c>
      <c r="K201" s="118">
        <f>IF(AND(ISNUMBER('Apostas - Grupos'!AZ7),ISNUMBER('Apostas - Grupos'!BA7)),1,0)+IF(AND(ISNUMBER('Apostas - Grupos'!BB7),ISNUMBER('Apostas - Grupos'!BC7)),1,0)+IF(AND(ISNUMBER('Apostas - Grupos'!BH7),ISNUMBER('Apostas - Grupos'!BI7)),1,0)</f>
        <v>0</v>
      </c>
      <c r="L201" s="118">
        <f t="shared" si="13"/>
        <v>0</v>
      </c>
      <c r="M201" s="118">
        <v>41</v>
      </c>
    </row>
    <row r="202" spans="1:13">
      <c r="A202" s="117" t="s">
        <v>98</v>
      </c>
      <c r="B202" s="30" t="s">
        <v>103</v>
      </c>
      <c r="C202" s="118">
        <f>IF(AND(ISNUMBER('Apostas - Grupos'!AZ7),ISNUMBER('Apostas - Grupos'!BA7)),IF('Apostas - Grupos'!BA7&gt;'Apostas - Grupos'!AZ7,1,0),0)+IF(AND(ISNUMBER('Apostas - Grupos'!BD7),ISNUMBER('Apostas - Grupos'!BE7)),IF('Apostas - Grupos'!BD7&gt;'Apostas - Grupos'!BE7,1,0),0)+IF(AND(ISNUMBER('Apostas - Grupos'!BF7),ISNUMBER('Apostas - Grupos'!BG7)),IF('Apostas - Grupos'!BF7&gt;'Apostas - Grupos'!BG7,1,0),0)</f>
        <v>0</v>
      </c>
      <c r="D202" s="118">
        <f>IF(AND(ISNUMBER('Apostas - Grupos'!AZ7),ISNUMBER('Apostas - Grupos'!BA7)),IF('Apostas - Grupos'!AZ7='Apostas - Grupos'!BA7,1,0),0)+IF(AND(ISNUMBER('Apostas - Grupos'!BD7),ISNUMBER('Apostas - Grupos'!BE7)),IF('Apostas - Grupos'!BD7='Apostas - Grupos'!BE7,1,0),0)+IF(AND(ISNUMBER('Apostas - Grupos'!BF7),ISNUMBER('Apostas - Grupos'!BG7)),IF('Apostas - Grupos'!BF7='Apostas - Grupos'!BG7,1,0),0)</f>
        <v>0</v>
      </c>
      <c r="E202" s="118">
        <f>IF(ISNUMBER('Apostas - Grupos'!AZ7),'Apostas - Grupos'!BA7,0)+IF(ISNUMBER('Apostas - Grupos'!BD7),'Apostas - Grupos'!BD7,0)+IF(ISNUMBER('Apostas - Grupos'!BF7),'Apostas - Grupos'!BF7,0)</f>
        <v>0</v>
      </c>
      <c r="F202" s="118">
        <f>IF(ISNUMBER('Apostas - Grupos'!AZ7),'Apostas - Grupos'!AZ7,0)+IF(ISNUMBER('Apostas - Grupos'!BD7),'Apostas - Grupos'!BE7,0)+IF(ISNUMBER('Apostas - Grupos'!BF7),'Apostas - Grupos'!BG7,0)</f>
        <v>0</v>
      </c>
      <c r="G202" s="118">
        <f t="shared" si="10"/>
        <v>0</v>
      </c>
      <c r="H202" s="29">
        <f t="shared" si="11"/>
        <v>0</v>
      </c>
      <c r="I202" s="118">
        <f t="shared" si="12"/>
        <v>200000461</v>
      </c>
      <c r="J202" s="29">
        <f>RANK(I202,$I$199:$I$202,0)</f>
        <v>2</v>
      </c>
      <c r="K202" s="118">
        <f>IF(AND(ISNUMBER('Apostas - Grupos'!AZ7),ISNUMBER('Apostas - Grupos'!BA7)),1,0)+IF(AND(ISNUMBER('Apostas - Grupos'!BD7),ISNUMBER('Apostas - Grupos'!BE7)),1,0)+IF(AND(ISNUMBER('Apostas - Grupos'!BF7),ISNUMBER('Apostas - Grupos'!BG7)),1,0)</f>
        <v>0</v>
      </c>
      <c r="L202" s="118">
        <f t="shared" si="13"/>
        <v>0</v>
      </c>
      <c r="M202" s="118">
        <v>39</v>
      </c>
    </row>
    <row r="203" spans="1:13">
      <c r="A203" s="119" t="s">
        <v>109</v>
      </c>
      <c r="B203" s="35" t="s">
        <v>110</v>
      </c>
      <c r="C203" s="120">
        <f>IF(AND(ISNUMBER('Apostas - Grupos'!BJ7),ISNUMBER('Apostas - Grupos'!BK7)),IF('Apostas - Grupos'!BJ7&gt;'Apostas - Grupos'!BK7,1,0),0)+IF(AND(ISNUMBER('Apostas - Grupos'!BN7),ISNUMBER('Apostas - Grupos'!BO7)),IF('Apostas - Grupos'!BN7&gt;'Apostas - Grupos'!BO7,1,0),0)+IF(AND(ISNUMBER('Apostas - Grupos'!BT7),ISNUMBER('Apostas - Grupos'!BU7)),IF('Apostas - Grupos'!BU7&gt;'Apostas - Grupos'!BT7,1,0),0)</f>
        <v>0</v>
      </c>
      <c r="D203" s="120">
        <f>IF(AND(ISNUMBER('Apostas - Grupos'!BJ7),ISNUMBER('Apostas - Grupos'!BK7)),IF('Apostas - Grupos'!BJ7='Apostas - Grupos'!BK7,1,0),0)+IF(AND(ISNUMBER('Apostas - Grupos'!BN7),ISNUMBER('Apostas - Grupos'!BO7)),IF('Apostas - Grupos'!BN7='Apostas - Grupos'!BO7,1,0),0)+IF(AND(ISNUMBER('Apostas - Grupos'!BT7),ISNUMBER('Apostas - Grupos'!BU7)),IF('Apostas - Grupos'!BT7='Apostas - Grupos'!BU7,1,0),0)</f>
        <v>0</v>
      </c>
      <c r="E203" s="120">
        <f>IF(ISNUMBER('Apostas - Grupos'!BJ7),'Apostas - Grupos'!BJ7,0)+IF(ISNUMBER('Apostas - Grupos'!BN7),'Apostas - Grupos'!BN7,0)+IF(ISNUMBER('Apostas - Grupos'!BT7),'Apostas - Grupos'!BU7,0)</f>
        <v>0</v>
      </c>
      <c r="F203" s="120">
        <f>IF(ISNUMBER('Apostas - Grupos'!BJ7),'Apostas - Grupos'!BK7,0)+IF(ISNUMBER('Apostas - Grupos'!BN7),'Apostas - Grupos'!BO7,0)+IF(ISNUMBER('Apostas - Grupos'!BT7),'Apostas - Grupos'!BT7,0)</f>
        <v>0</v>
      </c>
      <c r="G203" s="120">
        <f t="shared" si="10"/>
        <v>0</v>
      </c>
      <c r="H203" s="34">
        <f t="shared" si="11"/>
        <v>0</v>
      </c>
      <c r="I203" s="120">
        <f t="shared" si="12"/>
        <v>200000492</v>
      </c>
      <c r="J203" s="34">
        <f>RANK(I203,$I$203:$I$206,0)</f>
        <v>1</v>
      </c>
      <c r="K203" s="120">
        <f>IF(AND(ISNUMBER('Apostas - Grupos'!BJ7),ISNUMBER('Apostas - Grupos'!BK7)),1,0)+IF(AND(ISNUMBER('Apostas - Grupos'!BN7),ISNUMBER('Apostas - Grupos'!BO7)),1,0)+IF(AND(ISNUMBER('Apostas - Grupos'!BT7),ISNUMBER('Apostas - Grupos'!BU7)),1,0)</f>
        <v>0</v>
      </c>
      <c r="L203" s="120">
        <f t="shared" si="13"/>
        <v>0</v>
      </c>
      <c r="M203" s="120">
        <v>8</v>
      </c>
    </row>
    <row r="204" spans="1:13">
      <c r="A204" s="119" t="s">
        <v>109</v>
      </c>
      <c r="B204" s="35" t="s">
        <v>111</v>
      </c>
      <c r="C204" s="120">
        <f>IF(AND(ISNUMBER('Apostas - Grupos'!BJ7),ISNUMBER('Apostas - Grupos'!BK7)),IF('Apostas - Grupos'!BK7&gt;'Apostas - Grupos'!BJ7,1,0),0)+IF(AND(ISNUMBER('Apostas - Grupos'!BP7),ISNUMBER('Apostas - Grupos'!BQ7)),IF('Apostas - Grupos'!BQ7&gt;'Apostas - Grupos'!BP7,1,0),0)+IF(AND(ISNUMBER('Apostas - Grupos'!BR7),ISNUMBER('Apostas - Grupos'!BS7)),IF('Apostas - Grupos'!BR7&gt;'Apostas - Grupos'!BS7,1,0),0)</f>
        <v>0</v>
      </c>
      <c r="D204" s="120">
        <f>IF(AND(ISNUMBER('Apostas - Grupos'!BJ7),ISNUMBER('Apostas - Grupos'!BK7)),IF('Apostas - Grupos'!BJ7='Apostas - Grupos'!BK7,1,0),0)+IF(AND(ISNUMBER('Apostas - Grupos'!BP7),ISNUMBER('Apostas - Grupos'!BQ7)),IF('Apostas - Grupos'!BP7='Apostas - Grupos'!BQ7,1,0),0)+IF(AND(ISNUMBER('Apostas - Grupos'!BR7),ISNUMBER('Apostas - Grupos'!BS7)),IF('Apostas - Grupos'!BR7='Apostas - Grupos'!BS7,1,0),0)</f>
        <v>0</v>
      </c>
      <c r="E204" s="120">
        <f>IF(ISNUMBER('Apostas - Grupos'!BJ7),'Apostas - Grupos'!BK7,0)+IF(ISNUMBER('Apostas - Grupos'!BP7),'Apostas - Grupos'!BQ7,0)+IF(ISNUMBER('Apostas - Grupos'!BR7),'Apostas - Grupos'!BR7,0)</f>
        <v>0</v>
      </c>
      <c r="F204" s="120">
        <f>IF(ISNUMBER('Apostas - Grupos'!BJ7),'Apostas - Grupos'!BJ7,0)+IF(ISNUMBER('Apostas - Grupos'!BP7),'Apostas - Grupos'!BP7,0)+IF(ISNUMBER('Apostas - Grupos'!BR7),'Apostas - Grupos'!BS7,0)</f>
        <v>0</v>
      </c>
      <c r="G204" s="120">
        <f t="shared" si="10"/>
        <v>0</v>
      </c>
      <c r="H204" s="34">
        <f t="shared" si="11"/>
        <v>0</v>
      </c>
      <c r="I204" s="120">
        <f t="shared" si="12"/>
        <v>200000485</v>
      </c>
      <c r="J204" s="34">
        <f>RANK(I204,$I$203:$I$206,0)</f>
        <v>2</v>
      </c>
      <c r="K204" s="120">
        <f>IF(AND(ISNUMBER('Apostas - Grupos'!BJ7),ISNUMBER('Apostas - Grupos'!BK7)),1,0)+IF(AND(ISNUMBER('Apostas - Grupos'!BP7),ISNUMBER('Apostas - Grupos'!BQ7)),1,0)+IF(AND(ISNUMBER('Apostas - Grupos'!BR7),ISNUMBER('Apostas - Grupos'!BS7)),1,0)</f>
        <v>0</v>
      </c>
      <c r="L204" s="120">
        <f t="shared" si="13"/>
        <v>0</v>
      </c>
      <c r="M204" s="120">
        <v>15</v>
      </c>
    </row>
    <row r="205" spans="1:13">
      <c r="A205" s="119" t="s">
        <v>109</v>
      </c>
      <c r="B205" s="35" t="s">
        <v>113</v>
      </c>
      <c r="C205" s="120">
        <f>IF(AND(ISNUMBER('Apostas - Grupos'!BL7),ISNUMBER('Apostas - Grupos'!BM7)),IF('Apostas - Grupos'!BL7&gt;'Apostas - Grupos'!BM7,1,0),0)+IF(AND(ISNUMBER('Apostas - Grupos'!BN7),ISNUMBER('Apostas - Grupos'!BO7)),IF('Apostas - Grupos'!BO7&gt;'Apostas - Grupos'!BN7,1,0),0)+IF(AND(ISNUMBER('Apostas - Grupos'!BR7),ISNUMBER('Apostas - Grupos'!BS7)),IF('Apostas - Grupos'!BS7&gt;'Apostas - Grupos'!BR7,1,0),0)</f>
        <v>0</v>
      </c>
      <c r="D205" s="120">
        <f>IF(AND(ISNUMBER('Apostas - Grupos'!BL7),ISNUMBER('Apostas - Grupos'!BM7)),IF('Apostas - Grupos'!BL7='Apostas - Grupos'!BM7,1,0),0)+IF(AND(ISNUMBER('Apostas - Grupos'!BN7),ISNUMBER('Apostas - Grupos'!BO7)),IF('Apostas - Grupos'!BN7='Apostas - Grupos'!BO7,1,0),0)+IF(AND(ISNUMBER('Apostas - Grupos'!BR7),ISNUMBER('Apostas - Grupos'!BS7)),IF('Apostas - Grupos'!BR7='Apostas - Grupos'!BS7,1,0),0)</f>
        <v>0</v>
      </c>
      <c r="E205" s="120">
        <f>IF(ISNUMBER('Apostas - Grupos'!BL7),'Apostas - Grupos'!BL7,0)+IF(ISNUMBER('Apostas - Grupos'!BN7),'Apostas - Grupos'!BO7,0)+IF(ISNUMBER('Apostas - Grupos'!BR7),'Apostas - Grupos'!BS7,0)</f>
        <v>0</v>
      </c>
      <c r="F205" s="120">
        <f>IF(ISNUMBER('Apostas - Grupos'!BL7),'Apostas - Grupos'!BM7,0)+IF(ISNUMBER('Apostas - Grupos'!BN7),'Apostas - Grupos'!BN7,0)+IF(ISNUMBER('Apostas - Grupos'!BR7),'Apostas - Grupos'!BR7,0)</f>
        <v>0</v>
      </c>
      <c r="G205" s="120">
        <f t="shared" si="10"/>
        <v>0</v>
      </c>
      <c r="H205" s="34">
        <f t="shared" si="11"/>
        <v>0</v>
      </c>
      <c r="I205" s="120">
        <f t="shared" si="12"/>
        <v>200000474</v>
      </c>
      <c r="J205" s="34">
        <f>RANK(I205,$I$203:$I$206,0)</f>
        <v>3</v>
      </c>
      <c r="K205" s="120">
        <f>IF(AND(ISNUMBER('Apostas - Grupos'!BL7),ISNUMBER('Apostas - Grupos'!BM7)),1,0)+IF(AND(ISNUMBER('Apostas - Grupos'!BN7),ISNUMBER('Apostas - Grupos'!BO7)),1,0)+IF(AND(ISNUMBER('Apostas - Grupos'!BR7),ISNUMBER('Apostas - Grupos'!BS7)),1,0)</f>
        <v>0</v>
      </c>
      <c r="L205" s="120">
        <f t="shared" si="13"/>
        <v>0</v>
      </c>
      <c r="M205" s="120">
        <v>26</v>
      </c>
    </row>
    <row r="206" spans="1:13">
      <c r="A206" s="119" t="s">
        <v>109</v>
      </c>
      <c r="B206" s="35" t="s">
        <v>114</v>
      </c>
      <c r="C206" s="120">
        <f>IF(AND(ISNUMBER('Apostas - Grupos'!BL7),ISNUMBER('Apostas - Grupos'!BM7)),IF('Apostas - Grupos'!BM7&gt;'Apostas - Grupos'!BL7,1,0),0)+IF(AND(ISNUMBER('Apostas - Grupos'!BP7),ISNUMBER('Apostas - Grupos'!BQ7)),IF('Apostas - Grupos'!BP7&gt;'Apostas - Grupos'!BQ7,1,0),0)+IF(AND(ISNUMBER('Apostas - Grupos'!BT7),ISNUMBER('Apostas - Grupos'!BU7)),IF('Apostas - Grupos'!BT7&gt;'Apostas - Grupos'!BU7,1,0),0)</f>
        <v>0</v>
      </c>
      <c r="D206" s="120">
        <f>IF(AND(ISNUMBER('Apostas - Grupos'!BL7),ISNUMBER('Apostas - Grupos'!BM7)),IF('Apostas - Grupos'!BL7='Apostas - Grupos'!BM7,1,0),0)+IF(AND(ISNUMBER('Apostas - Grupos'!BP7),ISNUMBER('Apostas - Grupos'!BQ7)),IF('Apostas - Grupos'!BP7='Apostas - Grupos'!BQ7,1,0),0)+IF(AND(ISNUMBER('Apostas - Grupos'!BT7),ISNUMBER('Apostas - Grupos'!BU7)),IF('Apostas - Grupos'!BT7='Apostas - Grupos'!BU7,1,0),0)</f>
        <v>0</v>
      </c>
      <c r="E206" s="120">
        <f>IF(ISNUMBER('Apostas - Grupos'!BL7),'Apostas - Grupos'!BM7,0)+IF(ISNUMBER('Apostas - Grupos'!BP7),'Apostas - Grupos'!BP7,0)+IF(ISNUMBER('Apostas - Grupos'!BT7),'Apostas - Grupos'!BT7,0)</f>
        <v>0</v>
      </c>
      <c r="F206" s="120">
        <f>IF(ISNUMBER('Apostas - Grupos'!BL7),'Apostas - Grupos'!BL7,0)+IF(ISNUMBER('Apostas - Grupos'!BP7),'Apostas - Grupos'!BQ7,0)+IF(ISNUMBER('Apostas - Grupos'!BT7),'Apostas - Grupos'!BU7,0)</f>
        <v>0</v>
      </c>
      <c r="G206" s="120">
        <f t="shared" si="10"/>
        <v>0</v>
      </c>
      <c r="H206" s="34">
        <f t="shared" si="11"/>
        <v>0</v>
      </c>
      <c r="I206" s="120">
        <f t="shared" si="12"/>
        <v>200000470</v>
      </c>
      <c r="J206" s="34">
        <f>RANK(I206,$I$203:$I$206,0)</f>
        <v>4</v>
      </c>
      <c r="K206" s="120">
        <f>IF(AND(ISNUMBER('Apostas - Grupos'!BL7),ISNUMBER('Apostas - Grupos'!BM7)),1,0)+IF(AND(ISNUMBER('Apostas - Grupos'!BP7),ISNUMBER('Apostas - Grupos'!BQ7)),1,0)+IF(AND(ISNUMBER('Apostas - Grupos'!BT7),ISNUMBER('Apostas - Grupos'!BU7)),1,0)</f>
        <v>0</v>
      </c>
      <c r="L206" s="120">
        <f t="shared" si="13"/>
        <v>0</v>
      </c>
      <c r="M206" s="120">
        <v>30</v>
      </c>
    </row>
    <row r="207" spans="1:13">
      <c r="A207" s="121" t="s">
        <v>120</v>
      </c>
      <c r="B207" s="40" t="s">
        <v>121</v>
      </c>
      <c r="C207" s="122">
        <f>IF(AND(ISNUMBER('Apostas - Grupos'!BV7),ISNUMBER('Apostas - Grupos'!BW7)),IF('Apostas - Grupos'!BV7&gt;'Apostas - Grupos'!BW7,1,0),0)+IF(AND(ISNUMBER('Apostas - Grupos'!BZ7),ISNUMBER('Apostas - Grupos'!CA7)),IF('Apostas - Grupos'!BZ7&gt;'Apostas - Grupos'!CA7,1,0),0)+IF(AND(ISNUMBER('Apostas - Grupos'!CF7),ISNUMBER('Apostas - Grupos'!CG7)),IF('Apostas - Grupos'!CG7&gt;'Apostas - Grupos'!CF7,1,0),0)</f>
        <v>0</v>
      </c>
      <c r="D207" s="122">
        <f>IF(AND(ISNUMBER('Apostas - Grupos'!BV7),ISNUMBER('Apostas - Grupos'!BW7)),IF('Apostas - Grupos'!BV7='Apostas - Grupos'!BW7,1,0),0)+IF(AND(ISNUMBER('Apostas - Grupos'!BZ7),ISNUMBER('Apostas - Grupos'!CA7)),IF('Apostas - Grupos'!BZ7='Apostas - Grupos'!CA7,1,0),0)+IF(AND(ISNUMBER('Apostas - Grupos'!CF7),ISNUMBER('Apostas - Grupos'!CG7)),IF('Apostas - Grupos'!CF7='Apostas - Grupos'!CG7,1,0),0)</f>
        <v>0</v>
      </c>
      <c r="E207" s="122">
        <f>IF(ISNUMBER('Apostas - Grupos'!BV7),'Apostas - Grupos'!BV7,0)+IF(ISNUMBER('Apostas - Grupos'!BZ7),'Apostas - Grupos'!BZ7,0)+IF(ISNUMBER('Apostas - Grupos'!CF7),'Apostas - Grupos'!CG7,0)</f>
        <v>0</v>
      </c>
      <c r="F207" s="122">
        <f>IF(ISNUMBER('Apostas - Grupos'!BV7),'Apostas - Grupos'!BW7,0)+IF(ISNUMBER('Apostas - Grupos'!BZ7),'Apostas - Grupos'!CA7,0)+IF(ISNUMBER('Apostas - Grupos'!CF7),'Apostas - Grupos'!CF7,0)</f>
        <v>0</v>
      </c>
      <c r="G207" s="122">
        <f t="shared" si="10"/>
        <v>0</v>
      </c>
      <c r="H207" s="39">
        <f t="shared" si="11"/>
        <v>0</v>
      </c>
      <c r="I207" s="122">
        <f t="shared" si="12"/>
        <v>200000497</v>
      </c>
      <c r="J207" s="39">
        <f>RANK(I207,$I$207:$I$210,0)</f>
        <v>1</v>
      </c>
      <c r="K207" s="122">
        <f>IF(AND(ISNUMBER('Apostas - Grupos'!BV7),ISNUMBER('Apostas - Grupos'!BW7)),1,0)+IF(AND(ISNUMBER('Apostas - Grupos'!BZ7),ISNUMBER('Apostas - Grupos'!CA7)),1,0)+IF(AND(ISNUMBER('Apostas - Grupos'!CF7),ISNUMBER('Apostas - Grupos'!CG7)),1,0)</f>
        <v>0</v>
      </c>
      <c r="L207" s="122">
        <f t="shared" si="13"/>
        <v>0</v>
      </c>
      <c r="M207" s="122">
        <v>3</v>
      </c>
    </row>
    <row r="208" spans="1:13">
      <c r="A208" s="121" t="s">
        <v>120</v>
      </c>
      <c r="B208" s="40" t="s">
        <v>122</v>
      </c>
      <c r="C208" s="122">
        <f>IF(AND(ISNUMBER('Apostas - Grupos'!BV7),ISNUMBER('Apostas - Grupos'!BW7)),IF('Apostas - Grupos'!BW7&gt;'Apostas - Grupos'!BV7,1,0),0)+IF(AND(ISNUMBER('Apostas - Grupos'!CB7),ISNUMBER('Apostas - Grupos'!CC7)),IF('Apostas - Grupos'!CC7&gt;'Apostas - Grupos'!CB7,1,0),0)+IF(AND(ISNUMBER('Apostas - Grupos'!CD7),ISNUMBER('Apostas - Grupos'!CE7)),IF('Apostas - Grupos'!CD7&gt;'Apostas - Grupos'!CE7,1,0),0)</f>
        <v>0</v>
      </c>
      <c r="D208" s="122">
        <f>IF(AND(ISNUMBER('Apostas - Grupos'!BV7),ISNUMBER('Apostas - Grupos'!BW7)),IF('Apostas - Grupos'!BV7='Apostas - Grupos'!BW7,1,0),0)+IF(AND(ISNUMBER('Apostas - Grupos'!CB7),ISNUMBER('Apostas - Grupos'!CC7)),IF('Apostas - Grupos'!CB7='Apostas - Grupos'!CC7,1,0),0)+IF(AND(ISNUMBER('Apostas - Grupos'!CD7),ISNUMBER('Apostas - Grupos'!CE7)),IF('Apostas - Grupos'!CD7='Apostas - Grupos'!CE7,1,0),0)</f>
        <v>0</v>
      </c>
      <c r="E208" s="122">
        <f>IF(ISNUMBER('Apostas - Grupos'!BV7),'Apostas - Grupos'!BW7,0)+IF(ISNUMBER('Apostas - Grupos'!CB7),'Apostas - Grupos'!CC7,0)+IF(ISNUMBER('Apostas - Grupos'!CD7),'Apostas - Grupos'!CD7,0)</f>
        <v>0</v>
      </c>
      <c r="F208" s="122">
        <f>IF(ISNUMBER('Apostas - Grupos'!BV7),'Apostas - Grupos'!BV7,0)+IF(ISNUMBER('Apostas - Grupos'!CB7),'Apostas - Grupos'!CB7,0)+IF(ISNUMBER('Apostas - Grupos'!CD7),'Apostas - Grupos'!CE7,0)</f>
        <v>0</v>
      </c>
      <c r="G208" s="122">
        <f t="shared" si="10"/>
        <v>0</v>
      </c>
      <c r="H208" s="39">
        <f t="shared" si="11"/>
        <v>0</v>
      </c>
      <c r="I208" s="122">
        <f t="shared" si="12"/>
        <v>200000464</v>
      </c>
      <c r="J208" s="39">
        <f>RANK(I208,$I$207:$I$210,0)</f>
        <v>3</v>
      </c>
      <c r="K208" s="122">
        <f>IF(AND(ISNUMBER('Apostas - Grupos'!BV7),ISNUMBER('Apostas - Grupos'!BW7)),1,0)+IF(AND(ISNUMBER('Apostas - Grupos'!CB7),ISNUMBER('Apostas - Grupos'!CC7)),1,0)+IF(AND(ISNUMBER('Apostas - Grupos'!CD7),ISNUMBER('Apostas - Grupos'!CE7)),1,0)</f>
        <v>0</v>
      </c>
      <c r="L208" s="122">
        <f t="shared" si="13"/>
        <v>0</v>
      </c>
      <c r="M208" s="122">
        <v>36</v>
      </c>
    </row>
    <row r="209" spans="1:13">
      <c r="A209" s="121" t="s">
        <v>120</v>
      </c>
      <c r="B209" s="40" t="s">
        <v>124</v>
      </c>
      <c r="C209" s="122">
        <f>IF(AND(ISNUMBER('Apostas - Grupos'!BX7),ISNUMBER('Apostas - Grupos'!BY7)),IF('Apostas - Grupos'!BX7&gt;'Apostas - Grupos'!BY7,1,0),0)+IF(AND(ISNUMBER('Apostas - Grupos'!BZ7),ISNUMBER('Apostas - Grupos'!CA7)),IF('Apostas - Grupos'!CA7&gt;'Apostas - Grupos'!BZ7,1,0),0)+IF(AND(ISNUMBER('Apostas - Grupos'!CD7),ISNUMBER('Apostas - Grupos'!CE7)),IF('Apostas - Grupos'!CE7&gt;'Apostas - Grupos'!CD7,1,0),0)</f>
        <v>0</v>
      </c>
      <c r="D209" s="122">
        <f>IF(AND(ISNUMBER('Apostas - Grupos'!BX7),ISNUMBER('Apostas - Grupos'!BY7)),IF('Apostas - Grupos'!BX7='Apostas - Grupos'!BY7,1,0),0)+IF(AND(ISNUMBER('Apostas - Grupos'!BZ7),ISNUMBER('Apostas - Grupos'!CA7)),IF('Apostas - Grupos'!BZ7='Apostas - Grupos'!CA7,1,0),0)+IF(AND(ISNUMBER('Apostas - Grupos'!CD7),ISNUMBER('Apostas - Grupos'!CE7)),IF('Apostas - Grupos'!CD7='Apostas - Grupos'!CE7,1,0),0)</f>
        <v>0</v>
      </c>
      <c r="E209" s="122">
        <f>IF(ISNUMBER('Apostas - Grupos'!BX7),'Apostas - Grupos'!BX7,0)+IF(ISNUMBER('Apostas - Grupos'!BZ7),'Apostas - Grupos'!CA7,0)+IF(ISNUMBER('Apostas - Grupos'!CD7),'Apostas - Grupos'!CE7,0)</f>
        <v>0</v>
      </c>
      <c r="F209" s="122">
        <f>IF(ISNUMBER('Apostas - Grupos'!BX7),'Apostas - Grupos'!BY7,0)+IF(ISNUMBER('Apostas - Grupos'!BZ7),'Apostas - Grupos'!BZ7,0)+IF(ISNUMBER('Apostas - Grupos'!CD7),'Apostas - Grupos'!CD7,0)</f>
        <v>0</v>
      </c>
      <c r="G209" s="122">
        <f t="shared" si="10"/>
        <v>0</v>
      </c>
      <c r="H209" s="39">
        <f t="shared" si="11"/>
        <v>0</v>
      </c>
      <c r="I209" s="122">
        <f t="shared" si="12"/>
        <v>200000475</v>
      </c>
      <c r="J209" s="39">
        <f>RANK(I209,$I$207:$I$210,0)</f>
        <v>2</v>
      </c>
      <c r="K209" s="122">
        <f>IF(AND(ISNUMBER('Apostas - Grupos'!BX7),ISNUMBER('Apostas - Grupos'!BY7)),1,0)+IF(AND(ISNUMBER('Apostas - Grupos'!BZ7),ISNUMBER('Apostas - Grupos'!CA7)),1,0)+IF(AND(ISNUMBER('Apostas - Grupos'!CD7),ISNUMBER('Apostas - Grupos'!CE7)),1,0)</f>
        <v>0</v>
      </c>
      <c r="L209" s="122">
        <f t="shared" si="13"/>
        <v>0</v>
      </c>
      <c r="M209" s="122">
        <v>25</v>
      </c>
    </row>
    <row r="210" spans="1:13">
      <c r="A210" s="121" t="s">
        <v>120</v>
      </c>
      <c r="B210" s="40" t="s">
        <v>125</v>
      </c>
      <c r="C210" s="122">
        <f>IF(AND(ISNUMBER('Apostas - Grupos'!BX7),ISNUMBER('Apostas - Grupos'!BY7)),IF('Apostas - Grupos'!BY7&gt;'Apostas - Grupos'!BX7,1,0),0)+IF(AND(ISNUMBER('Apostas - Grupos'!CB7),ISNUMBER('Apostas - Grupos'!CC7)),IF('Apostas - Grupos'!CB7&gt;'Apostas - Grupos'!CC7,1,0),0)+IF(AND(ISNUMBER('Apostas - Grupos'!CF7),ISNUMBER('Apostas - Grupos'!CG7)),IF('Apostas - Grupos'!CF7&gt;'Apostas - Grupos'!CG7,1,0),0)</f>
        <v>0</v>
      </c>
      <c r="D210" s="122">
        <f>IF(AND(ISNUMBER('Apostas - Grupos'!BX7),ISNUMBER('Apostas - Grupos'!BY7)),IF('Apostas - Grupos'!BX7='Apostas - Grupos'!BY7,1,0),0)+IF(AND(ISNUMBER('Apostas - Grupos'!CB7),ISNUMBER('Apostas - Grupos'!CC7)),IF('Apostas - Grupos'!CB7='Apostas - Grupos'!CC7,1,0),0)+IF(AND(ISNUMBER('Apostas - Grupos'!CF7),ISNUMBER('Apostas - Grupos'!CG7)),IF('Apostas - Grupos'!CF7='Apostas - Grupos'!CG7,1,0),0)</f>
        <v>0</v>
      </c>
      <c r="E210" s="122">
        <f>IF(ISNUMBER('Apostas - Grupos'!BX7),'Apostas - Grupos'!BY7,0)+IF(ISNUMBER('Apostas - Grupos'!CB7),'Apostas - Grupos'!CB7,0)+IF(ISNUMBER('Apostas - Grupos'!CF7),'Apostas - Grupos'!CF7,0)</f>
        <v>0</v>
      </c>
      <c r="F210" s="122">
        <f>IF(ISNUMBER('Apostas - Grupos'!BX7),'Apostas - Grupos'!BX7,0)+IF(ISNUMBER('Apostas - Grupos'!CB7),'Apostas - Grupos'!CC7,0)+IF(ISNUMBER('Apostas - Grupos'!CF7),'Apostas - Grupos'!CG7,0)</f>
        <v>0</v>
      </c>
      <c r="G210" s="122">
        <f t="shared" si="10"/>
        <v>0</v>
      </c>
      <c r="H210" s="39">
        <f t="shared" si="11"/>
        <v>0</v>
      </c>
      <c r="I210" s="122">
        <f t="shared" si="12"/>
        <v>200000402</v>
      </c>
      <c r="J210" s="39">
        <f>RANK(I210,$I$207:$I$210,0)</f>
        <v>4</v>
      </c>
      <c r="K210" s="122">
        <f>IF(AND(ISNUMBER('Apostas - Grupos'!BX7),ISNUMBER('Apostas - Grupos'!BY7)),1,0)+IF(AND(ISNUMBER('Apostas - Grupos'!CB7),ISNUMBER('Apostas - Grupos'!CC7)),1,0)+IF(AND(ISNUMBER('Apostas - Grupos'!CF7),ISNUMBER('Apostas - Grupos'!CG7)),1,0)</f>
        <v>0</v>
      </c>
      <c r="L210" s="122">
        <f t="shared" si="13"/>
        <v>0</v>
      </c>
      <c r="M210" s="122">
        <v>98</v>
      </c>
    </row>
    <row r="211" spans="1:13">
      <c r="A211" s="123" t="s">
        <v>131</v>
      </c>
      <c r="B211" s="45" t="s">
        <v>132</v>
      </c>
      <c r="C211" s="124">
        <f>IF(AND(ISNUMBER('Apostas - Grupos'!CH7),ISNUMBER('Apostas - Grupos'!CI7)),IF('Apostas - Grupos'!CH7&gt;'Apostas - Grupos'!CI7,1,0),0)+IF(AND(ISNUMBER('Apostas - Grupos'!CL7),ISNUMBER('Apostas - Grupos'!CM7)),IF('Apostas - Grupos'!CL7&gt;'Apostas - Grupos'!CM7,1,0),0)+IF(AND(ISNUMBER('Apostas - Grupos'!CR7),ISNUMBER('Apostas - Grupos'!CS7)),IF('Apostas - Grupos'!CS7&gt;'Apostas - Grupos'!CR7,1,0),0)</f>
        <v>0</v>
      </c>
      <c r="D211" s="124">
        <f>IF(AND(ISNUMBER('Apostas - Grupos'!CH7),ISNUMBER('Apostas - Grupos'!CI7)),IF('Apostas - Grupos'!CH7='Apostas - Grupos'!CI7,1,0),0)+IF(AND(ISNUMBER('Apostas - Grupos'!CL7),ISNUMBER('Apostas - Grupos'!CM7)),IF('Apostas - Grupos'!CL7='Apostas - Grupos'!CM7,1,0),0)+IF(AND(ISNUMBER('Apostas - Grupos'!CR7),ISNUMBER('Apostas - Grupos'!CS7)),IF('Apostas - Grupos'!CR7='Apostas - Grupos'!CS7,1,0),0)</f>
        <v>0</v>
      </c>
      <c r="E211" s="124">
        <f>IF(ISNUMBER('Apostas - Grupos'!CH7),'Apostas - Grupos'!CH7,0)+IF(ISNUMBER('Apostas - Grupos'!CL7),'Apostas - Grupos'!CL7,0)+IF(ISNUMBER('Apostas - Grupos'!CR7),'Apostas - Grupos'!CS7,0)</f>
        <v>0</v>
      </c>
      <c r="F211" s="124">
        <f>IF(ISNUMBER('Apostas - Grupos'!CH7),'Apostas - Grupos'!CI7,0)+IF(ISNUMBER('Apostas - Grupos'!CL7),'Apostas - Grupos'!CM7,0)+IF(ISNUMBER('Apostas - Grupos'!CR7),'Apostas - Grupos'!CR7,0)</f>
        <v>0</v>
      </c>
      <c r="G211" s="124">
        <f t="shared" si="10"/>
        <v>0</v>
      </c>
      <c r="H211" s="44">
        <f t="shared" si="11"/>
        <v>0</v>
      </c>
      <c r="I211" s="124">
        <f t="shared" si="12"/>
        <v>200000496</v>
      </c>
      <c r="J211" s="44">
        <f>RANK(I211,$I$211:$I$214,0)</f>
        <v>1</v>
      </c>
      <c r="K211" s="124">
        <f>IF(AND(ISNUMBER('Apostas - Grupos'!CH7),ISNUMBER('Apostas - Grupos'!CI7)),1,0)+IF(AND(ISNUMBER('Apostas - Grupos'!CL7),ISNUMBER('Apostas - Grupos'!CM7)),1,0)+IF(AND(ISNUMBER('Apostas - Grupos'!CR7),ISNUMBER('Apostas - Grupos'!CS7)),1,0)</f>
        <v>0</v>
      </c>
      <c r="L211" s="124">
        <f t="shared" si="13"/>
        <v>0</v>
      </c>
      <c r="M211" s="124">
        <v>4</v>
      </c>
    </row>
    <row r="212" spans="1:13">
      <c r="A212" s="123" t="s">
        <v>131</v>
      </c>
      <c r="B212" s="45" t="s">
        <v>133</v>
      </c>
      <c r="C212" s="124">
        <f>IF(AND(ISNUMBER('Apostas - Grupos'!CH7),ISNUMBER('Apostas - Grupos'!CI7)),IF('Apostas - Grupos'!CI7&gt;'Apostas - Grupos'!CH7,1,0),0)+IF(AND(ISNUMBER('Apostas - Grupos'!CN7),ISNUMBER('Apostas - Grupos'!CO7)),IF('Apostas - Grupos'!CO7&gt;'Apostas - Grupos'!CN7,1,0),0)+IF(AND(ISNUMBER('Apostas - Grupos'!CP7),ISNUMBER('Apostas - Grupos'!CQ7)),IF('Apostas - Grupos'!CP7&gt;'Apostas - Grupos'!CQ7,1,0),0)</f>
        <v>0</v>
      </c>
      <c r="D212" s="124">
        <f>IF(AND(ISNUMBER('Apostas - Grupos'!CH7),ISNUMBER('Apostas - Grupos'!CI7)),IF('Apostas - Grupos'!CH7='Apostas - Grupos'!CI7,1,0),0)+IF(AND(ISNUMBER('Apostas - Grupos'!CN7),ISNUMBER('Apostas - Grupos'!CO7)),IF('Apostas - Grupos'!CN7='Apostas - Grupos'!CO7,1,0),0)+IF(AND(ISNUMBER('Apostas - Grupos'!CP7),ISNUMBER('Apostas - Grupos'!CQ7)),IF('Apostas - Grupos'!CP7='Apostas - Grupos'!CQ7,1,0),0)</f>
        <v>0</v>
      </c>
      <c r="E212" s="124">
        <f>IF(ISNUMBER('Apostas - Grupos'!CH7),'Apostas - Grupos'!CI7,0)+IF(ISNUMBER('Apostas - Grupos'!CN7),'Apostas - Grupos'!CO7,0)+IF(ISNUMBER('Apostas - Grupos'!CP7),'Apostas - Grupos'!CP7,0)</f>
        <v>0</v>
      </c>
      <c r="F212" s="124">
        <f>IF(ISNUMBER('Apostas - Grupos'!CH7),'Apostas - Grupos'!CH7,0)+IF(ISNUMBER('Apostas - Grupos'!CN7),'Apostas - Grupos'!CN7,0)+IF(ISNUMBER('Apostas - Grupos'!CP7),'Apostas - Grupos'!CQ7,0)</f>
        <v>0</v>
      </c>
      <c r="G212" s="124">
        <f t="shared" si="10"/>
        <v>0</v>
      </c>
      <c r="H212" s="44">
        <f t="shared" si="11"/>
        <v>0</v>
      </c>
      <c r="I212" s="124">
        <f t="shared" si="12"/>
        <v>200000412</v>
      </c>
      <c r="J212" s="44">
        <f>RANK(I212,$I$211:$I$214,0)</f>
        <v>4</v>
      </c>
      <c r="K212" s="124">
        <f>IF(AND(ISNUMBER('Apostas - Grupos'!CH7),ISNUMBER('Apostas - Grupos'!CI7)),1,0)+IF(AND(ISNUMBER('Apostas - Grupos'!CN7),ISNUMBER('Apostas - Grupos'!CO7)),1,0)+IF(AND(ISNUMBER('Apostas - Grupos'!CP7),ISNUMBER('Apostas - Grupos'!CQ7)),1,0)</f>
        <v>0</v>
      </c>
      <c r="L212" s="124">
        <f t="shared" si="13"/>
        <v>0</v>
      </c>
      <c r="M212" s="124">
        <v>88</v>
      </c>
    </row>
    <row r="213" spans="1:13">
      <c r="A213" s="123" t="s">
        <v>131</v>
      </c>
      <c r="B213" s="45" t="s">
        <v>135</v>
      </c>
      <c r="C213" s="124">
        <f>IF(AND(ISNUMBER('Apostas - Grupos'!CJ7),ISNUMBER('Apostas - Grupos'!CK7)),IF('Apostas - Grupos'!CJ7&gt;'Apostas - Grupos'!CK7,1,0),0)+IF(AND(ISNUMBER('Apostas - Grupos'!CL7),ISNUMBER('Apostas - Grupos'!CM7)),IF('Apostas - Grupos'!CM7&gt;'Apostas - Grupos'!CL7,1,0),0)+IF(AND(ISNUMBER('Apostas - Grupos'!CP7),ISNUMBER('Apostas - Grupos'!CQ7)),IF('Apostas - Grupos'!CQ7&gt;'Apostas - Grupos'!CP7,1,0),0)</f>
        <v>0</v>
      </c>
      <c r="D213" s="124">
        <f>IF(AND(ISNUMBER('Apostas - Grupos'!CJ7),ISNUMBER('Apostas - Grupos'!CK7)),IF('Apostas - Grupos'!CJ7='Apostas - Grupos'!CK7,1,0),0)+IF(AND(ISNUMBER('Apostas - Grupos'!CL7),ISNUMBER('Apostas - Grupos'!CM7)),IF('Apostas - Grupos'!CL7='Apostas - Grupos'!CM7,1,0),0)+IF(AND(ISNUMBER('Apostas - Grupos'!CP7),ISNUMBER('Apostas - Grupos'!CQ7)),IF('Apostas - Grupos'!CP7='Apostas - Grupos'!CQ7,1,0),0)</f>
        <v>0</v>
      </c>
      <c r="E213" s="124">
        <f>IF(ISNUMBER('Apostas - Grupos'!CJ7),'Apostas - Grupos'!CJ7,0)+IF(ISNUMBER('Apostas - Grupos'!CL7),'Apostas - Grupos'!CM7,0)+IF(ISNUMBER('Apostas - Grupos'!CP7),'Apostas - Grupos'!CQ7,0)</f>
        <v>0</v>
      </c>
      <c r="F213" s="124">
        <f>IF(ISNUMBER('Apostas - Grupos'!CJ7),'Apostas - Grupos'!CK7,0)+IF(ISNUMBER('Apostas - Grupos'!CL7),'Apostas - Grupos'!CL7,0)+IF(ISNUMBER('Apostas - Grupos'!CP7),'Apostas - Grupos'!CP7,0)</f>
        <v>0</v>
      </c>
      <c r="G213" s="124">
        <f t="shared" si="10"/>
        <v>0</v>
      </c>
      <c r="H213" s="44">
        <f t="shared" si="11"/>
        <v>0</v>
      </c>
      <c r="I213" s="124">
        <f t="shared" si="12"/>
        <v>200000443</v>
      </c>
      <c r="J213" s="44">
        <f>RANK(I213,$I$211:$I$214,0)</f>
        <v>3</v>
      </c>
      <c r="K213" s="124">
        <f>IF(AND(ISNUMBER('Apostas - Grupos'!CJ7),ISNUMBER('Apostas - Grupos'!CK7)),1,0)+IF(AND(ISNUMBER('Apostas - Grupos'!CL7),ISNUMBER('Apostas - Grupos'!CM7)),1,0)+IF(AND(ISNUMBER('Apostas - Grupos'!CP7),ISNUMBER('Apostas - Grupos'!CQ7)),1,0)</f>
        <v>0</v>
      </c>
      <c r="L213" s="124">
        <f t="shared" si="13"/>
        <v>0</v>
      </c>
      <c r="M213" s="124">
        <v>57</v>
      </c>
    </row>
    <row r="214" spans="1:13">
      <c r="A214" s="123" t="s">
        <v>131</v>
      </c>
      <c r="B214" s="45" t="s">
        <v>136</v>
      </c>
      <c r="C214" s="124">
        <f>IF(AND(ISNUMBER('Apostas - Grupos'!CJ7),ISNUMBER('Apostas - Grupos'!CK7)),IF('Apostas - Grupos'!CK7&gt;'Apostas - Grupos'!CJ7,1,0),0)+IF(AND(ISNUMBER('Apostas - Grupos'!CN7),ISNUMBER('Apostas - Grupos'!CO7)),IF('Apostas - Grupos'!CN7&gt;'Apostas - Grupos'!CO7,1,0),0)+IF(AND(ISNUMBER('Apostas - Grupos'!CR7),ISNUMBER('Apostas - Grupos'!CS7)),IF('Apostas - Grupos'!CR7&gt;'Apostas - Grupos'!CS7,1,0),0)</f>
        <v>0</v>
      </c>
      <c r="D214" s="124">
        <f>IF(AND(ISNUMBER('Apostas - Grupos'!CJ7),ISNUMBER('Apostas - Grupos'!CK7)),IF('Apostas - Grupos'!CJ7='Apostas - Grupos'!CK7,1,0),0)+IF(AND(ISNUMBER('Apostas - Grupos'!CN7),ISNUMBER('Apostas - Grupos'!CO7)),IF('Apostas - Grupos'!CN7='Apostas - Grupos'!CO7,1,0),0)+IF(AND(ISNUMBER('Apostas - Grupos'!CR7),ISNUMBER('Apostas - Grupos'!CS7)),IF('Apostas - Grupos'!CR7='Apostas - Grupos'!CS7,1,0),0)</f>
        <v>0</v>
      </c>
      <c r="E214" s="124">
        <f>IF(ISNUMBER('Apostas - Grupos'!CJ7),'Apostas - Grupos'!CK7,0)+IF(ISNUMBER('Apostas - Grupos'!CN7),'Apostas - Grupos'!CN7,0)+IF(ISNUMBER('Apostas - Grupos'!CR7),'Apostas - Grupos'!CR7,0)</f>
        <v>0</v>
      </c>
      <c r="F214" s="124">
        <f>IF(ISNUMBER('Apostas - Grupos'!CJ7),'Apostas - Grupos'!CJ7,0)+IF(ISNUMBER('Apostas - Grupos'!CN7),'Apostas - Grupos'!CO7,0)+IF(ISNUMBER('Apostas - Grupos'!CR7),'Apostas - Grupos'!CS7,0)</f>
        <v>0</v>
      </c>
      <c r="G214" s="124">
        <f t="shared" si="10"/>
        <v>0</v>
      </c>
      <c r="H214" s="44">
        <f t="shared" si="11"/>
        <v>0</v>
      </c>
      <c r="I214" s="124">
        <f t="shared" si="12"/>
        <v>200000483</v>
      </c>
      <c r="J214" s="44">
        <f>RANK(I214,$I$211:$I$214,0)</f>
        <v>2</v>
      </c>
      <c r="K214" s="124">
        <f>IF(AND(ISNUMBER('Apostas - Grupos'!CJ7),ISNUMBER('Apostas - Grupos'!CK7)),1,0)+IF(AND(ISNUMBER('Apostas - Grupos'!CN7),ISNUMBER('Apostas - Grupos'!CO7)),1,0)+IF(AND(ISNUMBER('Apostas - Grupos'!CR7),ISNUMBER('Apostas - Grupos'!CS7)),1,0)</f>
        <v>0</v>
      </c>
      <c r="L214" s="124">
        <f t="shared" si="13"/>
        <v>0</v>
      </c>
      <c r="M214" s="124">
        <v>17</v>
      </c>
    </row>
    <row r="215" spans="1:13">
      <c r="A215" s="125" t="s">
        <v>142</v>
      </c>
      <c r="B215" s="50" t="s">
        <v>143</v>
      </c>
      <c r="C215" s="126">
        <f>IF(AND(ISNUMBER('Apostas - Grupos'!CT7),ISNUMBER('Apostas - Grupos'!CU7)),IF('Apostas - Grupos'!CT7&gt;'Apostas - Grupos'!CU7,1,0),0)+IF(AND(ISNUMBER('Apostas - Grupos'!CX7),ISNUMBER('Apostas - Grupos'!CY7)),IF('Apostas - Grupos'!CX7&gt;'Apostas - Grupos'!CY7,1,0),0)+IF(AND(ISNUMBER('Apostas - Grupos'!DB7),ISNUMBER('Apostas - Grupos'!DC7)),IF('Apostas - Grupos'!DC7&gt;'Apostas - Grupos'!DB7,1,0),0)</f>
        <v>0</v>
      </c>
      <c r="D215" s="126">
        <f>IF(AND(ISNUMBER('Apostas - Grupos'!CT7),ISNUMBER('Apostas - Grupos'!CU7)),IF('Apostas - Grupos'!CT7='Apostas - Grupos'!CU7,1,0),0)+IF(AND(ISNUMBER('Apostas - Grupos'!CX7),ISNUMBER('Apostas - Grupos'!CY7)),IF('Apostas - Grupos'!CX7='Apostas - Grupos'!CY7,1,0),0)+IF(AND(ISNUMBER('Apostas - Grupos'!DB7),ISNUMBER('Apostas - Grupos'!DC7)),IF('Apostas - Grupos'!DB7='Apostas - Grupos'!DC7,1,0),0)</f>
        <v>0</v>
      </c>
      <c r="E215" s="126">
        <f>IF(ISNUMBER('Apostas - Grupos'!CT7),'Apostas - Grupos'!CT7,0)+IF(ISNUMBER('Apostas - Grupos'!CX7),'Apostas - Grupos'!CX7,0)+IF(ISNUMBER('Apostas - Grupos'!DB7),'Apostas - Grupos'!DC7,0)</f>
        <v>0</v>
      </c>
      <c r="F215" s="126">
        <f>IF(ISNUMBER('Apostas - Grupos'!CT7),'Apostas - Grupos'!CU7,0)+IF(ISNUMBER('Apostas - Grupos'!CX7),'Apostas - Grupos'!CY7,0)+IF(ISNUMBER('Apostas - Grupos'!DB7),'Apostas - Grupos'!DB7,0)</f>
        <v>0</v>
      </c>
      <c r="G215" s="126">
        <f t="shared" si="10"/>
        <v>0</v>
      </c>
      <c r="H215" s="49">
        <f t="shared" si="11"/>
        <v>0</v>
      </c>
      <c r="I215" s="126">
        <f t="shared" si="12"/>
        <v>200000498</v>
      </c>
      <c r="J215" s="49">
        <f>RANK(I215,$I$215:$I$218,0)</f>
        <v>1</v>
      </c>
      <c r="K215" s="126">
        <f>IF(AND(ISNUMBER('Apostas - Grupos'!CT7),ISNUMBER('Apostas - Grupos'!CU7)),1,0)+IF(AND(ISNUMBER('Apostas - Grupos'!CX7),ISNUMBER('Apostas - Grupos'!CY7)),1,0)+IF(AND(ISNUMBER('Apostas - Grupos'!DB7),ISNUMBER('Apostas - Grupos'!DC7)),1,0)</f>
        <v>0</v>
      </c>
      <c r="L215" s="126">
        <f t="shared" si="13"/>
        <v>0</v>
      </c>
      <c r="M215" s="126">
        <v>2</v>
      </c>
    </row>
    <row r="216" spans="1:13">
      <c r="A216" s="125" t="s">
        <v>142</v>
      </c>
      <c r="B216" s="50" t="s">
        <v>144</v>
      </c>
      <c r="C216" s="126">
        <f>IF(AND(ISNUMBER('Apostas - Grupos'!CT7),ISNUMBER('Apostas - Grupos'!CU7)),IF('Apostas - Grupos'!CU7&gt;'Apostas - Grupos'!CT7,1,0),0)+IF(AND(ISNUMBER('Apostas - Grupos'!CZ7),ISNUMBER('Apostas - Grupos'!DA7)),IF('Apostas - Grupos'!DA7&gt;'Apostas - Grupos'!CZ7,1,0),0)+IF(AND(ISNUMBER('Apostas - Grupos'!DD7),ISNUMBER('Apostas - Grupos'!DE7)),IF('Apostas - Grupos'!DD7&gt;'Apostas - Grupos'!DE7,1,0),0)</f>
        <v>0</v>
      </c>
      <c r="D216" s="126">
        <f>IF(AND(ISNUMBER('Apostas - Grupos'!CT7),ISNUMBER('Apostas - Grupos'!CU7)),IF('Apostas - Grupos'!CT7='Apostas - Grupos'!CU7,1,0),0)+IF(AND(ISNUMBER('Apostas - Grupos'!CZ7),ISNUMBER('Apostas - Grupos'!DA7)),IF('Apostas - Grupos'!CZ7='Apostas - Grupos'!DA7,1,0),0)+IF(AND(ISNUMBER('Apostas - Grupos'!DD7),ISNUMBER('Apostas - Grupos'!DE7)),IF('Apostas - Grupos'!DD7='Apostas - Grupos'!DE7,1,0),0)</f>
        <v>0</v>
      </c>
      <c r="E216" s="126">
        <f>IF(ISNUMBER('Apostas - Grupos'!CT7),'Apostas - Grupos'!CU7,0)+IF(ISNUMBER('Apostas - Grupos'!CZ7),'Apostas - Grupos'!DA7,0)+IF(ISNUMBER('Apostas - Grupos'!DD7),'Apostas - Grupos'!DD7,0)</f>
        <v>0</v>
      </c>
      <c r="F216" s="126">
        <f>IF(ISNUMBER('Apostas - Grupos'!CT7),'Apostas - Grupos'!CT7,0)+IF(ISNUMBER('Apostas - Grupos'!CZ7),'Apostas - Grupos'!CZ7,0)+IF(ISNUMBER('Apostas - Grupos'!DD7),'Apostas - Grupos'!DE7,0)</f>
        <v>0</v>
      </c>
      <c r="G216" s="126">
        <f t="shared" si="10"/>
        <v>0</v>
      </c>
      <c r="H216" s="49">
        <f t="shared" si="11"/>
        <v>0</v>
      </c>
      <c r="I216" s="126">
        <f t="shared" si="12"/>
        <v>200000479</v>
      </c>
      <c r="J216" s="49">
        <f>RANK(I216,$I$215:$I$218,0)</f>
        <v>2</v>
      </c>
      <c r="K216" s="126">
        <f>IF(AND(ISNUMBER('Apostas - Grupos'!CT7),ISNUMBER('Apostas - Grupos'!CU7)),1,0)+IF(AND(ISNUMBER('Apostas - Grupos'!CZ7),ISNUMBER('Apostas - Grupos'!DA7)),1,0)+IF(AND(ISNUMBER('Apostas - Grupos'!DD7),ISNUMBER('Apostas - Grupos'!DE7)),1,0)</f>
        <v>0</v>
      </c>
      <c r="L216" s="126">
        <f t="shared" si="13"/>
        <v>0</v>
      </c>
      <c r="M216" s="126">
        <v>21</v>
      </c>
    </row>
    <row r="217" spans="1:13">
      <c r="A217" s="125" t="s">
        <v>142</v>
      </c>
      <c r="B217" s="50" t="s">
        <v>146</v>
      </c>
      <c r="C217" s="126">
        <f>IF(AND(ISNUMBER('Apostas - Grupos'!CV7),ISNUMBER('Apostas - Grupos'!CW7)),IF('Apostas - Grupos'!CV7&gt;'Apostas - Grupos'!CW7,1,0),0)+IF(AND(ISNUMBER('Apostas - Grupos'!CX7),ISNUMBER('Apostas - Grupos'!CY7)),IF('Apostas - Grupos'!CY7&gt;'Apostas - Grupos'!CX7,1,0),0)+IF(AND(ISNUMBER('Apostas - Grupos'!DD7),ISNUMBER('Apostas - Grupos'!DE7)),IF('Apostas - Grupos'!DE7&gt;'Apostas - Grupos'!DD7,1,0),0)</f>
        <v>0</v>
      </c>
      <c r="D217" s="126">
        <f>IF(AND(ISNUMBER('Apostas - Grupos'!CV7),ISNUMBER('Apostas - Grupos'!CW7)),IF('Apostas - Grupos'!CV7='Apostas - Grupos'!CW7,1,0),0)+IF(AND(ISNUMBER('Apostas - Grupos'!CX7),ISNUMBER('Apostas - Grupos'!CY7)),IF('Apostas - Grupos'!CX7='Apostas - Grupos'!CY7,1,0),0)+IF(AND(ISNUMBER('Apostas - Grupos'!DD7),ISNUMBER('Apostas - Grupos'!DE7)),IF('Apostas - Grupos'!DD7='Apostas - Grupos'!DE7,1,0),0)</f>
        <v>0</v>
      </c>
      <c r="E217" s="126">
        <f>IF(ISNUMBER('Apostas - Grupos'!CV7),'Apostas - Grupos'!CV7,0)+IF(ISNUMBER('Apostas - Grupos'!CX7),'Apostas - Grupos'!CY7,0)+IF(ISNUMBER('Apostas - Grupos'!DD7),'Apostas - Grupos'!DE7,0)</f>
        <v>0</v>
      </c>
      <c r="F217" s="126">
        <f>IF(ISNUMBER('Apostas - Grupos'!CV7),'Apostas - Grupos'!CW7,0)+IF(ISNUMBER('Apostas - Grupos'!CX7),'Apostas - Grupos'!CX7,0)+IF(ISNUMBER('Apostas - Grupos'!DD7),'Apostas - Grupos'!DD7,0)</f>
        <v>0</v>
      </c>
      <c r="G217" s="126">
        <f t="shared" si="10"/>
        <v>0</v>
      </c>
      <c r="H217" s="49">
        <f t="shared" si="11"/>
        <v>0</v>
      </c>
      <c r="I217" s="126">
        <f t="shared" si="12"/>
        <v>200000435</v>
      </c>
      <c r="J217" s="49">
        <f>RANK(I217,$I$215:$I$218,0)</f>
        <v>4</v>
      </c>
      <c r="K217" s="126">
        <f>IF(AND(ISNUMBER('Apostas - Grupos'!CV7),ISNUMBER('Apostas - Grupos'!CW7)),1,0)+IF(AND(ISNUMBER('Apostas - Grupos'!CX7),ISNUMBER('Apostas - Grupos'!CY7)),1,0)+IF(AND(ISNUMBER('Apostas - Grupos'!DD7),ISNUMBER('Apostas - Grupos'!DE7)),1,0)</f>
        <v>0</v>
      </c>
      <c r="L217" s="126">
        <f t="shared" si="13"/>
        <v>0</v>
      </c>
      <c r="M217" s="126">
        <v>65</v>
      </c>
    </row>
    <row r="218" spans="1:13">
      <c r="A218" s="125" t="s">
        <v>142</v>
      </c>
      <c r="B218" s="50" t="s">
        <v>147</v>
      </c>
      <c r="C218" s="126">
        <f>IF(AND(ISNUMBER('Apostas - Grupos'!CV7),ISNUMBER('Apostas - Grupos'!CW7)),IF('Apostas - Grupos'!CW7&gt;'Apostas - Grupos'!CV7,1,0),0)+IF(AND(ISNUMBER('Apostas - Grupos'!CZ7),ISNUMBER('Apostas - Grupos'!DA7)),IF('Apostas - Grupos'!CZ7&gt;'Apostas - Grupos'!DA7,1,0),0)+IF(AND(ISNUMBER('Apostas - Grupos'!DB7),ISNUMBER('Apostas - Grupos'!DC7)),IF('Apostas - Grupos'!DB7&gt;'Apostas - Grupos'!DC7,1,0),0)</f>
        <v>0</v>
      </c>
      <c r="D218" s="126">
        <f>IF(AND(ISNUMBER('Apostas - Grupos'!CV7),ISNUMBER('Apostas - Grupos'!CW7)),IF('Apostas - Grupos'!CV7='Apostas - Grupos'!CW7,1,0),0)+IF(AND(ISNUMBER('Apostas - Grupos'!CZ7),ISNUMBER('Apostas - Grupos'!DA7)),IF('Apostas - Grupos'!CZ7='Apostas - Grupos'!DA7,1,0),0)+IF(AND(ISNUMBER('Apostas - Grupos'!DB7),ISNUMBER('Apostas - Grupos'!DC7)),IF('Apostas - Grupos'!DB7='Apostas - Grupos'!DC7,1,0),0)</f>
        <v>0</v>
      </c>
      <c r="E218" s="126">
        <f>IF(ISNUMBER('Apostas - Grupos'!CV7),'Apostas - Grupos'!CW7,0)+IF(ISNUMBER('Apostas - Grupos'!CZ7),'Apostas - Grupos'!CZ7,0)+IF(ISNUMBER('Apostas - Grupos'!DB7),'Apostas - Grupos'!DB7,0)</f>
        <v>0</v>
      </c>
      <c r="F218" s="126">
        <f>IF(ISNUMBER('Apostas - Grupos'!CV7),'Apostas - Grupos'!CV7,0)+IF(ISNUMBER('Apostas - Grupos'!CZ7),'Apostas - Grupos'!DA7,0)+IF(ISNUMBER('Apostas - Grupos'!DB7),'Apostas - Grupos'!DC7,0)</f>
        <v>0</v>
      </c>
      <c r="G218" s="126">
        <f t="shared" si="10"/>
        <v>0</v>
      </c>
      <c r="H218" s="49">
        <f t="shared" si="11"/>
        <v>0</v>
      </c>
      <c r="I218" s="126">
        <f t="shared" si="12"/>
        <v>200000472</v>
      </c>
      <c r="J218" s="49">
        <f>RANK(I218,$I$215:$I$218,0)</f>
        <v>3</v>
      </c>
      <c r="K218" s="126">
        <f>IF(AND(ISNUMBER('Apostas - Grupos'!CV7),ISNUMBER('Apostas - Grupos'!CW7)),1,0)+IF(AND(ISNUMBER('Apostas - Grupos'!CZ7),ISNUMBER('Apostas - Grupos'!DA7)),1,0)+IF(AND(ISNUMBER('Apostas - Grupos'!DB7),ISNUMBER('Apostas - Grupos'!DC7)),1,0)</f>
        <v>0</v>
      </c>
      <c r="L218" s="126">
        <f t="shared" si="13"/>
        <v>0</v>
      </c>
      <c r="M218" s="126">
        <v>28</v>
      </c>
    </row>
    <row r="219" spans="1:13">
      <c r="A219" s="127" t="s">
        <v>153</v>
      </c>
      <c r="B219" s="55" t="s">
        <v>154</v>
      </c>
      <c r="C219" s="128">
        <f>IF(AND(ISNUMBER('Apostas - Grupos'!DF7),ISNUMBER('Apostas - Grupos'!DG7)),IF('Apostas - Grupos'!DF7&gt;'Apostas - Grupos'!DG7,1,0),0)+IF(AND(ISNUMBER('Apostas - Grupos'!DJ7),ISNUMBER('Apostas - Grupos'!DK7)),IF('Apostas - Grupos'!DJ7&gt;'Apostas - Grupos'!DK7,1,0),0)+IF(AND(ISNUMBER('Apostas - Grupos'!DP7),ISNUMBER('Apostas - Grupos'!DQ7)),IF('Apostas - Grupos'!DQ7&gt;'Apostas - Grupos'!DP7,1,0),0)</f>
        <v>0</v>
      </c>
      <c r="D219" s="128">
        <f>IF(AND(ISNUMBER('Apostas - Grupos'!DF7),ISNUMBER('Apostas - Grupos'!DG7)),IF('Apostas - Grupos'!DF7='Apostas - Grupos'!DG7,1,0),0)+IF(AND(ISNUMBER('Apostas - Grupos'!DJ7),ISNUMBER('Apostas - Grupos'!DK7)),IF('Apostas - Grupos'!DJ7='Apostas - Grupos'!DK7,1,0),0)+IF(AND(ISNUMBER('Apostas - Grupos'!DP7),ISNUMBER('Apostas - Grupos'!DQ7)),IF('Apostas - Grupos'!DP7='Apostas - Grupos'!DQ7,1,0),0)</f>
        <v>0</v>
      </c>
      <c r="E219" s="128">
        <f>IF(ISNUMBER('Apostas - Grupos'!DF7),'Apostas - Grupos'!DF7,0)+IF(ISNUMBER('Apostas - Grupos'!DJ7),'Apostas - Grupos'!DJ7,0)+IF(ISNUMBER('Apostas - Grupos'!DP7),'Apostas - Grupos'!DQ7,0)</f>
        <v>0</v>
      </c>
      <c r="F219" s="128">
        <f>IF(ISNUMBER('Apostas - Grupos'!DF7),'Apostas - Grupos'!DG7,0)+IF(ISNUMBER('Apostas - Grupos'!DJ7),'Apostas - Grupos'!DK7,0)+IF(ISNUMBER('Apostas - Grupos'!DP7),'Apostas - Grupos'!DP7,0)</f>
        <v>0</v>
      </c>
      <c r="G219" s="128">
        <f t="shared" si="10"/>
        <v>0</v>
      </c>
      <c r="H219" s="54">
        <f t="shared" si="11"/>
        <v>0</v>
      </c>
      <c r="I219" s="128">
        <f t="shared" si="12"/>
        <v>200000499</v>
      </c>
      <c r="J219" s="54">
        <f>RANK(I219,$I$219:$I$222,0)</f>
        <v>1</v>
      </c>
      <c r="K219" s="128">
        <f>IF(AND(ISNUMBER('Apostas - Grupos'!DF7),ISNUMBER('Apostas - Grupos'!DG7)),1,0)+IF(AND(ISNUMBER('Apostas - Grupos'!DJ7),ISNUMBER('Apostas - Grupos'!DK7)),1,0)+IF(AND(ISNUMBER('Apostas - Grupos'!DP7),ISNUMBER('Apostas - Grupos'!DQ7)),1,0)</f>
        <v>0</v>
      </c>
      <c r="L219" s="128">
        <f t="shared" si="13"/>
        <v>0</v>
      </c>
      <c r="M219" s="128">
        <v>1</v>
      </c>
    </row>
    <row r="220" spans="1:13">
      <c r="A220" s="127" t="s">
        <v>153</v>
      </c>
      <c r="B220" s="55" t="s">
        <v>155</v>
      </c>
      <c r="C220" s="128">
        <f>IF(AND(ISNUMBER('Apostas - Grupos'!DF7),ISNUMBER('Apostas - Grupos'!DG7)),IF('Apostas - Grupos'!DG7&gt;'Apostas - Grupos'!DF7,1,0),0)+IF(AND(ISNUMBER('Apostas - Grupos'!DL7),ISNUMBER('Apostas - Grupos'!DM7)),IF('Apostas - Grupos'!DM7&gt;'Apostas - Grupos'!DL7,1,0),0)+IF(AND(ISNUMBER('Apostas - Grupos'!DN7),ISNUMBER('Apostas - Grupos'!DO7)),IF('Apostas - Grupos'!DN7&gt;'Apostas - Grupos'!DO7,1,0),0)</f>
        <v>0</v>
      </c>
      <c r="D220" s="128">
        <f>IF(AND(ISNUMBER('Apostas - Grupos'!DF7),ISNUMBER('Apostas - Grupos'!DG7)),IF('Apostas - Grupos'!DF7='Apostas - Grupos'!DG7,1,0),0)+IF(AND(ISNUMBER('Apostas - Grupos'!DL7),ISNUMBER('Apostas - Grupos'!DM7)),IF('Apostas - Grupos'!DL7='Apostas - Grupos'!DM7,1,0),0)+IF(AND(ISNUMBER('Apostas - Grupos'!DN7),ISNUMBER('Apostas - Grupos'!DO7)),IF('Apostas - Grupos'!DN7='Apostas - Grupos'!DO7,1,0),0)</f>
        <v>0</v>
      </c>
      <c r="E220" s="128">
        <f>IF(ISNUMBER('Apostas - Grupos'!DF7),'Apostas - Grupos'!DG7,0)+IF(ISNUMBER('Apostas - Grupos'!DL7),'Apostas - Grupos'!DM7,0)+IF(ISNUMBER('Apostas - Grupos'!DN7),'Apostas - Grupos'!DN7,0)</f>
        <v>0</v>
      </c>
      <c r="F220" s="128">
        <f>IF(ISNUMBER('Apostas - Grupos'!DF7),'Apostas - Grupos'!DF7,0)+IF(ISNUMBER('Apostas - Grupos'!DL7),'Apostas - Grupos'!DL7,0)+IF(ISNUMBER('Apostas - Grupos'!DN7),'Apostas - Grupos'!DO7,0)</f>
        <v>0</v>
      </c>
      <c r="G220" s="128">
        <f t="shared" si="10"/>
        <v>0</v>
      </c>
      <c r="H220" s="54">
        <f t="shared" si="11"/>
        <v>0</v>
      </c>
      <c r="I220" s="128">
        <f t="shared" si="12"/>
        <v>200000468</v>
      </c>
      <c r="J220" s="54">
        <f>RANK(I220,$I$219:$I$222,0)</f>
        <v>3</v>
      </c>
      <c r="K220" s="128">
        <f>IF(AND(ISNUMBER('Apostas - Grupos'!DF7),ISNUMBER('Apostas - Grupos'!DG7)),1,0)+IF(AND(ISNUMBER('Apostas - Grupos'!DL7),ISNUMBER('Apostas - Grupos'!DM7)),1,0)+IF(AND(ISNUMBER('Apostas - Grupos'!DN7),ISNUMBER('Apostas - Grupos'!DO7)),1,0)</f>
        <v>0</v>
      </c>
      <c r="L220" s="128">
        <f t="shared" si="13"/>
        <v>0</v>
      </c>
      <c r="M220" s="128">
        <v>32</v>
      </c>
    </row>
    <row r="221" spans="1:13">
      <c r="A221" s="127" t="s">
        <v>153</v>
      </c>
      <c r="B221" s="55" t="s">
        <v>157</v>
      </c>
      <c r="C221" s="128">
        <f>IF(AND(ISNUMBER('Apostas - Grupos'!DH7),ISNUMBER('Apostas - Grupos'!DI7)),IF('Apostas - Grupos'!DH7&gt;'Apostas - Grupos'!DI7,1,0),0)+IF(AND(ISNUMBER('Apostas - Grupos'!DJ7),ISNUMBER('Apostas - Grupos'!DK7)),IF('Apostas - Grupos'!DK7&gt;'Apostas - Grupos'!DJ7,1,0),0)+IF(AND(ISNUMBER('Apostas - Grupos'!DN7),ISNUMBER('Apostas - Grupos'!DO7)),IF('Apostas - Grupos'!DO7&gt;'Apostas - Grupos'!DN7,1,0),0)</f>
        <v>0</v>
      </c>
      <c r="D221" s="128">
        <f>IF(AND(ISNUMBER('Apostas - Grupos'!DH7),ISNUMBER('Apostas - Grupos'!DI7)),IF('Apostas - Grupos'!DH7='Apostas - Grupos'!DI7,1,0),0)+IF(AND(ISNUMBER('Apostas - Grupos'!DJ7),ISNUMBER('Apostas - Grupos'!DK7)),IF('Apostas - Grupos'!DJ7='Apostas - Grupos'!DK7,1,0),0)+IF(AND(ISNUMBER('Apostas - Grupos'!DN7),ISNUMBER('Apostas - Grupos'!DO7)),IF('Apostas - Grupos'!DN7='Apostas - Grupos'!DO7,1,0),0)</f>
        <v>0</v>
      </c>
      <c r="E221" s="128">
        <f>IF(ISNUMBER('Apostas - Grupos'!DH7),'Apostas - Grupos'!DH7,0)+IF(ISNUMBER('Apostas - Grupos'!DJ7),'Apostas - Grupos'!DK7,0)+IF(ISNUMBER('Apostas - Grupos'!DN7),'Apostas - Grupos'!DO7,0)</f>
        <v>0</v>
      </c>
      <c r="F221" s="128">
        <f>IF(ISNUMBER('Apostas - Grupos'!DH7),'Apostas - Grupos'!DI7,0)+IF(ISNUMBER('Apostas - Grupos'!DJ7),'Apostas - Grupos'!DJ7,0)+IF(ISNUMBER('Apostas - Grupos'!DN7),'Apostas - Grupos'!DN7,0)</f>
        <v>0</v>
      </c>
      <c r="G221" s="128">
        <f t="shared" si="10"/>
        <v>0</v>
      </c>
      <c r="H221" s="54">
        <f t="shared" si="11"/>
        <v>0</v>
      </c>
      <c r="I221" s="128">
        <f t="shared" si="12"/>
        <v>200000476</v>
      </c>
      <c r="J221" s="54">
        <f>RANK(I221,$I$219:$I$222,0)</f>
        <v>2</v>
      </c>
      <c r="K221" s="128">
        <f>IF(AND(ISNUMBER('Apostas - Grupos'!DH7),ISNUMBER('Apostas - Grupos'!DI7)),1,0)+IF(AND(ISNUMBER('Apostas - Grupos'!DJ7),ISNUMBER('Apostas - Grupos'!DK7)),1,0)+IF(AND(ISNUMBER('Apostas - Grupos'!DN7),ISNUMBER('Apostas - Grupos'!DO7)),1,0)</f>
        <v>0</v>
      </c>
      <c r="L221" s="128">
        <f t="shared" si="13"/>
        <v>0</v>
      </c>
      <c r="M221" s="128">
        <v>24</v>
      </c>
    </row>
    <row r="222" spans="1:13">
      <c r="A222" s="127" t="s">
        <v>153</v>
      </c>
      <c r="B222" s="55" t="s">
        <v>158</v>
      </c>
      <c r="C222" s="128">
        <f>IF(AND(ISNUMBER('Apostas - Grupos'!DH7),ISNUMBER('Apostas - Grupos'!DI7)),IF('Apostas - Grupos'!DI7&gt;'Apostas - Grupos'!DH7,1,0),0)+IF(AND(ISNUMBER('Apostas - Grupos'!DL7),ISNUMBER('Apostas - Grupos'!DM7)),IF('Apostas - Grupos'!DL7&gt;'Apostas - Grupos'!DM7,1,0),0)+IF(AND(ISNUMBER('Apostas - Grupos'!DP7),ISNUMBER('Apostas - Grupos'!DQ7)),IF('Apostas - Grupos'!DP7&gt;'Apostas - Grupos'!DQ7,1,0),0)</f>
        <v>0</v>
      </c>
      <c r="D222" s="128">
        <f>IF(AND(ISNUMBER('Apostas - Grupos'!DH7),ISNUMBER('Apostas - Grupos'!DI7)),IF('Apostas - Grupos'!DH7='Apostas - Grupos'!DI7,1,0),0)+IF(AND(ISNUMBER('Apostas - Grupos'!DL7),ISNUMBER('Apostas - Grupos'!DM7)),IF('Apostas - Grupos'!DL7='Apostas - Grupos'!DM7,1,0),0)+IF(AND(ISNUMBER('Apostas - Grupos'!DP7),ISNUMBER('Apostas - Grupos'!DQ7)),IF('Apostas - Grupos'!DP7='Apostas - Grupos'!DQ7,1,0),0)</f>
        <v>0</v>
      </c>
      <c r="E222" s="128">
        <f>IF(ISNUMBER('Apostas - Grupos'!DH7),'Apostas - Grupos'!DI7,0)+IF(ISNUMBER('Apostas - Grupos'!DL7),'Apostas - Grupos'!DL7,0)+IF(ISNUMBER('Apostas - Grupos'!DP7),'Apostas - Grupos'!DP7,0)</f>
        <v>0</v>
      </c>
      <c r="F222" s="128">
        <f>IF(ISNUMBER('Apostas - Grupos'!DH7),'Apostas - Grupos'!DH7,0)+IF(ISNUMBER('Apostas - Grupos'!DL7),'Apostas - Grupos'!DM7,0)+IF(ISNUMBER('Apostas - Grupos'!DP7),'Apostas - Grupos'!DQ7,0)</f>
        <v>0</v>
      </c>
      <c r="G222" s="128">
        <f t="shared" si="10"/>
        <v>0</v>
      </c>
      <c r="H222" s="54">
        <f t="shared" si="11"/>
        <v>0</v>
      </c>
      <c r="I222" s="128">
        <f t="shared" si="12"/>
        <v>200000414</v>
      </c>
      <c r="J222" s="54">
        <f>RANK(I222,$I$219:$I$222,0)</f>
        <v>4</v>
      </c>
      <c r="K222" s="128">
        <f>IF(AND(ISNUMBER('Apostas - Grupos'!DH7),ISNUMBER('Apostas - Grupos'!DI7)),1,0)+IF(AND(ISNUMBER('Apostas - Grupos'!DL7),ISNUMBER('Apostas - Grupos'!DM7)),1,0)+IF(AND(ISNUMBER('Apostas - Grupos'!DP7),ISNUMBER('Apostas - Grupos'!DQ7)),1,0)</f>
        <v>0</v>
      </c>
      <c r="L222" s="128">
        <f t="shared" si="13"/>
        <v>0</v>
      </c>
      <c r="M222" s="128">
        <v>86</v>
      </c>
    </row>
    <row r="223" spans="1:13">
      <c r="A223" s="129" t="s">
        <v>164</v>
      </c>
      <c r="B223" s="60" t="s">
        <v>165</v>
      </c>
      <c r="C223" s="130">
        <f>IF(AND(ISNUMBER('Apostas - Grupos'!DR7),ISNUMBER('Apostas - Grupos'!DS7)),IF('Apostas - Grupos'!DR7&gt;'Apostas - Grupos'!DS7,1,0),0)+IF(AND(ISNUMBER('Apostas - Grupos'!DV7),ISNUMBER('Apostas - Grupos'!DW7)),IF('Apostas - Grupos'!DV7&gt;'Apostas - Grupos'!DW7,1,0),0)+IF(AND(ISNUMBER('Apostas - Grupos'!DZ7),ISNUMBER('Apostas - Grupos'!EA7)),IF('Apostas - Grupos'!EA7&gt;'Apostas - Grupos'!DZ7,1,0),0)</f>
        <v>0</v>
      </c>
      <c r="D223" s="130">
        <f>IF(AND(ISNUMBER('Apostas - Grupos'!DR7),ISNUMBER('Apostas - Grupos'!DS7)),IF('Apostas - Grupos'!DR7='Apostas - Grupos'!DS7,1,0),0)+IF(AND(ISNUMBER('Apostas - Grupos'!DV7),ISNUMBER('Apostas - Grupos'!DW7)),IF('Apostas - Grupos'!DV7='Apostas - Grupos'!DW7,1,0),0)+IF(AND(ISNUMBER('Apostas - Grupos'!DZ7),ISNUMBER('Apostas - Grupos'!EA7)),IF('Apostas - Grupos'!DZ7='Apostas - Grupos'!EA7,1,0),0)</f>
        <v>0</v>
      </c>
      <c r="E223" s="130">
        <f>IF(ISNUMBER('Apostas - Grupos'!DR7),'Apostas - Grupos'!DR7,0)+IF(ISNUMBER('Apostas - Grupos'!DV7),'Apostas - Grupos'!DV7,0)+IF(ISNUMBER('Apostas - Grupos'!DZ7),'Apostas - Grupos'!EA7,0)</f>
        <v>0</v>
      </c>
      <c r="F223" s="130">
        <f>IF(ISNUMBER('Apostas - Grupos'!DR7),'Apostas - Grupos'!DS7,0)+IF(ISNUMBER('Apostas - Grupos'!DV7),'Apostas - Grupos'!DW7,0)+IF(ISNUMBER('Apostas - Grupos'!DZ7),'Apostas - Grupos'!DZ7,0)</f>
        <v>0</v>
      </c>
      <c r="G223" s="130">
        <f t="shared" si="10"/>
        <v>0</v>
      </c>
      <c r="H223" s="59">
        <f t="shared" si="11"/>
        <v>0</v>
      </c>
      <c r="I223" s="130">
        <f t="shared" si="12"/>
        <v>200000494</v>
      </c>
      <c r="J223" s="59">
        <f>RANK(I223,$I$223:$I$226,0)</f>
        <v>1</v>
      </c>
      <c r="K223" s="130">
        <f>IF(AND(ISNUMBER('Apostas - Grupos'!DR7),ISNUMBER('Apostas - Grupos'!DS7)),1,0)+IF(AND(ISNUMBER('Apostas - Grupos'!DV7),ISNUMBER('Apostas - Grupos'!DW7)),1,0)+IF(AND(ISNUMBER('Apostas - Grupos'!DZ7),ISNUMBER('Apostas - Grupos'!EA7)),1,0)</f>
        <v>0</v>
      </c>
      <c r="L223" s="130">
        <f t="shared" si="13"/>
        <v>0</v>
      </c>
      <c r="M223" s="130">
        <v>6</v>
      </c>
    </row>
    <row r="224" spans="1:13">
      <c r="A224" s="129" t="s">
        <v>164</v>
      </c>
      <c r="B224" s="60" t="s">
        <v>166</v>
      </c>
      <c r="C224" s="130">
        <f>IF(AND(ISNUMBER('Apostas - Grupos'!DR7),ISNUMBER('Apostas - Grupos'!DS7)),IF('Apostas - Grupos'!DS7&gt;'Apostas - Grupos'!DR7,1,0),0)+IF(AND(ISNUMBER('Apostas - Grupos'!DX7),ISNUMBER('Apostas - Grupos'!DY7)),IF('Apostas - Grupos'!DY7&gt;'Apostas - Grupos'!DX7,1,0),0)+IF(AND(ISNUMBER('Apostas - Grupos'!EB7),ISNUMBER('Apostas - Grupos'!EC7)),IF('Apostas - Grupos'!EB7&gt;'Apostas - Grupos'!EC7,1,0),0)</f>
        <v>0</v>
      </c>
      <c r="D224" s="130">
        <f>IF(AND(ISNUMBER('Apostas - Grupos'!DR7),ISNUMBER('Apostas - Grupos'!DS7)),IF('Apostas - Grupos'!DR7='Apostas - Grupos'!DS7,1,0),0)+IF(AND(ISNUMBER('Apostas - Grupos'!DX7),ISNUMBER('Apostas - Grupos'!DY7)),IF('Apostas - Grupos'!DX7='Apostas - Grupos'!DY7,1,0),0)+IF(AND(ISNUMBER('Apostas - Grupos'!EB7),ISNUMBER('Apostas - Grupos'!EC7)),IF('Apostas - Grupos'!EB7='Apostas - Grupos'!EC7,1,0),0)</f>
        <v>0</v>
      </c>
      <c r="E224" s="130">
        <f>IF(ISNUMBER('Apostas - Grupos'!DR7),'Apostas - Grupos'!DS7,0)+IF(ISNUMBER('Apostas - Grupos'!DX7),'Apostas - Grupos'!DY7,0)+IF(ISNUMBER('Apostas - Grupos'!EB7),'Apostas - Grupos'!EB7,0)</f>
        <v>0</v>
      </c>
      <c r="F224" s="130">
        <f>IF(ISNUMBER('Apostas - Grupos'!DR7),'Apostas - Grupos'!DR7,0)+IF(ISNUMBER('Apostas - Grupos'!DX7),'Apostas - Grupos'!DX7,0)+IF(ISNUMBER('Apostas - Grupos'!EB7),'Apostas - Grupos'!EC7,0)</f>
        <v>0</v>
      </c>
      <c r="G224" s="130">
        <f t="shared" si="10"/>
        <v>0</v>
      </c>
      <c r="H224" s="59">
        <f t="shared" si="11"/>
        <v>0</v>
      </c>
      <c r="I224" s="130">
        <f t="shared" si="12"/>
        <v>200000443</v>
      </c>
      <c r="J224" s="59">
        <f>RANK(I224,$I$223:$I$226,0)</f>
        <v>3</v>
      </c>
      <c r="K224" s="130">
        <f>IF(AND(ISNUMBER('Apostas - Grupos'!DR7),ISNUMBER('Apostas - Grupos'!DS7)),1,0)+IF(AND(ISNUMBER('Apostas - Grupos'!DX7),ISNUMBER('Apostas - Grupos'!DY7)),1,0)+IF(AND(ISNUMBER('Apostas - Grupos'!EB7),ISNUMBER('Apostas - Grupos'!EC7)),1,0)</f>
        <v>0</v>
      </c>
      <c r="L224" s="130">
        <f t="shared" si="13"/>
        <v>0</v>
      </c>
      <c r="M224" s="130">
        <v>57</v>
      </c>
    </row>
    <row r="225" spans="1:13">
      <c r="A225" s="129" t="s">
        <v>164</v>
      </c>
      <c r="B225" s="60" t="s">
        <v>168</v>
      </c>
      <c r="C225" s="130">
        <f>IF(AND(ISNUMBER('Apostas - Grupos'!DT7),ISNUMBER('Apostas - Grupos'!DU7)),IF('Apostas - Grupos'!DT7&gt;'Apostas - Grupos'!DU7,1,0),0)+IF(AND(ISNUMBER('Apostas - Grupos'!DV7),ISNUMBER('Apostas - Grupos'!DW7)),IF('Apostas - Grupos'!DW7&gt;'Apostas - Grupos'!DV7,1,0),0)+IF(AND(ISNUMBER('Apostas - Grupos'!EB7),ISNUMBER('Apostas - Grupos'!EC7)),IF('Apostas - Grupos'!EC7&gt;'Apostas - Grupos'!EB7,1,0),0)</f>
        <v>0</v>
      </c>
      <c r="D225" s="130">
        <f>IF(AND(ISNUMBER('Apostas - Grupos'!DT7),ISNUMBER('Apostas - Grupos'!DU7)),IF('Apostas - Grupos'!DT7='Apostas - Grupos'!DU7,1,0),0)+IF(AND(ISNUMBER('Apostas - Grupos'!DV7),ISNUMBER('Apostas - Grupos'!DW7)),IF('Apostas - Grupos'!DV7='Apostas - Grupos'!DW7,1,0),0)+IF(AND(ISNUMBER('Apostas - Grupos'!EB7),ISNUMBER('Apostas - Grupos'!EC7)),IF('Apostas - Grupos'!EB7='Apostas - Grupos'!EC7,1,0),0)</f>
        <v>0</v>
      </c>
      <c r="E225" s="130">
        <f>IF(ISNUMBER('Apostas - Grupos'!DT7),'Apostas - Grupos'!DT7,0)+IF(ISNUMBER('Apostas - Grupos'!DV7),'Apostas - Grupos'!DW7,0)+IF(ISNUMBER('Apostas - Grupos'!EB7),'Apostas - Grupos'!EC7,0)</f>
        <v>0</v>
      </c>
      <c r="F225" s="130">
        <f>IF(ISNUMBER('Apostas - Grupos'!DT7),'Apostas - Grupos'!DU7,0)+IF(ISNUMBER('Apostas - Grupos'!DV7),'Apostas - Grupos'!DV7,0)+IF(ISNUMBER('Apostas - Grupos'!EB7),'Apostas - Grupos'!EB7,0)</f>
        <v>0</v>
      </c>
      <c r="G225" s="130">
        <f t="shared" si="10"/>
        <v>0</v>
      </c>
      <c r="H225" s="59">
        <f t="shared" si="11"/>
        <v>0</v>
      </c>
      <c r="I225" s="130">
        <f t="shared" si="12"/>
        <v>200000426</v>
      </c>
      <c r="J225" s="59">
        <f>RANK(I225,$I$223:$I$226,0)</f>
        <v>4</v>
      </c>
      <c r="K225" s="130">
        <f>IF(AND(ISNUMBER('Apostas - Grupos'!DT7),ISNUMBER('Apostas - Grupos'!DU7)),1,0)+IF(AND(ISNUMBER('Apostas - Grupos'!DV7),ISNUMBER('Apostas - Grupos'!DW7)),1,0)+IF(AND(ISNUMBER('Apostas - Grupos'!EB7),ISNUMBER('Apostas - Grupos'!EC7)),1,0)</f>
        <v>0</v>
      </c>
      <c r="L225" s="130">
        <f t="shared" si="13"/>
        <v>0</v>
      </c>
      <c r="M225" s="130">
        <v>74</v>
      </c>
    </row>
    <row r="226" spans="1:13">
      <c r="A226" s="129" t="s">
        <v>164</v>
      </c>
      <c r="B226" s="60" t="s">
        <v>169</v>
      </c>
      <c r="C226" s="130">
        <f>IF(AND(ISNUMBER('Apostas - Grupos'!DT7),ISNUMBER('Apostas - Grupos'!DU7)),IF('Apostas - Grupos'!DU7&gt;'Apostas - Grupos'!DT7,1,0),0)+IF(AND(ISNUMBER('Apostas - Grupos'!DX7),ISNUMBER('Apostas - Grupos'!DY7)),IF('Apostas - Grupos'!DX7&gt;'Apostas - Grupos'!DY7,1,0),0)+IF(AND(ISNUMBER('Apostas - Grupos'!DZ7),ISNUMBER('Apostas - Grupos'!EA7)),IF('Apostas - Grupos'!DZ7&gt;'Apostas - Grupos'!EA7,1,0),0)</f>
        <v>0</v>
      </c>
      <c r="D226" s="130">
        <f>IF(AND(ISNUMBER('Apostas - Grupos'!DT7),ISNUMBER('Apostas - Grupos'!DU7)),IF('Apostas - Grupos'!DT7='Apostas - Grupos'!DU7,1,0),0)+IF(AND(ISNUMBER('Apostas - Grupos'!DX7),ISNUMBER('Apostas - Grupos'!DY7)),IF('Apostas - Grupos'!DX7='Apostas - Grupos'!DY7,1,0),0)+IF(AND(ISNUMBER('Apostas - Grupos'!DZ7),ISNUMBER('Apostas - Grupos'!EA7)),IF('Apostas - Grupos'!DZ7='Apostas - Grupos'!EA7,1,0),0)</f>
        <v>0</v>
      </c>
      <c r="E226" s="130">
        <f>IF(ISNUMBER('Apostas - Grupos'!DT7),'Apostas - Grupos'!DU7,0)+IF(ISNUMBER('Apostas - Grupos'!DX7),'Apostas - Grupos'!DX7,0)+IF(ISNUMBER('Apostas - Grupos'!DZ7),'Apostas - Grupos'!DZ7,0)</f>
        <v>0</v>
      </c>
      <c r="F226" s="130">
        <f>IF(ISNUMBER('Apostas - Grupos'!DT7),'Apostas - Grupos'!DT7,0)+IF(ISNUMBER('Apostas - Grupos'!DX7),'Apostas - Grupos'!DY7,0)+IF(ISNUMBER('Apostas - Grupos'!DZ7),'Apostas - Grupos'!EA7,0)</f>
        <v>0</v>
      </c>
      <c r="G226" s="130">
        <f t="shared" si="10"/>
        <v>0</v>
      </c>
      <c r="H226" s="59">
        <f t="shared" si="11"/>
        <v>0</v>
      </c>
      <c r="I226" s="130">
        <f t="shared" si="12"/>
        <v>200000482</v>
      </c>
      <c r="J226" s="59">
        <f>RANK(I226,$I$223:$I$226,0)</f>
        <v>2</v>
      </c>
      <c r="K226" s="130">
        <f>IF(AND(ISNUMBER('Apostas - Grupos'!DT7),ISNUMBER('Apostas - Grupos'!DU7)),1,0)+IF(AND(ISNUMBER('Apostas - Grupos'!DX7),ISNUMBER('Apostas - Grupos'!DY7)),1,0)+IF(AND(ISNUMBER('Apostas - Grupos'!DZ7),ISNUMBER('Apostas - Grupos'!EA7)),1,0)</f>
        <v>0</v>
      </c>
      <c r="L226" s="130">
        <f t="shared" si="13"/>
        <v>0</v>
      </c>
      <c r="M226" s="130">
        <v>18</v>
      </c>
    </row>
    <row r="227" spans="1:13">
      <c r="A227" s="131" t="s">
        <v>175</v>
      </c>
      <c r="B227" s="65" t="s">
        <v>176</v>
      </c>
      <c r="C227" s="132">
        <f>IF(AND(ISNUMBER('Apostas - Grupos'!ED7),ISNUMBER('Apostas - Grupos'!EE7)),IF('Apostas - Grupos'!ED7&gt;'Apostas - Grupos'!EE7,1,0),0)+IF(AND(ISNUMBER('Apostas - Grupos'!EH7),ISNUMBER('Apostas - Grupos'!EI7)),IF('Apostas - Grupos'!EH7&gt;'Apostas - Grupos'!EI7,1,0),0)+IF(AND(ISNUMBER('Apostas - Grupos'!EL7),ISNUMBER('Apostas - Grupos'!EM7)),IF('Apostas - Grupos'!EM7&gt;'Apostas - Grupos'!EL7,1,0),0)</f>
        <v>0</v>
      </c>
      <c r="D227" s="132">
        <f>IF(AND(ISNUMBER('Apostas - Grupos'!ED7),ISNUMBER('Apostas - Grupos'!EE7)),IF('Apostas - Grupos'!ED7='Apostas - Grupos'!EE7,1,0),0)+IF(AND(ISNUMBER('Apostas - Grupos'!EH7),ISNUMBER('Apostas - Grupos'!EI7)),IF('Apostas - Grupos'!EH7='Apostas - Grupos'!EI7,1,0),0)+IF(AND(ISNUMBER('Apostas - Grupos'!EL7),ISNUMBER('Apostas - Grupos'!EM7)),IF('Apostas - Grupos'!EL7='Apostas - Grupos'!EM7,1,0),0)</f>
        <v>0</v>
      </c>
      <c r="E227" s="132">
        <f>IF(ISNUMBER('Apostas - Grupos'!ED7),'Apostas - Grupos'!ED7,0)+IF(ISNUMBER('Apostas - Grupos'!EH7),'Apostas - Grupos'!EH7,0)+IF(ISNUMBER('Apostas - Grupos'!EL7),'Apostas - Grupos'!EM7,0)</f>
        <v>0</v>
      </c>
      <c r="F227" s="132">
        <f>IF(ISNUMBER('Apostas - Grupos'!ED7),'Apostas - Grupos'!EE7,0)+IF(ISNUMBER('Apostas - Grupos'!EH7),'Apostas - Grupos'!EI7,0)+IF(ISNUMBER('Apostas - Grupos'!EL7),'Apostas - Grupos'!EL7,0)</f>
        <v>0</v>
      </c>
      <c r="G227" s="132">
        <f t="shared" si="10"/>
        <v>0</v>
      </c>
      <c r="H227" s="64">
        <f t="shared" si="11"/>
        <v>0</v>
      </c>
      <c r="I227" s="132">
        <f t="shared" si="12"/>
        <v>200000491</v>
      </c>
      <c r="J227" s="64">
        <f>RANK(I227,$I$227:$I$230,0)</f>
        <v>1</v>
      </c>
      <c r="K227" s="132">
        <f>IF(AND(ISNUMBER('Apostas - Grupos'!ED7),ISNUMBER('Apostas - Grupos'!EE7)),1,0)+IF(AND(ISNUMBER('Apostas - Grupos'!EH7),ISNUMBER('Apostas - Grupos'!EI7)),1,0)+IF(AND(ISNUMBER('Apostas - Grupos'!EL7),ISNUMBER('Apostas - Grupos'!EM7)),1,0)</f>
        <v>0</v>
      </c>
      <c r="L227" s="132">
        <f t="shared" si="13"/>
        <v>0</v>
      </c>
      <c r="M227" s="132">
        <v>9</v>
      </c>
    </row>
    <row r="228" spans="1:13">
      <c r="A228" s="131" t="s">
        <v>175</v>
      </c>
      <c r="B228" s="65" t="s">
        <v>177</v>
      </c>
      <c r="C228" s="132">
        <f>IF(AND(ISNUMBER('Apostas - Grupos'!ED7),ISNUMBER('Apostas - Grupos'!EE7)),IF('Apostas - Grupos'!EE7&gt;'Apostas - Grupos'!ED7,1,0),0)+IF(AND(ISNUMBER('Apostas - Grupos'!EJ7),ISNUMBER('Apostas - Grupos'!EK7)),IF('Apostas - Grupos'!EK7&gt;'Apostas - Grupos'!EJ7,1,0),0)+IF(AND(ISNUMBER('Apostas - Grupos'!EN7),ISNUMBER('Apostas - Grupos'!EO7)),IF('Apostas - Grupos'!EN7&gt;'Apostas - Grupos'!EO7,1,0),0)</f>
        <v>0</v>
      </c>
      <c r="D228" s="132">
        <f>IF(AND(ISNUMBER('Apostas - Grupos'!ED7),ISNUMBER('Apostas - Grupos'!EE7)),IF('Apostas - Grupos'!ED7='Apostas - Grupos'!EE7,1,0),0)+IF(AND(ISNUMBER('Apostas - Grupos'!EJ7),ISNUMBER('Apostas - Grupos'!EK7)),IF('Apostas - Grupos'!EJ7='Apostas - Grupos'!EK7,1,0),0)+IF(AND(ISNUMBER('Apostas - Grupos'!EN7),ISNUMBER('Apostas - Grupos'!EO7)),IF('Apostas - Grupos'!EN7='Apostas - Grupos'!EO7,1,0),0)</f>
        <v>0</v>
      </c>
      <c r="E228" s="132">
        <f>IF(ISNUMBER('Apostas - Grupos'!ED7),'Apostas - Grupos'!EE7,0)+IF(ISNUMBER('Apostas - Grupos'!EJ7),'Apostas - Grupos'!EK7,0)+IF(ISNUMBER('Apostas - Grupos'!EN7),'Apostas - Grupos'!EN7,0)</f>
        <v>0</v>
      </c>
      <c r="F228" s="132">
        <f>IF(ISNUMBER('Apostas - Grupos'!ED7),'Apostas - Grupos'!ED7,0)+IF(ISNUMBER('Apostas - Grupos'!EJ7),'Apostas - Grupos'!EJ7,0)+IF(ISNUMBER('Apostas - Grupos'!EN7),'Apostas - Grupos'!EO7,0)</f>
        <v>0</v>
      </c>
      <c r="G228" s="132">
        <f t="shared" si="10"/>
        <v>0</v>
      </c>
      <c r="H228" s="64">
        <f t="shared" si="11"/>
        <v>0</v>
      </c>
      <c r="I228" s="132">
        <f t="shared" si="12"/>
        <v>200000490</v>
      </c>
      <c r="J228" s="64">
        <f>RANK(I228,$I$227:$I$230,0)</f>
        <v>2</v>
      </c>
      <c r="K228" s="132">
        <f>IF(AND(ISNUMBER('Apostas - Grupos'!ED7),ISNUMBER('Apostas - Grupos'!EE7)),1,0)+IF(AND(ISNUMBER('Apostas - Grupos'!EJ7),ISNUMBER('Apostas - Grupos'!EK7)),1,0)+IF(AND(ISNUMBER('Apostas - Grupos'!EN7),ISNUMBER('Apostas - Grupos'!EO7)),1,0)</f>
        <v>0</v>
      </c>
      <c r="L228" s="132">
        <f t="shared" si="13"/>
        <v>0</v>
      </c>
      <c r="M228" s="132">
        <v>10</v>
      </c>
    </row>
    <row r="229" spans="1:13">
      <c r="A229" s="131" t="s">
        <v>175</v>
      </c>
      <c r="B229" s="65" t="s">
        <v>179</v>
      </c>
      <c r="C229" s="132">
        <f>IF(AND(ISNUMBER('Apostas - Grupos'!EF7),ISNUMBER('Apostas - Grupos'!EG7)),IF('Apostas - Grupos'!EF7&gt;'Apostas - Grupos'!EG7,1,0),0)+IF(AND(ISNUMBER('Apostas - Grupos'!EH7),ISNUMBER('Apostas - Grupos'!EI7)),IF('Apostas - Grupos'!EI7&gt;'Apostas - Grupos'!EH7,1,0),0)+IF(AND(ISNUMBER('Apostas - Grupos'!EN7),ISNUMBER('Apostas - Grupos'!EO7)),IF('Apostas - Grupos'!EO7&gt;'Apostas - Grupos'!EN7,1,0),0)</f>
        <v>0</v>
      </c>
      <c r="D229" s="132">
        <f>IF(AND(ISNUMBER('Apostas - Grupos'!EF7),ISNUMBER('Apostas - Grupos'!EG7)),IF('Apostas - Grupos'!EF7='Apostas - Grupos'!EG7,1,0),0)+IF(AND(ISNUMBER('Apostas - Grupos'!EH7),ISNUMBER('Apostas - Grupos'!EI7)),IF('Apostas - Grupos'!EH7='Apostas - Grupos'!EI7,1,0),0)+IF(AND(ISNUMBER('Apostas - Grupos'!EN7),ISNUMBER('Apostas - Grupos'!EO7)),IF('Apostas - Grupos'!EN7='Apostas - Grupos'!EO7,1,0),0)</f>
        <v>0</v>
      </c>
      <c r="E229" s="132">
        <f>IF(ISNUMBER('Apostas - Grupos'!EF7),'Apostas - Grupos'!EF7,0)+IF(ISNUMBER('Apostas - Grupos'!EH7),'Apostas - Grupos'!EI7,0)+IF(ISNUMBER('Apostas - Grupos'!EN7),'Apostas - Grupos'!EO7,0)</f>
        <v>0</v>
      </c>
      <c r="F229" s="132">
        <f>IF(ISNUMBER('Apostas - Grupos'!EF7),'Apostas - Grupos'!EG7,0)+IF(ISNUMBER('Apostas - Grupos'!EH7),'Apostas - Grupos'!EH7,0)+IF(ISNUMBER('Apostas - Grupos'!EN7),'Apostas - Grupos'!EN7,0)</f>
        <v>0</v>
      </c>
      <c r="G229" s="132">
        <f t="shared" si="10"/>
        <v>0</v>
      </c>
      <c r="H229" s="64">
        <f t="shared" si="11"/>
        <v>0</v>
      </c>
      <c r="I229" s="132">
        <f t="shared" si="12"/>
        <v>200000448</v>
      </c>
      <c r="J229" s="64">
        <f>RANK(I229,$I$227:$I$230,0)</f>
        <v>3</v>
      </c>
      <c r="K229" s="132">
        <f>IF(AND(ISNUMBER('Apostas - Grupos'!EF7),ISNUMBER('Apostas - Grupos'!EG7)),1,0)+IF(AND(ISNUMBER('Apostas - Grupos'!EH7),ISNUMBER('Apostas - Grupos'!EI7)),1,0)+IF(AND(ISNUMBER('Apostas - Grupos'!EN7),ISNUMBER('Apostas - Grupos'!EO7)),1,0)</f>
        <v>0</v>
      </c>
      <c r="L229" s="132">
        <f t="shared" si="13"/>
        <v>0</v>
      </c>
      <c r="M229" s="132">
        <v>52</v>
      </c>
    </row>
    <row r="230" spans="1:13">
      <c r="A230" s="131" t="s">
        <v>175</v>
      </c>
      <c r="B230" s="65" t="s">
        <v>180</v>
      </c>
      <c r="C230" s="132">
        <f>IF(AND(ISNUMBER('Apostas - Grupos'!EF7),ISNUMBER('Apostas - Grupos'!EG7)),IF('Apostas - Grupos'!EG7&gt;'Apostas - Grupos'!EF7,1,0),0)+IF(AND(ISNUMBER('Apostas - Grupos'!EJ7),ISNUMBER('Apostas - Grupos'!EK7)),IF('Apostas - Grupos'!EJ7&gt;'Apostas - Grupos'!EK7,1,0),0)+IF(AND(ISNUMBER('Apostas - Grupos'!EL7),ISNUMBER('Apostas - Grupos'!EM7)),IF('Apostas - Grupos'!EL7&gt;'Apostas - Grupos'!EM7,1,0),0)</f>
        <v>0</v>
      </c>
      <c r="D230" s="132">
        <f>IF(AND(ISNUMBER('Apostas - Grupos'!EF7),ISNUMBER('Apostas - Grupos'!EG7)),IF('Apostas - Grupos'!EF7='Apostas - Grupos'!EG7,1,0),0)+IF(AND(ISNUMBER('Apostas - Grupos'!EJ7),ISNUMBER('Apostas - Grupos'!EK7)),IF('Apostas - Grupos'!EJ7='Apostas - Grupos'!EK7,1,0),0)+IF(AND(ISNUMBER('Apostas - Grupos'!EL7),ISNUMBER('Apostas - Grupos'!EM7)),IF('Apostas - Grupos'!EL7='Apostas - Grupos'!EM7,1,0),0)</f>
        <v>0</v>
      </c>
      <c r="E230" s="132">
        <f>IF(ISNUMBER('Apostas - Grupos'!EF7),'Apostas - Grupos'!EG7,0)+IF(ISNUMBER('Apostas - Grupos'!EJ7),'Apostas - Grupos'!EJ7,0)+IF(ISNUMBER('Apostas - Grupos'!EL7),'Apostas - Grupos'!EL7,0)</f>
        <v>0</v>
      </c>
      <c r="F230" s="132">
        <f>IF(ISNUMBER('Apostas - Grupos'!EF7),'Apostas - Grupos'!EF7,0)+IF(ISNUMBER('Apostas - Grupos'!EJ7),'Apostas - Grupos'!EK7,0)+IF(ISNUMBER('Apostas - Grupos'!EL7),'Apostas - Grupos'!EM7,0)</f>
        <v>0</v>
      </c>
      <c r="G230" s="132">
        <f t="shared" si="10"/>
        <v>0</v>
      </c>
      <c r="H230" s="64">
        <f t="shared" si="11"/>
        <v>0</v>
      </c>
      <c r="I230" s="132">
        <f t="shared" si="12"/>
        <v>200000428</v>
      </c>
      <c r="J230" s="64">
        <f>RANK(I230,$I$227:$I$230,0)</f>
        <v>4</v>
      </c>
      <c r="K230" s="132">
        <f>IF(AND(ISNUMBER('Apostas - Grupos'!EF7),ISNUMBER('Apostas - Grupos'!EG7)),1,0)+IF(AND(ISNUMBER('Apostas - Grupos'!EJ7),ISNUMBER('Apostas - Grupos'!EK7)),1,0)+IF(AND(ISNUMBER('Apostas - Grupos'!EL7),ISNUMBER('Apostas - Grupos'!EM7)),1,0)</f>
        <v>0</v>
      </c>
      <c r="L230" s="132">
        <f t="shared" si="13"/>
        <v>0</v>
      </c>
      <c r="M230" s="132">
        <v>72</v>
      </c>
    </row>
    <row r="233" spans="1:13">
      <c r="A233" s="134" t="s">
        <v>54</v>
      </c>
      <c r="B233" s="135" t="str">
        <f>IFERROR(INDEX($B$183:$B$186,MATCH(1,$J$183:$J$186,0)),"?")</f>
        <v>Mexico</v>
      </c>
      <c r="C233" s="135" t="str">
        <f>IFERROR(INDEX($B$183:$B$186,MATCH(2,$J$183:$J$186,0)),"?")</f>
        <v>Coreia do Sul</v>
      </c>
      <c r="D233" s="135" t="str">
        <f>IFERROR(INDEX($B$183:$B$186,MATCH(3,$J$183:$J$186,0)),"?")</f>
        <v>Tchequia</v>
      </c>
      <c r="E233" s="135" t="str">
        <f>IFERROR(INDEX($B$183:$B$186,MATCH(4,$J$183:$J$186,0)),"?")</f>
        <v>Africa do Sul</v>
      </c>
    </row>
    <row r="234" spans="1:13">
      <c r="A234" s="136" t="s">
        <v>65</v>
      </c>
      <c r="B234" s="135" t="str">
        <f>IFERROR(INDEX($B$187:$B$190,MATCH(1,$J$187:$J$190,0)),"?")</f>
        <v>Suica</v>
      </c>
      <c r="C234" s="135" t="str">
        <f>IFERROR(INDEX($B$187:$B$190,MATCH(2,$J$187:$J$190,0)),"?")</f>
        <v>Qatar</v>
      </c>
      <c r="D234" s="135" t="str">
        <f>IFERROR(INDEX($B$187:$B$190,MATCH(3,$J$187:$J$190,0)),"?")</f>
        <v>Canada</v>
      </c>
      <c r="E234" s="135" t="str">
        <f>IFERROR(INDEX($B$187:$B$190,MATCH(4,$J$187:$J$190,0)),"?")</f>
        <v>Bosnia e Herzegovina</v>
      </c>
    </row>
    <row r="235" spans="1:13">
      <c r="A235" s="137" t="s">
        <v>76</v>
      </c>
      <c r="B235" s="135" t="str">
        <f>IFERROR(INDEX($B$191:$B$194,MATCH(1,$J$191:$J$194,0)),"?")</f>
        <v>Brasil</v>
      </c>
      <c r="C235" s="135" t="str">
        <f>IFERROR(INDEX($B$191:$B$194,MATCH(2,$J$191:$J$194,0)),"?")</f>
        <v>Marrocos</v>
      </c>
      <c r="D235" s="135" t="str">
        <f>IFERROR(INDEX($B$191:$B$194,MATCH(3,$J$191:$J$194,0)),"?")</f>
        <v>Escocia</v>
      </c>
      <c r="E235" s="135" t="str">
        <f>IFERROR(INDEX($B$191:$B$194,MATCH(4,$J$191:$J$194,0)),"?")</f>
        <v>Haiti</v>
      </c>
    </row>
    <row r="236" spans="1:13">
      <c r="A236" s="138" t="s">
        <v>87</v>
      </c>
      <c r="B236" s="135" t="str">
        <f>IFERROR(INDEX($B$195:$B$198,MATCH(1,$J$195:$J$198,0)),"?")</f>
        <v>Estados Unidos</v>
      </c>
      <c r="C236" s="135" t="str">
        <f>IFERROR(INDEX($B$195:$B$198,MATCH(2,$J$195:$J$198,0)),"?")</f>
        <v>Australia</v>
      </c>
      <c r="D236" s="135" t="str">
        <f>IFERROR(INDEX($B$195:$B$198,MATCH(3,$J$195:$J$198,0)),"?")</f>
        <v>Turquia</v>
      </c>
      <c r="E236" s="135" t="str">
        <f>IFERROR(INDEX($B$195:$B$198,MATCH(4,$J$195:$J$198,0)),"?")</f>
        <v>Paraguai</v>
      </c>
    </row>
    <row r="237" spans="1:13">
      <c r="A237" s="139" t="s">
        <v>98</v>
      </c>
      <c r="B237" s="135" t="str">
        <f>IFERROR(INDEX($B$199:$B$202,MATCH(1,$J$199:$J$202,0)),"?")</f>
        <v>Alemanha</v>
      </c>
      <c r="C237" s="135" t="str">
        <f>IFERROR(INDEX($B$199:$B$202,MATCH(2,$J$199:$J$202,0)),"?")</f>
        <v>Equador</v>
      </c>
      <c r="D237" s="135" t="str">
        <f>IFERROR(INDEX($B$199:$B$202,MATCH(3,$J$199:$J$202,0)),"?")</f>
        <v>Costa do Marfim</v>
      </c>
      <c r="E237" s="135" t="str">
        <f>IFERROR(INDEX($B$199:$B$202,MATCH(4,$J$199:$J$202,0)),"?")</f>
        <v>Curacao</v>
      </c>
    </row>
    <row r="238" spans="1:13">
      <c r="A238" s="140" t="s">
        <v>109</v>
      </c>
      <c r="B238" s="135" t="str">
        <f>IFERROR(INDEX($B$203:$B$206,MATCH(1,$J$203:$J$206,0)),"?")</f>
        <v>Holanda</v>
      </c>
      <c r="C238" s="135" t="str">
        <f>IFERROR(INDEX($B$203:$B$206,MATCH(2,$J$203:$J$206,0)),"?")</f>
        <v>Japao</v>
      </c>
      <c r="D238" s="135" t="str">
        <f>IFERROR(INDEX($B$203:$B$206,MATCH(3,$J$203:$J$206,0)),"?")</f>
        <v>Suecia</v>
      </c>
      <c r="E238" s="135" t="str">
        <f>IFERROR(INDEX($B$203:$B$206,MATCH(4,$J$203:$J$206,0)),"?")</f>
        <v>Tunisia</v>
      </c>
    </row>
    <row r="239" spans="1:13">
      <c r="A239" s="141" t="s">
        <v>120</v>
      </c>
      <c r="B239" s="135" t="str">
        <f>IFERROR(INDEX($B$207:$B$210,MATCH(1,$J$207:$J$210,0)),"?")</f>
        <v>Belgica</v>
      </c>
      <c r="C239" s="135" t="str">
        <f>IFERROR(INDEX($B$207:$B$210,MATCH(2,$J$207:$J$210,0)),"?")</f>
        <v>Ira</v>
      </c>
      <c r="D239" s="135" t="str">
        <f>IFERROR(INDEX($B$207:$B$210,MATCH(3,$J$207:$J$210,0)),"?")</f>
        <v>Egito</v>
      </c>
      <c r="E239" s="135" t="str">
        <f>IFERROR(INDEX($B$207:$B$210,MATCH(4,$J$207:$J$210,0)),"?")</f>
        <v>Nova Zelandia</v>
      </c>
    </row>
    <row r="240" spans="1:13">
      <c r="A240" s="142" t="s">
        <v>131</v>
      </c>
      <c r="B240" s="135" t="str">
        <f>IFERROR(INDEX($B$211:$B$214,MATCH(1,$J$211:$J$214,0)),"?")</f>
        <v>Espanha</v>
      </c>
      <c r="C240" s="135" t="str">
        <f>IFERROR(INDEX($B$211:$B$214,MATCH(2,$J$211:$J$214,0)),"?")</f>
        <v>Uruguai</v>
      </c>
      <c r="D240" s="135" t="str">
        <f>IFERROR(INDEX($B$211:$B$214,MATCH(3,$J$211:$J$214,0)),"?")</f>
        <v>Arabia Saudita</v>
      </c>
      <c r="E240" s="135" t="str">
        <f>IFERROR(INDEX($B$211:$B$214,MATCH(4,$J$211:$J$214,0)),"?")</f>
        <v>Cabo Verde</v>
      </c>
    </row>
    <row r="241" spans="1:5">
      <c r="A241" s="143" t="s">
        <v>142</v>
      </c>
      <c r="B241" s="135" t="str">
        <f>IFERROR(INDEX($B$215:$B$218,MATCH(1,$J$215:$J$218,0)),"?")</f>
        <v>Franca</v>
      </c>
      <c r="C241" s="135" t="str">
        <f>IFERROR(INDEX($B$215:$B$218,MATCH(2,$J$215:$J$218,0)),"?")</f>
        <v>Senegal</v>
      </c>
      <c r="D241" s="135" t="str">
        <f>IFERROR(INDEX($B$215:$B$218,MATCH(3,$J$215:$J$218,0)),"?")</f>
        <v>Noruega</v>
      </c>
      <c r="E241" s="135" t="str">
        <f>IFERROR(INDEX($B$215:$B$218,MATCH(4,$J$215:$J$218,0)),"?")</f>
        <v>Iraque</v>
      </c>
    </row>
    <row r="242" spans="1:5">
      <c r="A242" s="144" t="s">
        <v>153</v>
      </c>
      <c r="B242" s="135" t="str">
        <f>IFERROR(INDEX($B$219:$B$222,MATCH(1,$J$219:$J$222,0)),"?")</f>
        <v>Argentina</v>
      </c>
      <c r="C242" s="135" t="str">
        <f>IFERROR(INDEX($B$219:$B$222,MATCH(2,$J$219:$J$222,0)),"?")</f>
        <v>Austria</v>
      </c>
      <c r="D242" s="135" t="str">
        <f>IFERROR(INDEX($B$219:$B$222,MATCH(3,$J$219:$J$222,0)),"?")</f>
        <v>Argelia</v>
      </c>
      <c r="E242" s="135" t="str">
        <f>IFERROR(INDEX($B$219:$B$222,MATCH(4,$J$219:$J$222,0)),"?")</f>
        <v>Jordania</v>
      </c>
    </row>
    <row r="243" spans="1:5">
      <c r="A243" s="145" t="s">
        <v>164</v>
      </c>
      <c r="B243" s="135" t="str">
        <f>IFERROR(INDEX($B$223:$B$226,MATCH(1,$J$223:$J$226,0)),"?")</f>
        <v>Portugal</v>
      </c>
      <c r="C243" s="135" t="str">
        <f>IFERROR(INDEX($B$223:$B$226,MATCH(2,$J$223:$J$226,0)),"?")</f>
        <v>Colombia</v>
      </c>
      <c r="D243" s="135" t="str">
        <f>IFERROR(INDEX($B$223:$B$226,MATCH(3,$J$223:$J$226,0)),"?")</f>
        <v>RD Congo</v>
      </c>
      <c r="E243" s="135" t="str">
        <f>IFERROR(INDEX($B$223:$B$226,MATCH(4,$J$223:$J$226,0)),"?")</f>
        <v>Uzbequistao</v>
      </c>
    </row>
    <row r="244" spans="1:5">
      <c r="A244" s="146" t="s">
        <v>175</v>
      </c>
      <c r="B244" s="135" t="str">
        <f>IFERROR(INDEX($B$227:$B$230,MATCH(1,$J$227:$J$230,0)),"?")</f>
        <v>Inglaterra</v>
      </c>
      <c r="C244" s="135" t="str">
        <f>IFERROR(INDEX($B$227:$B$230,MATCH(2,$J$227:$J$230,0)),"?")</f>
        <v>Croacia</v>
      </c>
      <c r="D244" s="135" t="str">
        <f>IFERROR(INDEX($B$227:$B$230,MATCH(3,$J$227:$J$230,0)),"?")</f>
        <v>Gana</v>
      </c>
      <c r="E244" s="135" t="str">
        <f>IFERROR(INDEX($B$227:$B$230,MATCH(4,$J$227:$J$230,0)),"?")</f>
        <v>Panama</v>
      </c>
    </row>
    <row r="246" spans="1:5">
      <c r="A246" s="148" t="s">
        <v>54</v>
      </c>
      <c r="B246" s="149" t="str">
        <f>IFERROR(INDEX($B$183:$B$186,MATCH(3,$J$183:$J$186,0)),"?")</f>
        <v>Tchequia</v>
      </c>
      <c r="C246" s="149">
        <f>IFERROR(INDEX($I$183:$I$186,MATCH(3,$J$183:$J$186,0)),0)</f>
        <v>200000462</v>
      </c>
      <c r="D246" s="150">
        <f t="shared" ref="D246:D257" si="14">RANK(C246,$C$246:$C$257,0)</f>
        <v>7</v>
      </c>
    </row>
    <row r="247" spans="1:5">
      <c r="A247" s="151" t="s">
        <v>65</v>
      </c>
      <c r="B247" s="149" t="str">
        <f>IFERROR(INDEX($B$187:$B$190,MATCH(3,$J$187:$J$190,0)),"?")</f>
        <v>Canada</v>
      </c>
      <c r="C247" s="149">
        <f>IFERROR(INDEX($I$187:$I$190,MATCH(3,$J$187:$J$190,0)),0)</f>
        <v>200000456</v>
      </c>
      <c r="D247" s="150">
        <f t="shared" si="14"/>
        <v>9</v>
      </c>
    </row>
    <row r="248" spans="1:5">
      <c r="A248" s="152" t="s">
        <v>76</v>
      </c>
      <c r="B248" s="149" t="str">
        <f>IFERROR(INDEX($B$191:$B$194,MATCH(3,$J$191:$J$194,0)),"?")</f>
        <v>Escocia</v>
      </c>
      <c r="C248" s="149">
        <f>IFERROR(INDEX($I$191:$I$194,MATCH(3,$J$191:$J$194,0)),0)</f>
        <v>200000473</v>
      </c>
      <c r="D248" s="150">
        <f t="shared" si="14"/>
        <v>2</v>
      </c>
    </row>
    <row r="249" spans="1:5">
      <c r="A249" s="153" t="s">
        <v>87</v>
      </c>
      <c r="B249" s="149" t="str">
        <f>IFERROR(INDEX($B$195:$B$198,MATCH(3,$J$195:$J$198,0)),"?")</f>
        <v>Turquia</v>
      </c>
      <c r="C249" s="149">
        <f>IFERROR(INDEX($I$195:$I$198,MATCH(3,$J$195:$J$198,0)),0)</f>
        <v>200000464</v>
      </c>
      <c r="D249" s="150">
        <f t="shared" si="14"/>
        <v>5</v>
      </c>
    </row>
    <row r="250" spans="1:5">
      <c r="A250" s="154" t="s">
        <v>98</v>
      </c>
      <c r="B250" s="149" t="str">
        <f>IFERROR(INDEX($B$199:$B$202,MATCH(3,$J$199:$J$202,0)),"?")</f>
        <v>Costa do Marfim</v>
      </c>
      <c r="C250" s="149">
        <f>IFERROR(INDEX($I$199:$I$202,MATCH(3,$J$199:$J$202,0)),0)</f>
        <v>200000459</v>
      </c>
      <c r="D250" s="150">
        <f t="shared" si="14"/>
        <v>8</v>
      </c>
    </row>
    <row r="251" spans="1:5">
      <c r="A251" s="155" t="s">
        <v>109</v>
      </c>
      <c r="B251" s="149" t="str">
        <f>IFERROR(INDEX($B$203:$B$206,MATCH(3,$J$203:$J$206,0)),"?")</f>
        <v>Suecia</v>
      </c>
      <c r="C251" s="149">
        <f>IFERROR(INDEX($I$203:$I$206,MATCH(3,$J$203:$J$206,0)),0)</f>
        <v>200000474</v>
      </c>
      <c r="D251" s="150">
        <f t="shared" si="14"/>
        <v>1</v>
      </c>
    </row>
    <row r="252" spans="1:5">
      <c r="A252" s="156" t="s">
        <v>120</v>
      </c>
      <c r="B252" s="149" t="str">
        <f>IFERROR(INDEX($B$207:$B$210,MATCH(3,$J$207:$J$210,0)),"?")</f>
        <v>Egito</v>
      </c>
      <c r="C252" s="149">
        <f>IFERROR(INDEX($I$207:$I$210,MATCH(3,$J$207:$J$210,0)),0)</f>
        <v>200000464</v>
      </c>
      <c r="D252" s="150">
        <f t="shared" si="14"/>
        <v>5</v>
      </c>
    </row>
    <row r="253" spans="1:5">
      <c r="A253" s="157" t="s">
        <v>131</v>
      </c>
      <c r="B253" s="149" t="str">
        <f>IFERROR(INDEX($B$211:$B$214,MATCH(3,$J$211:$J$214,0)),"?")</f>
        <v>Arabia Saudita</v>
      </c>
      <c r="C253" s="149">
        <f>IFERROR(INDEX($I$211:$I$214,MATCH(3,$J$211:$J$214,0)),0)</f>
        <v>200000443</v>
      </c>
      <c r="D253" s="150">
        <f t="shared" si="14"/>
        <v>11</v>
      </c>
    </row>
    <row r="254" spans="1:5">
      <c r="A254" s="158" t="s">
        <v>142</v>
      </c>
      <c r="B254" s="149" t="str">
        <f>IFERROR(INDEX($B$215:$B$218,MATCH(3,$J$215:$J$218,0)),"?")</f>
        <v>Noruega</v>
      </c>
      <c r="C254" s="149">
        <f>IFERROR(INDEX($I$215:$I$218,MATCH(3,$J$215:$J$218,0)),0)</f>
        <v>200000472</v>
      </c>
      <c r="D254" s="150">
        <f t="shared" si="14"/>
        <v>3</v>
      </c>
    </row>
    <row r="255" spans="1:5">
      <c r="A255" s="159" t="s">
        <v>153</v>
      </c>
      <c r="B255" s="149" t="str">
        <f>IFERROR(INDEX($B$219:$B$222,MATCH(3,$J$219:$J$222,0)),"?")</f>
        <v>Argelia</v>
      </c>
      <c r="C255" s="149">
        <f>IFERROR(INDEX($I$219:$I$222,MATCH(3,$J$219:$J$222,0)),0)</f>
        <v>200000468</v>
      </c>
      <c r="D255" s="150">
        <f t="shared" si="14"/>
        <v>4</v>
      </c>
    </row>
    <row r="256" spans="1:5">
      <c r="A256" s="160" t="s">
        <v>164</v>
      </c>
      <c r="B256" s="149" t="str">
        <f>IFERROR(INDEX($B$223:$B$226,MATCH(3,$J$223:$J$226,0)),"?")</f>
        <v>RD Congo</v>
      </c>
      <c r="C256" s="149">
        <f>IFERROR(INDEX($I$223:$I$226,MATCH(3,$J$223:$J$226,0)),0)</f>
        <v>200000443</v>
      </c>
      <c r="D256" s="150">
        <f t="shared" si="14"/>
        <v>11</v>
      </c>
    </row>
    <row r="257" spans="1:4">
      <c r="A257" s="161" t="s">
        <v>175</v>
      </c>
      <c r="B257" s="149" t="str">
        <f>IFERROR(INDEX($B$227:$B$230,MATCH(3,$J$227:$J$230,0)),"?")</f>
        <v>Gana</v>
      </c>
      <c r="C257" s="149">
        <f>IFERROR(INDEX($I$227:$I$230,MATCH(3,$J$227:$J$230,0)),0)</f>
        <v>200000448</v>
      </c>
      <c r="D257" s="150">
        <f t="shared" si="14"/>
        <v>10</v>
      </c>
    </row>
    <row r="259" spans="1:4">
      <c r="A259" s="163">
        <v>1</v>
      </c>
      <c r="B259" s="164" t="str">
        <f>IFERROR(INDEX($B$246:$B$257,MATCH(1,$D$246:$D$257,0)),"?")</f>
        <v>Suecia</v>
      </c>
    </row>
    <row r="260" spans="1:4">
      <c r="A260" s="163">
        <v>2</v>
      </c>
      <c r="B260" s="164" t="str">
        <f>IFERROR(INDEX($B$246:$B$257,MATCH(2,$D$246:$D$257,0)),"?")</f>
        <v>Escocia</v>
      </c>
    </row>
    <row r="261" spans="1:4">
      <c r="A261" s="163">
        <v>3</v>
      </c>
      <c r="B261" s="164" t="str">
        <f>IFERROR(INDEX($B$246:$B$257,MATCH(3,$D$246:$D$257,0)),"?")</f>
        <v>Noruega</v>
      </c>
    </row>
    <row r="262" spans="1:4">
      <c r="A262" s="163">
        <v>4</v>
      </c>
      <c r="B262" s="164" t="str">
        <f>IFERROR(INDEX($B$246:$B$257,MATCH(4,$D$246:$D$257,0)),"?")</f>
        <v>Argelia</v>
      </c>
    </row>
    <row r="263" spans="1:4">
      <c r="A263" s="163">
        <v>5</v>
      </c>
      <c r="B263" s="164" t="str">
        <f>IFERROR(INDEX($B$246:$B$257,MATCH(5,$D$246:$D$257,0)),"?")</f>
        <v>Turquia</v>
      </c>
    </row>
    <row r="264" spans="1:4">
      <c r="A264" s="163">
        <v>6</v>
      </c>
      <c r="B264" s="164" t="str">
        <f>IFERROR(INDEX($B$246:$B$257,MATCH(6,$D$246:$D$257,0)),"?")</f>
        <v>?</v>
      </c>
    </row>
    <row r="265" spans="1:4">
      <c r="A265" s="163">
        <v>7</v>
      </c>
      <c r="B265" s="164" t="str">
        <f>IFERROR(INDEX($B$246:$B$257,MATCH(7,$D$246:$D$257,0)),"?")</f>
        <v>Tchequia</v>
      </c>
    </row>
    <row r="266" spans="1:4">
      <c r="A266" s="163">
        <v>8</v>
      </c>
      <c r="B266" s="164" t="str">
        <f>IFERROR(INDEX($B$246:$B$257,MATCH(8,$D$246:$D$257,0)),"?")</f>
        <v>Costa do Marfim</v>
      </c>
    </row>
    <row r="268" spans="1:4">
      <c r="A268" s="165" t="s">
        <v>434</v>
      </c>
      <c r="B268" s="166" t="str">
        <f>IF(D246&lt;=8,"A","")&amp;IF(D247&lt;=8,"B","")&amp;IF(D248&lt;=8,"C","")&amp;IF(D249&lt;=8,"D","")&amp;IF(D250&lt;=8,"E","")&amp;IF(D251&lt;=8,"F","")&amp;IF(D252&lt;=8,"G","")&amp;IF(D253&lt;=8,"H","")&amp;IF(D254&lt;=8,"I","")&amp;IF(D255&lt;=8,"J","")&amp;IF(D256&lt;=8,"K","")&amp;IF(D257&lt;=8,"L","")</f>
        <v>ACDEFGIJ</v>
      </c>
    </row>
    <row r="272" spans="1:4">
      <c r="A272" s="171" t="s">
        <v>955</v>
      </c>
    </row>
    <row r="273" spans="1:13">
      <c r="A273" s="109" t="s">
        <v>54</v>
      </c>
      <c r="B273" s="9" t="s">
        <v>55</v>
      </c>
      <c r="C273" s="110">
        <f>IF(AND(ISNUMBER('Apostas - Grupos'!B8),ISNUMBER('Apostas - Grupos'!C8)),IF('Apostas - Grupos'!B8&gt;'Apostas - Grupos'!C8,1,0),0)+IF(AND(ISNUMBER('Apostas - Grupos'!H8),ISNUMBER('Apostas - Grupos'!I8)),IF('Apostas - Grupos'!H8&gt;'Apostas - Grupos'!I8,1,0),0)+IF(AND(ISNUMBER('Apostas - Grupos'!J8),ISNUMBER('Apostas - Grupos'!K8)),IF('Apostas - Grupos'!K8&gt;'Apostas - Grupos'!J8,1,0),0)</f>
        <v>0</v>
      </c>
      <c r="D273" s="110">
        <f>IF(AND(ISNUMBER('Apostas - Grupos'!B8),ISNUMBER('Apostas - Grupos'!C8)),IF('Apostas - Grupos'!B8='Apostas - Grupos'!C8,1,0),0)+IF(AND(ISNUMBER('Apostas - Grupos'!H8),ISNUMBER('Apostas - Grupos'!I8)),IF('Apostas - Grupos'!H8='Apostas - Grupos'!I8,1,0),0)+IF(AND(ISNUMBER('Apostas - Grupos'!J8),ISNUMBER('Apostas - Grupos'!K8)),IF('Apostas - Grupos'!J8='Apostas - Grupos'!K8,1,0),0)</f>
        <v>0</v>
      </c>
      <c r="E273" s="110">
        <f>IF(ISNUMBER('Apostas - Grupos'!B8),'Apostas - Grupos'!B8,0)+IF(ISNUMBER('Apostas - Grupos'!H8),'Apostas - Grupos'!H8,0)+IF(ISNUMBER('Apostas - Grupos'!J8),'Apostas - Grupos'!K8,0)</f>
        <v>0</v>
      </c>
      <c r="F273" s="110">
        <f>IF(ISNUMBER('Apostas - Grupos'!B8),'Apostas - Grupos'!C8,0)+IF(ISNUMBER('Apostas - Grupos'!H8),'Apostas - Grupos'!I8,0)+IF(ISNUMBER('Apostas - Grupos'!J8),'Apostas - Grupos'!J8,0)</f>
        <v>0</v>
      </c>
      <c r="G273" s="110">
        <f t="shared" ref="G273:G320" si="15">E273-F273</f>
        <v>0</v>
      </c>
      <c r="H273" s="8">
        <f t="shared" ref="H273:H320" si="16">3*C273+D273</f>
        <v>0</v>
      </c>
      <c r="I273" s="110">
        <f t="shared" ref="I273:I320" si="17">H273*1000000000+(G273+200)*1000000+E273*1000+(500-M273)</f>
        <v>200000484</v>
      </c>
      <c r="J273" s="8">
        <f>RANK(I273,$I$273:$I$276,0)</f>
        <v>1</v>
      </c>
      <c r="K273" s="110">
        <f>IF(AND(ISNUMBER('Apostas - Grupos'!B8),ISNUMBER('Apostas - Grupos'!C8)),1,0)+IF(AND(ISNUMBER('Apostas - Grupos'!H8),ISNUMBER('Apostas - Grupos'!I8)),1,0)+IF(AND(ISNUMBER('Apostas - Grupos'!J8),ISNUMBER('Apostas - Grupos'!K8)),1,0)</f>
        <v>0</v>
      </c>
      <c r="L273" s="110">
        <f t="shared" ref="L273:L320" si="18">K273-C273-D273</f>
        <v>0</v>
      </c>
      <c r="M273" s="110">
        <v>16</v>
      </c>
    </row>
    <row r="274" spans="1:13">
      <c r="A274" s="109" t="s">
        <v>54</v>
      </c>
      <c r="B274" s="9" t="s">
        <v>56</v>
      </c>
      <c r="C274" s="110">
        <f>IF(AND(ISNUMBER('Apostas - Grupos'!B8),ISNUMBER('Apostas - Grupos'!C8)),IF('Apostas - Grupos'!C8&gt;'Apostas - Grupos'!B8,1,0),0)+IF(AND(ISNUMBER('Apostas - Grupos'!F8),ISNUMBER('Apostas - Grupos'!G8)),IF('Apostas - Grupos'!G8&gt;'Apostas - Grupos'!F8,1,0),0)+IF(AND(ISNUMBER('Apostas - Grupos'!L8),ISNUMBER('Apostas - Grupos'!M8)),IF('Apostas - Grupos'!L8&gt;'Apostas - Grupos'!M8,1,0),0)</f>
        <v>0</v>
      </c>
      <c r="D274" s="110">
        <f>IF(AND(ISNUMBER('Apostas - Grupos'!B8),ISNUMBER('Apostas - Grupos'!C8)),IF('Apostas - Grupos'!B8='Apostas - Grupos'!C8,1,0),0)+IF(AND(ISNUMBER('Apostas - Grupos'!F8),ISNUMBER('Apostas - Grupos'!G8)),IF('Apostas - Grupos'!F8='Apostas - Grupos'!G8,1,0),0)+IF(AND(ISNUMBER('Apostas - Grupos'!L8),ISNUMBER('Apostas - Grupos'!M8)),IF('Apostas - Grupos'!L8='Apostas - Grupos'!M8,1,0),0)</f>
        <v>0</v>
      </c>
      <c r="E274" s="110">
        <f>IF(ISNUMBER('Apostas - Grupos'!B8),'Apostas - Grupos'!C8,0)+IF(ISNUMBER('Apostas - Grupos'!F8),'Apostas - Grupos'!G8,0)+IF(ISNUMBER('Apostas - Grupos'!L8),'Apostas - Grupos'!L8,0)</f>
        <v>0</v>
      </c>
      <c r="F274" s="110">
        <f>IF(ISNUMBER('Apostas - Grupos'!B8),'Apostas - Grupos'!B8,0)+IF(ISNUMBER('Apostas - Grupos'!F8),'Apostas - Grupos'!F8,0)+IF(ISNUMBER('Apostas - Grupos'!L8),'Apostas - Grupos'!M8,0)</f>
        <v>0</v>
      </c>
      <c r="G274" s="110">
        <f t="shared" si="15"/>
        <v>0</v>
      </c>
      <c r="H274" s="8">
        <f t="shared" si="16"/>
        <v>0</v>
      </c>
      <c r="I274" s="110">
        <f t="shared" si="17"/>
        <v>200000437</v>
      </c>
      <c r="J274" s="8">
        <f>RANK(I274,$I$273:$I$276,0)</f>
        <v>4</v>
      </c>
      <c r="K274" s="110">
        <f>IF(AND(ISNUMBER('Apostas - Grupos'!B8),ISNUMBER('Apostas - Grupos'!C8)),1,0)+IF(AND(ISNUMBER('Apostas - Grupos'!F8),ISNUMBER('Apostas - Grupos'!G8)),1,0)+IF(AND(ISNUMBER('Apostas - Grupos'!L8),ISNUMBER('Apostas - Grupos'!M8)),1,0)</f>
        <v>0</v>
      </c>
      <c r="L274" s="110">
        <f t="shared" si="18"/>
        <v>0</v>
      </c>
      <c r="M274" s="110">
        <v>63</v>
      </c>
    </row>
    <row r="275" spans="1:13">
      <c r="A275" s="109" t="s">
        <v>54</v>
      </c>
      <c r="B275" s="9" t="s">
        <v>58</v>
      </c>
      <c r="C275" s="110">
        <f>IF(AND(ISNUMBER('Apostas - Grupos'!D8),ISNUMBER('Apostas - Grupos'!E8)),IF('Apostas - Grupos'!D8&gt;'Apostas - Grupos'!E8,1,0),0)+IF(AND(ISNUMBER('Apostas - Grupos'!H8),ISNUMBER('Apostas - Grupos'!I8)),IF('Apostas - Grupos'!I8&gt;'Apostas - Grupos'!H8,1,0),0)+IF(AND(ISNUMBER('Apostas - Grupos'!L8),ISNUMBER('Apostas - Grupos'!M8)),IF('Apostas - Grupos'!M8&gt;'Apostas - Grupos'!L8,1,0),0)</f>
        <v>0</v>
      </c>
      <c r="D275" s="110">
        <f>IF(AND(ISNUMBER('Apostas - Grupos'!D8),ISNUMBER('Apostas - Grupos'!E8)),IF('Apostas - Grupos'!D8='Apostas - Grupos'!E8,1,0),0)+IF(AND(ISNUMBER('Apostas - Grupos'!H8),ISNUMBER('Apostas - Grupos'!I8)),IF('Apostas - Grupos'!H8='Apostas - Grupos'!I8,1,0),0)+IF(AND(ISNUMBER('Apostas - Grupos'!L8),ISNUMBER('Apostas - Grupos'!M8)),IF('Apostas - Grupos'!L8='Apostas - Grupos'!M8,1,0),0)</f>
        <v>0</v>
      </c>
      <c r="E275" s="110">
        <f>IF(ISNUMBER('Apostas - Grupos'!D8),'Apostas - Grupos'!D8,0)+IF(ISNUMBER('Apostas - Grupos'!H8),'Apostas - Grupos'!I8,0)+IF(ISNUMBER('Apostas - Grupos'!L8),'Apostas - Grupos'!M8,0)</f>
        <v>0</v>
      </c>
      <c r="F275" s="110">
        <f>IF(ISNUMBER('Apostas - Grupos'!D8),'Apostas - Grupos'!E8,0)+IF(ISNUMBER('Apostas - Grupos'!H8),'Apostas - Grupos'!H8,0)+IF(ISNUMBER('Apostas - Grupos'!L8),'Apostas - Grupos'!L8,0)</f>
        <v>0</v>
      </c>
      <c r="G275" s="110">
        <f t="shared" si="15"/>
        <v>0</v>
      </c>
      <c r="H275" s="8">
        <f t="shared" si="16"/>
        <v>0</v>
      </c>
      <c r="I275" s="110">
        <f t="shared" si="17"/>
        <v>200000477</v>
      </c>
      <c r="J275" s="8">
        <f>RANK(I275,$I$273:$I$276,0)</f>
        <v>2</v>
      </c>
      <c r="K275" s="110">
        <f>IF(AND(ISNUMBER('Apostas - Grupos'!D8),ISNUMBER('Apostas - Grupos'!E8)),1,0)+IF(AND(ISNUMBER('Apostas - Grupos'!H8),ISNUMBER('Apostas - Grupos'!I8)),1,0)+IF(AND(ISNUMBER('Apostas - Grupos'!L8),ISNUMBER('Apostas - Grupos'!M8)),1,0)</f>
        <v>0</v>
      </c>
      <c r="L275" s="110">
        <f t="shared" si="18"/>
        <v>0</v>
      </c>
      <c r="M275" s="110">
        <v>23</v>
      </c>
    </row>
    <row r="276" spans="1:13">
      <c r="A276" s="109" t="s">
        <v>54</v>
      </c>
      <c r="B276" s="9" t="s">
        <v>59</v>
      </c>
      <c r="C276" s="110">
        <f>IF(AND(ISNUMBER('Apostas - Grupos'!D8),ISNUMBER('Apostas - Grupos'!E8)),IF('Apostas - Grupos'!E8&gt;'Apostas - Grupos'!D8,1,0),0)+IF(AND(ISNUMBER('Apostas - Grupos'!F8),ISNUMBER('Apostas - Grupos'!G8)),IF('Apostas - Grupos'!F8&gt;'Apostas - Grupos'!G8,1,0),0)+IF(AND(ISNUMBER('Apostas - Grupos'!J8),ISNUMBER('Apostas - Grupos'!K8)),IF('Apostas - Grupos'!J8&gt;'Apostas - Grupos'!K8,1,0),0)</f>
        <v>0</v>
      </c>
      <c r="D276" s="110">
        <f>IF(AND(ISNUMBER('Apostas - Grupos'!D8),ISNUMBER('Apostas - Grupos'!E8)),IF('Apostas - Grupos'!D8='Apostas - Grupos'!E8,1,0),0)+IF(AND(ISNUMBER('Apostas - Grupos'!F8),ISNUMBER('Apostas - Grupos'!G8)),IF('Apostas - Grupos'!F8='Apostas - Grupos'!G8,1,0),0)+IF(AND(ISNUMBER('Apostas - Grupos'!J8),ISNUMBER('Apostas - Grupos'!K8)),IF('Apostas - Grupos'!J8='Apostas - Grupos'!K8,1,0),0)</f>
        <v>0</v>
      </c>
      <c r="E276" s="110">
        <f>IF(ISNUMBER('Apostas - Grupos'!D8),'Apostas - Grupos'!E8,0)+IF(ISNUMBER('Apostas - Grupos'!F8),'Apostas - Grupos'!F8,0)+IF(ISNUMBER('Apostas - Grupos'!J8),'Apostas - Grupos'!J8,0)</f>
        <v>0</v>
      </c>
      <c r="F276" s="110">
        <f>IF(ISNUMBER('Apostas - Grupos'!D8),'Apostas - Grupos'!D8,0)+IF(ISNUMBER('Apostas - Grupos'!F8),'Apostas - Grupos'!G8,0)+IF(ISNUMBER('Apostas - Grupos'!J8),'Apostas - Grupos'!K8,0)</f>
        <v>0</v>
      </c>
      <c r="G276" s="110">
        <f t="shared" si="15"/>
        <v>0</v>
      </c>
      <c r="H276" s="8">
        <f t="shared" si="16"/>
        <v>0</v>
      </c>
      <c r="I276" s="110">
        <f t="shared" si="17"/>
        <v>200000462</v>
      </c>
      <c r="J276" s="8">
        <f>RANK(I276,$I$273:$I$276,0)</f>
        <v>3</v>
      </c>
      <c r="K276" s="110">
        <f>IF(AND(ISNUMBER('Apostas - Grupos'!D8),ISNUMBER('Apostas - Grupos'!E8)),1,0)+IF(AND(ISNUMBER('Apostas - Grupos'!F8),ISNUMBER('Apostas - Grupos'!G8)),1,0)+IF(AND(ISNUMBER('Apostas - Grupos'!J8),ISNUMBER('Apostas - Grupos'!K8)),1,0)</f>
        <v>0</v>
      </c>
      <c r="L276" s="110">
        <f t="shared" si="18"/>
        <v>0</v>
      </c>
      <c r="M276" s="110">
        <v>38</v>
      </c>
    </row>
    <row r="277" spans="1:13">
      <c r="A277" s="111" t="s">
        <v>65</v>
      </c>
      <c r="B277" s="15" t="s">
        <v>66</v>
      </c>
      <c r="C277" s="112">
        <f>IF(AND(ISNUMBER('Apostas - Grupos'!N8),ISNUMBER('Apostas - Grupos'!O8)),IF('Apostas - Grupos'!N8&gt;'Apostas - Grupos'!O8,1,0),0)+IF(AND(ISNUMBER('Apostas - Grupos'!T8),ISNUMBER('Apostas - Grupos'!U8)),IF('Apostas - Grupos'!T8&gt;'Apostas - Grupos'!U8,1,0),0)+IF(AND(ISNUMBER('Apostas - Grupos'!V8),ISNUMBER('Apostas - Grupos'!W8)),IF('Apostas - Grupos'!W8&gt;'Apostas - Grupos'!V8,1,0),0)</f>
        <v>0</v>
      </c>
      <c r="D277" s="112">
        <f>IF(AND(ISNUMBER('Apostas - Grupos'!N8),ISNUMBER('Apostas - Grupos'!O8)),IF('Apostas - Grupos'!N8='Apostas - Grupos'!O8,1,0),0)+IF(AND(ISNUMBER('Apostas - Grupos'!T8),ISNUMBER('Apostas - Grupos'!U8)),IF('Apostas - Grupos'!T8='Apostas - Grupos'!U8,1,0),0)+IF(AND(ISNUMBER('Apostas - Grupos'!V8),ISNUMBER('Apostas - Grupos'!W8)),IF('Apostas - Grupos'!V8='Apostas - Grupos'!W8,1,0),0)</f>
        <v>0</v>
      </c>
      <c r="E277" s="112">
        <f>IF(ISNUMBER('Apostas - Grupos'!N8),'Apostas - Grupos'!N8,0)+IF(ISNUMBER('Apostas - Grupos'!T8),'Apostas - Grupos'!T8,0)+IF(ISNUMBER('Apostas - Grupos'!V8),'Apostas - Grupos'!W8,0)</f>
        <v>0</v>
      </c>
      <c r="F277" s="112">
        <f>IF(ISNUMBER('Apostas - Grupos'!N8),'Apostas - Grupos'!O8,0)+IF(ISNUMBER('Apostas - Grupos'!T8),'Apostas - Grupos'!U8,0)+IF(ISNUMBER('Apostas - Grupos'!V8),'Apostas - Grupos'!V8,0)</f>
        <v>0</v>
      </c>
      <c r="G277" s="112">
        <f t="shared" si="15"/>
        <v>0</v>
      </c>
      <c r="H277" s="14">
        <f t="shared" si="16"/>
        <v>0</v>
      </c>
      <c r="I277" s="112">
        <f t="shared" si="17"/>
        <v>200000456</v>
      </c>
      <c r="J277" s="14">
        <f>RANK(I277,$I$277:$I$280,0)</f>
        <v>3</v>
      </c>
      <c r="K277" s="112">
        <f>IF(AND(ISNUMBER('Apostas - Grupos'!N8),ISNUMBER('Apostas - Grupos'!O8)),1,0)+IF(AND(ISNUMBER('Apostas - Grupos'!T8),ISNUMBER('Apostas - Grupos'!U8)),1,0)+IF(AND(ISNUMBER('Apostas - Grupos'!V8),ISNUMBER('Apostas - Grupos'!W8)),1,0)</f>
        <v>0</v>
      </c>
      <c r="L277" s="112">
        <f t="shared" si="18"/>
        <v>0</v>
      </c>
      <c r="M277" s="112">
        <v>44</v>
      </c>
    </row>
    <row r="278" spans="1:13">
      <c r="A278" s="111" t="s">
        <v>65</v>
      </c>
      <c r="B278" s="15" t="s">
        <v>67</v>
      </c>
      <c r="C278" s="112">
        <f>IF(AND(ISNUMBER('Apostas - Grupos'!N8),ISNUMBER('Apostas - Grupos'!O8)),IF('Apostas - Grupos'!O8&gt;'Apostas - Grupos'!N8,1,0),0)+IF(AND(ISNUMBER('Apostas - Grupos'!R8),ISNUMBER('Apostas - Grupos'!S8)),IF('Apostas - Grupos'!S8&gt;'Apostas - Grupos'!R8,1,0),0)+IF(AND(ISNUMBER('Apostas - Grupos'!X8),ISNUMBER('Apostas - Grupos'!Y8)),IF('Apostas - Grupos'!X8&gt;'Apostas - Grupos'!Y8,1,0),0)</f>
        <v>0</v>
      </c>
      <c r="D278" s="112">
        <f>IF(AND(ISNUMBER('Apostas - Grupos'!N8),ISNUMBER('Apostas - Grupos'!O8)),IF('Apostas - Grupos'!N8='Apostas - Grupos'!O8,1,0),0)+IF(AND(ISNUMBER('Apostas - Grupos'!R8),ISNUMBER('Apostas - Grupos'!S8)),IF('Apostas - Grupos'!R8='Apostas - Grupos'!S8,1,0),0)+IF(AND(ISNUMBER('Apostas - Grupos'!X8),ISNUMBER('Apostas - Grupos'!Y8)),IF('Apostas - Grupos'!X8='Apostas - Grupos'!Y8,1,0),0)</f>
        <v>0</v>
      </c>
      <c r="E278" s="112">
        <f>IF(ISNUMBER('Apostas - Grupos'!N8),'Apostas - Grupos'!O8,0)+IF(ISNUMBER('Apostas - Grupos'!R8),'Apostas - Grupos'!S8,0)+IF(ISNUMBER('Apostas - Grupos'!X8),'Apostas - Grupos'!X8,0)</f>
        <v>0</v>
      </c>
      <c r="F278" s="112">
        <f>IF(ISNUMBER('Apostas - Grupos'!N8),'Apostas - Grupos'!N8,0)+IF(ISNUMBER('Apostas - Grupos'!R8),'Apostas - Grupos'!R8,0)+IF(ISNUMBER('Apostas - Grupos'!X8),'Apostas - Grupos'!Y8,0)</f>
        <v>0</v>
      </c>
      <c r="G278" s="112">
        <f t="shared" si="15"/>
        <v>0</v>
      </c>
      <c r="H278" s="14">
        <f t="shared" si="16"/>
        <v>0</v>
      </c>
      <c r="I278" s="112">
        <f t="shared" si="17"/>
        <v>200000445</v>
      </c>
      <c r="J278" s="14">
        <f>RANK(I278,$I$277:$I$280,0)</f>
        <v>4</v>
      </c>
      <c r="K278" s="112">
        <f>IF(AND(ISNUMBER('Apostas - Grupos'!N8),ISNUMBER('Apostas - Grupos'!O8)),1,0)+IF(AND(ISNUMBER('Apostas - Grupos'!R8),ISNUMBER('Apostas - Grupos'!S8)),1,0)+IF(AND(ISNUMBER('Apostas - Grupos'!X8),ISNUMBER('Apostas - Grupos'!Y8)),1,0)</f>
        <v>0</v>
      </c>
      <c r="L278" s="112">
        <f t="shared" si="18"/>
        <v>0</v>
      </c>
      <c r="M278" s="112">
        <v>55</v>
      </c>
    </row>
    <row r="279" spans="1:13">
      <c r="A279" s="111" t="s">
        <v>65</v>
      </c>
      <c r="B279" s="15" t="s">
        <v>69</v>
      </c>
      <c r="C279" s="112">
        <f>IF(AND(ISNUMBER('Apostas - Grupos'!P8),ISNUMBER('Apostas - Grupos'!Q8)),IF('Apostas - Grupos'!P8&gt;'Apostas - Grupos'!Q8,1,0),0)+IF(AND(ISNUMBER('Apostas - Grupos'!T8),ISNUMBER('Apostas - Grupos'!U8)),IF('Apostas - Grupos'!U8&gt;'Apostas - Grupos'!T8,1,0),0)+IF(AND(ISNUMBER('Apostas - Grupos'!X8),ISNUMBER('Apostas - Grupos'!Y8)),IF('Apostas - Grupos'!Y8&gt;'Apostas - Grupos'!X8,1,0),0)</f>
        <v>0</v>
      </c>
      <c r="D279" s="112">
        <f>IF(AND(ISNUMBER('Apostas - Grupos'!P8),ISNUMBER('Apostas - Grupos'!Q8)),IF('Apostas - Grupos'!P8='Apostas - Grupos'!Q8,1,0),0)+IF(AND(ISNUMBER('Apostas - Grupos'!T8),ISNUMBER('Apostas - Grupos'!U8)),IF('Apostas - Grupos'!T8='Apostas - Grupos'!U8,1,0),0)+IF(AND(ISNUMBER('Apostas - Grupos'!X8),ISNUMBER('Apostas - Grupos'!Y8)),IF('Apostas - Grupos'!X8='Apostas - Grupos'!Y8,1,0),0)</f>
        <v>0</v>
      </c>
      <c r="E279" s="112">
        <f>IF(ISNUMBER('Apostas - Grupos'!P8),'Apostas - Grupos'!P8,0)+IF(ISNUMBER('Apostas - Grupos'!T8),'Apostas - Grupos'!U8,0)+IF(ISNUMBER('Apostas - Grupos'!X8),'Apostas - Grupos'!Y8,0)</f>
        <v>0</v>
      </c>
      <c r="F279" s="112">
        <f>IF(ISNUMBER('Apostas - Grupos'!P8),'Apostas - Grupos'!Q8,0)+IF(ISNUMBER('Apostas - Grupos'!T8),'Apostas - Grupos'!T8,0)+IF(ISNUMBER('Apostas - Grupos'!X8),'Apostas - Grupos'!X8,0)</f>
        <v>0</v>
      </c>
      <c r="G279" s="112">
        <f t="shared" si="15"/>
        <v>0</v>
      </c>
      <c r="H279" s="14">
        <f t="shared" si="16"/>
        <v>0</v>
      </c>
      <c r="I279" s="112">
        <f t="shared" si="17"/>
        <v>200000462</v>
      </c>
      <c r="J279" s="14">
        <f>RANK(I279,$I$277:$I$280,0)</f>
        <v>2</v>
      </c>
      <c r="K279" s="112">
        <f>IF(AND(ISNUMBER('Apostas - Grupos'!P8),ISNUMBER('Apostas - Grupos'!Q8)),1,0)+IF(AND(ISNUMBER('Apostas - Grupos'!T8),ISNUMBER('Apostas - Grupos'!U8)),1,0)+IF(AND(ISNUMBER('Apostas - Grupos'!X8),ISNUMBER('Apostas - Grupos'!Y8)),1,0)</f>
        <v>0</v>
      </c>
      <c r="L279" s="112">
        <f t="shared" si="18"/>
        <v>0</v>
      </c>
      <c r="M279" s="112">
        <v>38</v>
      </c>
    </row>
    <row r="280" spans="1:13">
      <c r="A280" s="111" t="s">
        <v>65</v>
      </c>
      <c r="B280" s="15" t="s">
        <v>70</v>
      </c>
      <c r="C280" s="112">
        <f>IF(AND(ISNUMBER('Apostas - Grupos'!P8),ISNUMBER('Apostas - Grupos'!Q8)),IF('Apostas - Grupos'!Q8&gt;'Apostas - Grupos'!P8,1,0),0)+IF(AND(ISNUMBER('Apostas - Grupos'!R8),ISNUMBER('Apostas - Grupos'!S8)),IF('Apostas - Grupos'!R8&gt;'Apostas - Grupos'!S8,1,0),0)+IF(AND(ISNUMBER('Apostas - Grupos'!V8),ISNUMBER('Apostas - Grupos'!W8)),IF('Apostas - Grupos'!V8&gt;'Apostas - Grupos'!W8,1,0),0)</f>
        <v>0</v>
      </c>
      <c r="D280" s="112">
        <f>IF(AND(ISNUMBER('Apostas - Grupos'!P8),ISNUMBER('Apostas - Grupos'!Q8)),IF('Apostas - Grupos'!P8='Apostas - Grupos'!Q8,1,0),0)+IF(AND(ISNUMBER('Apostas - Grupos'!R8),ISNUMBER('Apostas - Grupos'!S8)),IF('Apostas - Grupos'!R8='Apostas - Grupos'!S8,1,0),0)+IF(AND(ISNUMBER('Apostas - Grupos'!V8),ISNUMBER('Apostas - Grupos'!W8)),IF('Apostas - Grupos'!V8='Apostas - Grupos'!W8,1,0),0)</f>
        <v>0</v>
      </c>
      <c r="E280" s="112">
        <f>IF(ISNUMBER('Apostas - Grupos'!P8),'Apostas - Grupos'!Q8,0)+IF(ISNUMBER('Apostas - Grupos'!R8),'Apostas - Grupos'!R8,0)+IF(ISNUMBER('Apostas - Grupos'!V8),'Apostas - Grupos'!V8,0)</f>
        <v>0</v>
      </c>
      <c r="F280" s="112">
        <f>IF(ISNUMBER('Apostas - Grupos'!P8),'Apostas - Grupos'!P8,0)+IF(ISNUMBER('Apostas - Grupos'!R8),'Apostas - Grupos'!S8,0)+IF(ISNUMBER('Apostas - Grupos'!V8),'Apostas - Grupos'!W8,0)</f>
        <v>0</v>
      </c>
      <c r="G280" s="112">
        <f t="shared" si="15"/>
        <v>0</v>
      </c>
      <c r="H280" s="14">
        <f t="shared" si="16"/>
        <v>0</v>
      </c>
      <c r="I280" s="112">
        <f t="shared" si="17"/>
        <v>200000480</v>
      </c>
      <c r="J280" s="14">
        <f>RANK(I280,$I$277:$I$280,0)</f>
        <v>1</v>
      </c>
      <c r="K280" s="112">
        <f>IF(AND(ISNUMBER('Apostas - Grupos'!P8),ISNUMBER('Apostas - Grupos'!Q8)),1,0)+IF(AND(ISNUMBER('Apostas - Grupos'!R8),ISNUMBER('Apostas - Grupos'!S8)),1,0)+IF(AND(ISNUMBER('Apostas - Grupos'!V8),ISNUMBER('Apostas - Grupos'!W8)),1,0)</f>
        <v>0</v>
      </c>
      <c r="L280" s="112">
        <f t="shared" si="18"/>
        <v>0</v>
      </c>
      <c r="M280" s="112">
        <v>20</v>
      </c>
    </row>
    <row r="281" spans="1:13">
      <c r="A281" s="113" t="s">
        <v>76</v>
      </c>
      <c r="B281" s="20" t="s">
        <v>77</v>
      </c>
      <c r="C281" s="114">
        <f>IF(AND(ISNUMBER('Apostas - Grupos'!Z8),ISNUMBER('Apostas - Grupos'!AA8)),IF('Apostas - Grupos'!Z8&gt;'Apostas - Grupos'!AA8,1,0),0)+IF(AND(ISNUMBER('Apostas - Grupos'!AF8),ISNUMBER('Apostas - Grupos'!AG8)),IF('Apostas - Grupos'!AF8&gt;'Apostas - Grupos'!AG8,1,0),0)+IF(AND(ISNUMBER('Apostas - Grupos'!AH8),ISNUMBER('Apostas - Grupos'!AI8)),IF('Apostas - Grupos'!AI8&gt;'Apostas - Grupos'!AH8,1,0),0)</f>
        <v>0</v>
      </c>
      <c r="D281" s="114">
        <f>IF(AND(ISNUMBER('Apostas - Grupos'!Z8),ISNUMBER('Apostas - Grupos'!AA8)),IF('Apostas - Grupos'!Z8='Apostas - Grupos'!AA8,1,0),0)+IF(AND(ISNUMBER('Apostas - Grupos'!AF8),ISNUMBER('Apostas - Grupos'!AG8)),IF('Apostas - Grupos'!AF8='Apostas - Grupos'!AG8,1,0),0)+IF(AND(ISNUMBER('Apostas - Grupos'!AH8),ISNUMBER('Apostas - Grupos'!AI8)),IF('Apostas - Grupos'!AH8='Apostas - Grupos'!AI8,1,0),0)</f>
        <v>0</v>
      </c>
      <c r="E281" s="114">
        <f>IF(ISNUMBER('Apostas - Grupos'!Z8),'Apostas - Grupos'!Z8,0)+IF(ISNUMBER('Apostas - Grupos'!AF8),'Apostas - Grupos'!AF8,0)+IF(ISNUMBER('Apostas - Grupos'!AH8),'Apostas - Grupos'!AI8,0)</f>
        <v>0</v>
      </c>
      <c r="F281" s="114">
        <f>IF(ISNUMBER('Apostas - Grupos'!Z8),'Apostas - Grupos'!AA8,0)+IF(ISNUMBER('Apostas - Grupos'!AF8),'Apostas - Grupos'!AG8,0)+IF(ISNUMBER('Apostas - Grupos'!AH8),'Apostas - Grupos'!AH8,0)</f>
        <v>0</v>
      </c>
      <c r="G281" s="114">
        <f t="shared" si="15"/>
        <v>0</v>
      </c>
      <c r="H281" s="19">
        <f t="shared" si="16"/>
        <v>0</v>
      </c>
      <c r="I281" s="114">
        <f t="shared" si="17"/>
        <v>200000495</v>
      </c>
      <c r="J281" s="19">
        <f>RANK(I281,$I$281:$I$284,0)</f>
        <v>1</v>
      </c>
      <c r="K281" s="114">
        <f>IF(AND(ISNUMBER('Apostas - Grupos'!Z8),ISNUMBER('Apostas - Grupos'!AA8)),1,0)+IF(AND(ISNUMBER('Apostas - Grupos'!AF8),ISNUMBER('Apostas - Grupos'!AG8)),1,0)+IF(AND(ISNUMBER('Apostas - Grupos'!AH8),ISNUMBER('Apostas - Grupos'!AI8)),1,0)</f>
        <v>0</v>
      </c>
      <c r="L281" s="114">
        <f t="shared" si="18"/>
        <v>0</v>
      </c>
      <c r="M281" s="114">
        <v>5</v>
      </c>
    </row>
    <row r="282" spans="1:13">
      <c r="A282" s="113" t="s">
        <v>76</v>
      </c>
      <c r="B282" s="20" t="s">
        <v>78</v>
      </c>
      <c r="C282" s="114">
        <f>IF(AND(ISNUMBER('Apostas - Grupos'!Z8),ISNUMBER('Apostas - Grupos'!AA8)),IF('Apostas - Grupos'!AA8&gt;'Apostas - Grupos'!Z8,1,0),0)+IF(AND(ISNUMBER('Apostas - Grupos'!AD8),ISNUMBER('Apostas - Grupos'!AE8)),IF('Apostas - Grupos'!AE8&gt;'Apostas - Grupos'!AD8,1,0),0)+IF(AND(ISNUMBER('Apostas - Grupos'!AJ8),ISNUMBER('Apostas - Grupos'!AK8)),IF('Apostas - Grupos'!AJ8&gt;'Apostas - Grupos'!AK8,1,0),0)</f>
        <v>0</v>
      </c>
      <c r="D282" s="114">
        <f>IF(AND(ISNUMBER('Apostas - Grupos'!Z8),ISNUMBER('Apostas - Grupos'!AA8)),IF('Apostas - Grupos'!Z8='Apostas - Grupos'!AA8,1,0),0)+IF(AND(ISNUMBER('Apostas - Grupos'!AD8),ISNUMBER('Apostas - Grupos'!AE8)),IF('Apostas - Grupos'!AD8='Apostas - Grupos'!AE8,1,0),0)+IF(AND(ISNUMBER('Apostas - Grupos'!AJ8),ISNUMBER('Apostas - Grupos'!AK8)),IF('Apostas - Grupos'!AJ8='Apostas - Grupos'!AK8,1,0),0)</f>
        <v>0</v>
      </c>
      <c r="E282" s="114">
        <f>IF(ISNUMBER('Apostas - Grupos'!Z8),'Apostas - Grupos'!AA8,0)+IF(ISNUMBER('Apostas - Grupos'!AD8),'Apostas - Grupos'!AE8,0)+IF(ISNUMBER('Apostas - Grupos'!AJ8),'Apostas - Grupos'!AJ8,0)</f>
        <v>0</v>
      </c>
      <c r="F282" s="114">
        <f>IF(ISNUMBER('Apostas - Grupos'!Z8),'Apostas - Grupos'!Z8,0)+IF(ISNUMBER('Apostas - Grupos'!AD8),'Apostas - Grupos'!AD8,0)+IF(ISNUMBER('Apostas - Grupos'!AJ8),'Apostas - Grupos'!AK8,0)</f>
        <v>0</v>
      </c>
      <c r="G282" s="114">
        <f t="shared" si="15"/>
        <v>0</v>
      </c>
      <c r="H282" s="19">
        <f t="shared" si="16"/>
        <v>0</v>
      </c>
      <c r="I282" s="114">
        <f t="shared" si="17"/>
        <v>200000486</v>
      </c>
      <c r="J282" s="19">
        <f>RANK(I282,$I$281:$I$284,0)</f>
        <v>2</v>
      </c>
      <c r="K282" s="114">
        <f>IF(AND(ISNUMBER('Apostas - Grupos'!Z8),ISNUMBER('Apostas - Grupos'!AA8)),1,0)+IF(AND(ISNUMBER('Apostas - Grupos'!AD8),ISNUMBER('Apostas - Grupos'!AE8)),1,0)+IF(AND(ISNUMBER('Apostas - Grupos'!AJ8),ISNUMBER('Apostas - Grupos'!AK8)),1,0)</f>
        <v>0</v>
      </c>
      <c r="L282" s="114">
        <f t="shared" si="18"/>
        <v>0</v>
      </c>
      <c r="M282" s="114">
        <v>14</v>
      </c>
    </row>
    <row r="283" spans="1:13">
      <c r="A283" s="113" t="s">
        <v>76</v>
      </c>
      <c r="B283" s="20" t="s">
        <v>80</v>
      </c>
      <c r="C283" s="114">
        <f>IF(AND(ISNUMBER('Apostas - Grupos'!AB8),ISNUMBER('Apostas - Grupos'!AC8)),IF('Apostas - Grupos'!AB8&gt;'Apostas - Grupos'!AC8,1,0),0)+IF(AND(ISNUMBER('Apostas - Grupos'!AF8),ISNUMBER('Apostas - Grupos'!AG8)),IF('Apostas - Grupos'!AG8&gt;'Apostas - Grupos'!AF8,1,0),0)+IF(AND(ISNUMBER('Apostas - Grupos'!AJ8),ISNUMBER('Apostas - Grupos'!AK8)),IF('Apostas - Grupos'!AK8&gt;'Apostas - Grupos'!AJ8,1,0),0)</f>
        <v>0</v>
      </c>
      <c r="D283" s="114">
        <f>IF(AND(ISNUMBER('Apostas - Grupos'!AB8),ISNUMBER('Apostas - Grupos'!AC8)),IF('Apostas - Grupos'!AB8='Apostas - Grupos'!AC8,1,0),0)+IF(AND(ISNUMBER('Apostas - Grupos'!AF8),ISNUMBER('Apostas - Grupos'!AG8)),IF('Apostas - Grupos'!AF8='Apostas - Grupos'!AG8,1,0),0)+IF(AND(ISNUMBER('Apostas - Grupos'!AJ8),ISNUMBER('Apostas - Grupos'!AK8)),IF('Apostas - Grupos'!AJ8='Apostas - Grupos'!AK8,1,0),0)</f>
        <v>0</v>
      </c>
      <c r="E283" s="114">
        <f>IF(ISNUMBER('Apostas - Grupos'!AB8),'Apostas - Grupos'!AB8,0)+IF(ISNUMBER('Apostas - Grupos'!AF8),'Apostas - Grupos'!AG8,0)+IF(ISNUMBER('Apostas - Grupos'!AJ8),'Apostas - Grupos'!AK8,0)</f>
        <v>0</v>
      </c>
      <c r="F283" s="114">
        <f>IF(ISNUMBER('Apostas - Grupos'!AB8),'Apostas - Grupos'!AC8,0)+IF(ISNUMBER('Apostas - Grupos'!AF8),'Apostas - Grupos'!AF8,0)+IF(ISNUMBER('Apostas - Grupos'!AJ8),'Apostas - Grupos'!AJ8,0)</f>
        <v>0</v>
      </c>
      <c r="G283" s="114">
        <f t="shared" si="15"/>
        <v>0</v>
      </c>
      <c r="H283" s="19">
        <f t="shared" si="16"/>
        <v>0</v>
      </c>
      <c r="I283" s="114">
        <f t="shared" si="17"/>
        <v>200000414</v>
      </c>
      <c r="J283" s="19">
        <f>RANK(I283,$I$281:$I$284,0)</f>
        <v>4</v>
      </c>
      <c r="K283" s="114">
        <f>IF(AND(ISNUMBER('Apostas - Grupos'!AB8),ISNUMBER('Apostas - Grupos'!AC8)),1,0)+IF(AND(ISNUMBER('Apostas - Grupos'!AF8),ISNUMBER('Apostas - Grupos'!AG8)),1,0)+IF(AND(ISNUMBER('Apostas - Grupos'!AJ8),ISNUMBER('Apostas - Grupos'!AK8)),1,0)</f>
        <v>0</v>
      </c>
      <c r="L283" s="114">
        <f t="shared" si="18"/>
        <v>0</v>
      </c>
      <c r="M283" s="114">
        <v>86</v>
      </c>
    </row>
    <row r="284" spans="1:13">
      <c r="A284" s="113" t="s">
        <v>76</v>
      </c>
      <c r="B284" s="20" t="s">
        <v>81</v>
      </c>
      <c r="C284" s="114">
        <f>IF(AND(ISNUMBER('Apostas - Grupos'!AB8),ISNUMBER('Apostas - Grupos'!AC8)),IF('Apostas - Grupos'!AC8&gt;'Apostas - Grupos'!AB8,1,0),0)+IF(AND(ISNUMBER('Apostas - Grupos'!AD8),ISNUMBER('Apostas - Grupos'!AE8)),IF('Apostas - Grupos'!AD8&gt;'Apostas - Grupos'!AE8,1,0),0)+IF(AND(ISNUMBER('Apostas - Grupos'!AH8),ISNUMBER('Apostas - Grupos'!AI8)),IF('Apostas - Grupos'!AH8&gt;'Apostas - Grupos'!AI8,1,0),0)</f>
        <v>0</v>
      </c>
      <c r="D284" s="114">
        <f>IF(AND(ISNUMBER('Apostas - Grupos'!AB8),ISNUMBER('Apostas - Grupos'!AC8)),IF('Apostas - Grupos'!AB8='Apostas - Grupos'!AC8,1,0),0)+IF(AND(ISNUMBER('Apostas - Grupos'!AD8),ISNUMBER('Apostas - Grupos'!AE8)),IF('Apostas - Grupos'!AD8='Apostas - Grupos'!AE8,1,0),0)+IF(AND(ISNUMBER('Apostas - Grupos'!AH8),ISNUMBER('Apostas - Grupos'!AI8)),IF('Apostas - Grupos'!AH8='Apostas - Grupos'!AI8,1,0),0)</f>
        <v>0</v>
      </c>
      <c r="E284" s="114">
        <f>IF(ISNUMBER('Apostas - Grupos'!AB8),'Apostas - Grupos'!AC8,0)+IF(ISNUMBER('Apostas - Grupos'!AD8),'Apostas - Grupos'!AD8,0)+IF(ISNUMBER('Apostas - Grupos'!AH8),'Apostas - Grupos'!AH8,0)</f>
        <v>0</v>
      </c>
      <c r="F284" s="114">
        <f>IF(ISNUMBER('Apostas - Grupos'!AB8),'Apostas - Grupos'!AB8,0)+IF(ISNUMBER('Apostas - Grupos'!AD8),'Apostas - Grupos'!AE8,0)+IF(ISNUMBER('Apostas - Grupos'!AH8),'Apostas - Grupos'!AI8,0)</f>
        <v>0</v>
      </c>
      <c r="G284" s="114">
        <f t="shared" si="15"/>
        <v>0</v>
      </c>
      <c r="H284" s="19">
        <f t="shared" si="16"/>
        <v>0</v>
      </c>
      <c r="I284" s="114">
        <f t="shared" si="17"/>
        <v>200000473</v>
      </c>
      <c r="J284" s="19">
        <f>RANK(I284,$I$281:$I$284,0)</f>
        <v>3</v>
      </c>
      <c r="K284" s="114">
        <f>IF(AND(ISNUMBER('Apostas - Grupos'!AB8),ISNUMBER('Apostas - Grupos'!AC8)),1,0)+IF(AND(ISNUMBER('Apostas - Grupos'!AD8),ISNUMBER('Apostas - Grupos'!AE8)),1,0)+IF(AND(ISNUMBER('Apostas - Grupos'!AH8),ISNUMBER('Apostas - Grupos'!AI8)),1,0)</f>
        <v>0</v>
      </c>
      <c r="L284" s="114">
        <f t="shared" si="18"/>
        <v>0</v>
      </c>
      <c r="M284" s="114">
        <v>27</v>
      </c>
    </row>
    <row r="285" spans="1:13">
      <c r="A285" s="115" t="s">
        <v>87</v>
      </c>
      <c r="B285" s="25" t="s">
        <v>88</v>
      </c>
      <c r="C285" s="116">
        <f>IF(AND(ISNUMBER('Apostas - Grupos'!AL8),ISNUMBER('Apostas - Grupos'!AM8)),IF('Apostas - Grupos'!AL8&gt;'Apostas - Grupos'!AM8,1,0),0)+IF(AND(ISNUMBER('Apostas - Grupos'!AP8),ISNUMBER('Apostas - Grupos'!AQ8)),IF('Apostas - Grupos'!AP8&gt;'Apostas - Grupos'!AQ8,1,0),0)+IF(AND(ISNUMBER('Apostas - Grupos'!AT8),ISNUMBER('Apostas - Grupos'!AU8)),IF('Apostas - Grupos'!AU8&gt;'Apostas - Grupos'!AT8,1,0),0)</f>
        <v>0</v>
      </c>
      <c r="D285" s="116">
        <f>IF(AND(ISNUMBER('Apostas - Grupos'!AL8),ISNUMBER('Apostas - Grupos'!AM8)),IF('Apostas - Grupos'!AL8='Apostas - Grupos'!AM8,1,0),0)+IF(AND(ISNUMBER('Apostas - Grupos'!AP8),ISNUMBER('Apostas - Grupos'!AQ8)),IF('Apostas - Grupos'!AP8='Apostas - Grupos'!AQ8,1,0),0)+IF(AND(ISNUMBER('Apostas - Grupos'!AT8),ISNUMBER('Apostas - Grupos'!AU8)),IF('Apostas - Grupos'!AT8='Apostas - Grupos'!AU8,1,0),0)</f>
        <v>0</v>
      </c>
      <c r="E285" s="116">
        <f>IF(ISNUMBER('Apostas - Grupos'!AL8),'Apostas - Grupos'!AL8,0)+IF(ISNUMBER('Apostas - Grupos'!AP8),'Apostas - Grupos'!AP8,0)+IF(ISNUMBER('Apostas - Grupos'!AT8),'Apostas - Grupos'!AU8,0)</f>
        <v>0</v>
      </c>
      <c r="F285" s="116">
        <f>IF(ISNUMBER('Apostas - Grupos'!AL8),'Apostas - Grupos'!AM8,0)+IF(ISNUMBER('Apostas - Grupos'!AP8),'Apostas - Grupos'!AQ8,0)+IF(ISNUMBER('Apostas - Grupos'!AT8),'Apostas - Grupos'!AT8,0)</f>
        <v>0</v>
      </c>
      <c r="G285" s="116">
        <f t="shared" si="15"/>
        <v>0</v>
      </c>
      <c r="H285" s="24">
        <f t="shared" si="16"/>
        <v>0</v>
      </c>
      <c r="I285" s="116">
        <f t="shared" si="17"/>
        <v>200000489</v>
      </c>
      <c r="J285" s="24">
        <f>RANK(I285,$I$285:$I$288,0)</f>
        <v>1</v>
      </c>
      <c r="K285" s="116">
        <f>IF(AND(ISNUMBER('Apostas - Grupos'!AL8),ISNUMBER('Apostas - Grupos'!AM8)),1,0)+IF(AND(ISNUMBER('Apostas - Grupos'!AP8),ISNUMBER('Apostas - Grupos'!AQ8)),1,0)+IF(AND(ISNUMBER('Apostas - Grupos'!AT8),ISNUMBER('Apostas - Grupos'!AU8)),1,0)</f>
        <v>0</v>
      </c>
      <c r="L285" s="116">
        <f t="shared" si="18"/>
        <v>0</v>
      </c>
      <c r="M285" s="116">
        <v>11</v>
      </c>
    </row>
    <row r="286" spans="1:13">
      <c r="A286" s="115" t="s">
        <v>87</v>
      </c>
      <c r="B286" s="25" t="s">
        <v>89</v>
      </c>
      <c r="C286" s="116">
        <f>IF(AND(ISNUMBER('Apostas - Grupos'!AL8),ISNUMBER('Apostas - Grupos'!AM8)),IF('Apostas - Grupos'!AM8&gt;'Apostas - Grupos'!AL8,1,0),0)+IF(AND(ISNUMBER('Apostas - Grupos'!AR8),ISNUMBER('Apostas - Grupos'!AS8)),IF('Apostas - Grupos'!AS8&gt;'Apostas - Grupos'!AR8,1,0),0)+IF(AND(ISNUMBER('Apostas - Grupos'!AV8),ISNUMBER('Apostas - Grupos'!AW8)),IF('Apostas - Grupos'!AV8&gt;'Apostas - Grupos'!AW8,1,0),0)</f>
        <v>0</v>
      </c>
      <c r="D286" s="116">
        <f>IF(AND(ISNUMBER('Apostas - Grupos'!AL8),ISNUMBER('Apostas - Grupos'!AM8)),IF('Apostas - Grupos'!AL8='Apostas - Grupos'!AM8,1,0),0)+IF(AND(ISNUMBER('Apostas - Grupos'!AR8),ISNUMBER('Apostas - Grupos'!AS8)),IF('Apostas - Grupos'!AR8='Apostas - Grupos'!AS8,1,0),0)+IF(AND(ISNUMBER('Apostas - Grupos'!AV8),ISNUMBER('Apostas - Grupos'!AW8)),IF('Apostas - Grupos'!AV8='Apostas - Grupos'!AW8,1,0),0)</f>
        <v>0</v>
      </c>
      <c r="E286" s="116">
        <f>IF(ISNUMBER('Apostas - Grupos'!AL8),'Apostas - Grupos'!AM8,0)+IF(ISNUMBER('Apostas - Grupos'!AR8),'Apostas - Grupos'!AS8,0)+IF(ISNUMBER('Apostas - Grupos'!AV8),'Apostas - Grupos'!AV8,0)</f>
        <v>0</v>
      </c>
      <c r="F286" s="116">
        <f>IF(ISNUMBER('Apostas - Grupos'!AL8),'Apostas - Grupos'!AL8,0)+IF(ISNUMBER('Apostas - Grupos'!AR8),'Apostas - Grupos'!AR8,0)+IF(ISNUMBER('Apostas - Grupos'!AV8),'Apostas - Grupos'!AW8,0)</f>
        <v>0</v>
      </c>
      <c r="G286" s="116">
        <f t="shared" si="15"/>
        <v>0</v>
      </c>
      <c r="H286" s="24">
        <f t="shared" si="16"/>
        <v>0</v>
      </c>
      <c r="I286" s="116">
        <f t="shared" si="17"/>
        <v>200000449</v>
      </c>
      <c r="J286" s="24">
        <f>RANK(I286,$I$285:$I$288,0)</f>
        <v>4</v>
      </c>
      <c r="K286" s="116">
        <f>IF(AND(ISNUMBER('Apostas - Grupos'!AL8),ISNUMBER('Apostas - Grupos'!AM8)),1,0)+IF(AND(ISNUMBER('Apostas - Grupos'!AR8),ISNUMBER('Apostas - Grupos'!AS8)),1,0)+IF(AND(ISNUMBER('Apostas - Grupos'!AV8),ISNUMBER('Apostas - Grupos'!AW8)),1,0)</f>
        <v>0</v>
      </c>
      <c r="L286" s="116">
        <f t="shared" si="18"/>
        <v>0</v>
      </c>
      <c r="M286" s="116">
        <v>51</v>
      </c>
    </row>
    <row r="287" spans="1:13">
      <c r="A287" s="115" t="s">
        <v>87</v>
      </c>
      <c r="B287" s="25" t="s">
        <v>91</v>
      </c>
      <c r="C287" s="116">
        <f>IF(AND(ISNUMBER('Apostas - Grupos'!AN8),ISNUMBER('Apostas - Grupos'!AO8)),IF('Apostas - Grupos'!AN8&gt;'Apostas - Grupos'!AO8,1,0),0)+IF(AND(ISNUMBER('Apostas - Grupos'!AP8),ISNUMBER('Apostas - Grupos'!AQ8)),IF('Apostas - Grupos'!AQ8&gt;'Apostas - Grupos'!AP8,1,0),0)+IF(AND(ISNUMBER('Apostas - Grupos'!AV8),ISNUMBER('Apostas - Grupos'!AW8)),IF('Apostas - Grupos'!AW8&gt;'Apostas - Grupos'!AV8,1,0),0)</f>
        <v>0</v>
      </c>
      <c r="D287" s="116">
        <f>IF(AND(ISNUMBER('Apostas - Grupos'!AN8),ISNUMBER('Apostas - Grupos'!AO8)),IF('Apostas - Grupos'!AN8='Apostas - Grupos'!AO8,1,0),0)+IF(AND(ISNUMBER('Apostas - Grupos'!AP8),ISNUMBER('Apostas - Grupos'!AQ8)),IF('Apostas - Grupos'!AP8='Apostas - Grupos'!AQ8,1,0),0)+IF(AND(ISNUMBER('Apostas - Grupos'!AV8),ISNUMBER('Apostas - Grupos'!AW8)),IF('Apostas - Grupos'!AV8='Apostas - Grupos'!AW8,1,0),0)</f>
        <v>0</v>
      </c>
      <c r="E287" s="116">
        <f>IF(ISNUMBER('Apostas - Grupos'!AN8),'Apostas - Grupos'!AN8,0)+IF(ISNUMBER('Apostas - Grupos'!AP8),'Apostas - Grupos'!AQ8,0)+IF(ISNUMBER('Apostas - Grupos'!AV8),'Apostas - Grupos'!AW8,0)</f>
        <v>0</v>
      </c>
      <c r="F287" s="116">
        <f>IF(ISNUMBER('Apostas - Grupos'!AN8),'Apostas - Grupos'!AO8,0)+IF(ISNUMBER('Apostas - Grupos'!AP8),'Apostas - Grupos'!AP8,0)+IF(ISNUMBER('Apostas - Grupos'!AV8),'Apostas - Grupos'!AV8,0)</f>
        <v>0</v>
      </c>
      <c r="G287" s="116">
        <f t="shared" si="15"/>
        <v>0</v>
      </c>
      <c r="H287" s="24">
        <f t="shared" si="16"/>
        <v>0</v>
      </c>
      <c r="I287" s="116">
        <f t="shared" si="17"/>
        <v>200000477</v>
      </c>
      <c r="J287" s="24">
        <f>RANK(I287,$I$285:$I$288,0)</f>
        <v>2</v>
      </c>
      <c r="K287" s="116">
        <f>IF(AND(ISNUMBER('Apostas - Grupos'!AN8),ISNUMBER('Apostas - Grupos'!AO8)),1,0)+IF(AND(ISNUMBER('Apostas - Grupos'!AP8),ISNUMBER('Apostas - Grupos'!AQ8)),1,0)+IF(AND(ISNUMBER('Apostas - Grupos'!AV8),ISNUMBER('Apostas - Grupos'!AW8)),1,0)</f>
        <v>0</v>
      </c>
      <c r="L287" s="116">
        <f t="shared" si="18"/>
        <v>0</v>
      </c>
      <c r="M287" s="116">
        <v>23</v>
      </c>
    </row>
    <row r="288" spans="1:13">
      <c r="A288" s="115" t="s">
        <v>87</v>
      </c>
      <c r="B288" s="25" t="s">
        <v>92</v>
      </c>
      <c r="C288" s="116">
        <f>IF(AND(ISNUMBER('Apostas - Grupos'!AN8),ISNUMBER('Apostas - Grupos'!AO8)),IF('Apostas - Grupos'!AO8&gt;'Apostas - Grupos'!AN8,1,0),0)+IF(AND(ISNUMBER('Apostas - Grupos'!AR8),ISNUMBER('Apostas - Grupos'!AS8)),IF('Apostas - Grupos'!AR8&gt;'Apostas - Grupos'!AS8,1,0),0)+IF(AND(ISNUMBER('Apostas - Grupos'!AT8),ISNUMBER('Apostas - Grupos'!AU8)),IF('Apostas - Grupos'!AT8&gt;'Apostas - Grupos'!AU8,1,0),0)</f>
        <v>0</v>
      </c>
      <c r="D288" s="116">
        <f>IF(AND(ISNUMBER('Apostas - Grupos'!AN8),ISNUMBER('Apostas - Grupos'!AO8)),IF('Apostas - Grupos'!AN8='Apostas - Grupos'!AO8,1,0),0)+IF(AND(ISNUMBER('Apostas - Grupos'!AR8),ISNUMBER('Apostas - Grupos'!AS8)),IF('Apostas - Grupos'!AR8='Apostas - Grupos'!AS8,1,0),0)+IF(AND(ISNUMBER('Apostas - Grupos'!AT8),ISNUMBER('Apostas - Grupos'!AU8)),IF('Apostas - Grupos'!AT8='Apostas - Grupos'!AU8,1,0),0)</f>
        <v>0</v>
      </c>
      <c r="E288" s="116">
        <f>IF(ISNUMBER('Apostas - Grupos'!AN8),'Apostas - Grupos'!AO8,0)+IF(ISNUMBER('Apostas - Grupos'!AR8),'Apostas - Grupos'!AR8,0)+IF(ISNUMBER('Apostas - Grupos'!AT8),'Apostas - Grupos'!AT8,0)</f>
        <v>0</v>
      </c>
      <c r="F288" s="116">
        <f>IF(ISNUMBER('Apostas - Grupos'!AN8),'Apostas - Grupos'!AN8,0)+IF(ISNUMBER('Apostas - Grupos'!AR8),'Apostas - Grupos'!AS8,0)+IF(ISNUMBER('Apostas - Grupos'!AT8),'Apostas - Grupos'!AU8,0)</f>
        <v>0</v>
      </c>
      <c r="G288" s="116">
        <f t="shared" si="15"/>
        <v>0</v>
      </c>
      <c r="H288" s="24">
        <f t="shared" si="16"/>
        <v>0</v>
      </c>
      <c r="I288" s="116">
        <f t="shared" si="17"/>
        <v>200000464</v>
      </c>
      <c r="J288" s="24">
        <f>RANK(I288,$I$285:$I$288,0)</f>
        <v>3</v>
      </c>
      <c r="K288" s="116">
        <f>IF(AND(ISNUMBER('Apostas - Grupos'!AN8),ISNUMBER('Apostas - Grupos'!AO8)),1,0)+IF(AND(ISNUMBER('Apostas - Grupos'!AR8),ISNUMBER('Apostas - Grupos'!AS8)),1,0)+IF(AND(ISNUMBER('Apostas - Grupos'!AT8),ISNUMBER('Apostas - Grupos'!AU8)),1,0)</f>
        <v>0</v>
      </c>
      <c r="L288" s="116">
        <f t="shared" si="18"/>
        <v>0</v>
      </c>
      <c r="M288" s="116">
        <v>36</v>
      </c>
    </row>
    <row r="289" spans="1:13">
      <c r="A289" s="117" t="s">
        <v>98</v>
      </c>
      <c r="B289" s="30" t="s">
        <v>99</v>
      </c>
      <c r="C289" s="118">
        <f>IF(AND(ISNUMBER('Apostas - Grupos'!AX8),ISNUMBER('Apostas - Grupos'!AY8)),IF('Apostas - Grupos'!AX8&gt;'Apostas - Grupos'!AY8,1,0),0)+IF(AND(ISNUMBER('Apostas - Grupos'!BB8),ISNUMBER('Apostas - Grupos'!BC8)),IF('Apostas - Grupos'!BB8&gt;'Apostas - Grupos'!BC8,1,0),0)+IF(AND(ISNUMBER('Apostas - Grupos'!BF8),ISNUMBER('Apostas - Grupos'!BG8)),IF('Apostas - Grupos'!BG8&gt;'Apostas - Grupos'!BF8,1,0),0)</f>
        <v>0</v>
      </c>
      <c r="D289" s="118">
        <f>IF(AND(ISNUMBER('Apostas - Grupos'!AX8),ISNUMBER('Apostas - Grupos'!AY8)),IF('Apostas - Grupos'!AX8='Apostas - Grupos'!AY8,1,0),0)+IF(AND(ISNUMBER('Apostas - Grupos'!BB8),ISNUMBER('Apostas - Grupos'!BC8)),IF('Apostas - Grupos'!BB8='Apostas - Grupos'!BC8,1,0),0)+IF(AND(ISNUMBER('Apostas - Grupos'!BF8),ISNUMBER('Apostas - Grupos'!BG8)),IF('Apostas - Grupos'!BF8='Apostas - Grupos'!BG8,1,0),0)</f>
        <v>0</v>
      </c>
      <c r="E289" s="118">
        <f>IF(ISNUMBER('Apostas - Grupos'!AX8),'Apostas - Grupos'!AX8,0)+IF(ISNUMBER('Apostas - Grupos'!BB8),'Apostas - Grupos'!BB8,0)+IF(ISNUMBER('Apostas - Grupos'!BF8),'Apostas - Grupos'!BG8,0)</f>
        <v>0</v>
      </c>
      <c r="F289" s="118">
        <f>IF(ISNUMBER('Apostas - Grupos'!AX8),'Apostas - Grupos'!AY8,0)+IF(ISNUMBER('Apostas - Grupos'!BB8),'Apostas - Grupos'!BC8,0)+IF(ISNUMBER('Apostas - Grupos'!BF8),'Apostas - Grupos'!BF8,0)</f>
        <v>0</v>
      </c>
      <c r="G289" s="118">
        <f t="shared" si="15"/>
        <v>0</v>
      </c>
      <c r="H289" s="29">
        <f t="shared" si="16"/>
        <v>0</v>
      </c>
      <c r="I289" s="118">
        <f t="shared" si="17"/>
        <v>200000488</v>
      </c>
      <c r="J289" s="29">
        <f>RANK(I289,$I$289:$I$292,0)</f>
        <v>1</v>
      </c>
      <c r="K289" s="118">
        <f>IF(AND(ISNUMBER('Apostas - Grupos'!AX8),ISNUMBER('Apostas - Grupos'!AY8)),1,0)+IF(AND(ISNUMBER('Apostas - Grupos'!BB8),ISNUMBER('Apostas - Grupos'!BC8)),1,0)+IF(AND(ISNUMBER('Apostas - Grupos'!BF8),ISNUMBER('Apostas - Grupos'!BG8)),1,0)</f>
        <v>0</v>
      </c>
      <c r="L289" s="118">
        <f t="shared" si="18"/>
        <v>0</v>
      </c>
      <c r="M289" s="118">
        <v>12</v>
      </c>
    </row>
    <row r="290" spans="1:13">
      <c r="A290" s="117" t="s">
        <v>98</v>
      </c>
      <c r="B290" s="30" t="s">
        <v>100</v>
      </c>
      <c r="C290" s="118">
        <f>IF(AND(ISNUMBER('Apostas - Grupos'!AX8),ISNUMBER('Apostas - Grupos'!AY8)),IF('Apostas - Grupos'!AY8&gt;'Apostas - Grupos'!AX8,1,0),0)+IF(AND(ISNUMBER('Apostas - Grupos'!BD8),ISNUMBER('Apostas - Grupos'!BE8)),IF('Apostas - Grupos'!BE8&gt;'Apostas - Grupos'!BD8,1,0),0)+IF(AND(ISNUMBER('Apostas - Grupos'!BH8),ISNUMBER('Apostas - Grupos'!BI8)),IF('Apostas - Grupos'!BH8&gt;'Apostas - Grupos'!BI8,1,0),0)</f>
        <v>0</v>
      </c>
      <c r="D290" s="118">
        <f>IF(AND(ISNUMBER('Apostas - Grupos'!AX8),ISNUMBER('Apostas - Grupos'!AY8)),IF('Apostas - Grupos'!AX8='Apostas - Grupos'!AY8,1,0),0)+IF(AND(ISNUMBER('Apostas - Grupos'!BD8),ISNUMBER('Apostas - Grupos'!BE8)),IF('Apostas - Grupos'!BD8='Apostas - Grupos'!BE8,1,0),0)+IF(AND(ISNUMBER('Apostas - Grupos'!BH8),ISNUMBER('Apostas - Grupos'!BI8)),IF('Apostas - Grupos'!BH8='Apostas - Grupos'!BI8,1,0),0)</f>
        <v>0</v>
      </c>
      <c r="E290" s="118">
        <f>IF(ISNUMBER('Apostas - Grupos'!AX8),'Apostas - Grupos'!AY8,0)+IF(ISNUMBER('Apostas - Grupos'!BD8),'Apostas - Grupos'!BE8,0)+IF(ISNUMBER('Apostas - Grupos'!BH8),'Apostas - Grupos'!BH8,0)</f>
        <v>0</v>
      </c>
      <c r="F290" s="118">
        <f>IF(ISNUMBER('Apostas - Grupos'!AX8),'Apostas - Grupos'!AX8,0)+IF(ISNUMBER('Apostas - Grupos'!BD8),'Apostas - Grupos'!BD8,0)+IF(ISNUMBER('Apostas - Grupos'!BH8),'Apostas - Grupos'!BI8,0)</f>
        <v>0</v>
      </c>
      <c r="G290" s="118">
        <f t="shared" si="15"/>
        <v>0</v>
      </c>
      <c r="H290" s="29">
        <f t="shared" si="16"/>
        <v>0</v>
      </c>
      <c r="I290" s="118">
        <f t="shared" si="17"/>
        <v>200000417</v>
      </c>
      <c r="J290" s="29">
        <f>RANK(I290,$I$289:$I$292,0)</f>
        <v>4</v>
      </c>
      <c r="K290" s="118">
        <f>IF(AND(ISNUMBER('Apostas - Grupos'!AX8),ISNUMBER('Apostas - Grupos'!AY8)),1,0)+IF(AND(ISNUMBER('Apostas - Grupos'!BD8),ISNUMBER('Apostas - Grupos'!BE8)),1,0)+IF(AND(ISNUMBER('Apostas - Grupos'!BH8),ISNUMBER('Apostas - Grupos'!BI8)),1,0)</f>
        <v>0</v>
      </c>
      <c r="L290" s="118">
        <f t="shared" si="18"/>
        <v>0</v>
      </c>
      <c r="M290" s="118">
        <v>83</v>
      </c>
    </row>
    <row r="291" spans="1:13">
      <c r="A291" s="117" t="s">
        <v>98</v>
      </c>
      <c r="B291" s="30" t="s">
        <v>102</v>
      </c>
      <c r="C291" s="118">
        <f>IF(AND(ISNUMBER('Apostas - Grupos'!AZ8),ISNUMBER('Apostas - Grupos'!BA8)),IF('Apostas - Grupos'!AZ8&gt;'Apostas - Grupos'!BA8,1,0),0)+IF(AND(ISNUMBER('Apostas - Grupos'!BB8),ISNUMBER('Apostas - Grupos'!BC8)),IF('Apostas - Grupos'!BC8&gt;'Apostas - Grupos'!BB8,1,0),0)+IF(AND(ISNUMBER('Apostas - Grupos'!BH8),ISNUMBER('Apostas - Grupos'!BI8)),IF('Apostas - Grupos'!BI8&gt;'Apostas - Grupos'!BH8,1,0),0)</f>
        <v>0</v>
      </c>
      <c r="D291" s="118">
        <f>IF(AND(ISNUMBER('Apostas - Grupos'!AZ8),ISNUMBER('Apostas - Grupos'!BA8)),IF('Apostas - Grupos'!AZ8='Apostas - Grupos'!BA8,1,0),0)+IF(AND(ISNUMBER('Apostas - Grupos'!BB8),ISNUMBER('Apostas - Grupos'!BC8)),IF('Apostas - Grupos'!BB8='Apostas - Grupos'!BC8,1,0),0)+IF(AND(ISNUMBER('Apostas - Grupos'!BH8),ISNUMBER('Apostas - Grupos'!BI8)),IF('Apostas - Grupos'!BH8='Apostas - Grupos'!BI8,1,0),0)</f>
        <v>0</v>
      </c>
      <c r="E291" s="118">
        <f>IF(ISNUMBER('Apostas - Grupos'!AZ8),'Apostas - Grupos'!AZ8,0)+IF(ISNUMBER('Apostas - Grupos'!BB8),'Apostas - Grupos'!BC8,0)+IF(ISNUMBER('Apostas - Grupos'!BH8),'Apostas - Grupos'!BI8,0)</f>
        <v>0</v>
      </c>
      <c r="F291" s="118">
        <f>IF(ISNUMBER('Apostas - Grupos'!AZ8),'Apostas - Grupos'!BA8,0)+IF(ISNUMBER('Apostas - Grupos'!BB8),'Apostas - Grupos'!BB8,0)+IF(ISNUMBER('Apostas - Grupos'!BH8),'Apostas - Grupos'!BH8,0)</f>
        <v>0</v>
      </c>
      <c r="G291" s="118">
        <f t="shared" si="15"/>
        <v>0</v>
      </c>
      <c r="H291" s="29">
        <f t="shared" si="16"/>
        <v>0</v>
      </c>
      <c r="I291" s="118">
        <f t="shared" si="17"/>
        <v>200000459</v>
      </c>
      <c r="J291" s="29">
        <f>RANK(I291,$I$289:$I$292,0)</f>
        <v>3</v>
      </c>
      <c r="K291" s="118">
        <f>IF(AND(ISNUMBER('Apostas - Grupos'!AZ8),ISNUMBER('Apostas - Grupos'!BA8)),1,0)+IF(AND(ISNUMBER('Apostas - Grupos'!BB8),ISNUMBER('Apostas - Grupos'!BC8)),1,0)+IF(AND(ISNUMBER('Apostas - Grupos'!BH8),ISNUMBER('Apostas - Grupos'!BI8)),1,0)</f>
        <v>0</v>
      </c>
      <c r="L291" s="118">
        <f t="shared" si="18"/>
        <v>0</v>
      </c>
      <c r="M291" s="118">
        <v>41</v>
      </c>
    </row>
    <row r="292" spans="1:13">
      <c r="A292" s="117" t="s">
        <v>98</v>
      </c>
      <c r="B292" s="30" t="s">
        <v>103</v>
      </c>
      <c r="C292" s="118">
        <f>IF(AND(ISNUMBER('Apostas - Grupos'!AZ8),ISNUMBER('Apostas - Grupos'!BA8)),IF('Apostas - Grupos'!BA8&gt;'Apostas - Grupos'!AZ8,1,0),0)+IF(AND(ISNUMBER('Apostas - Grupos'!BD8),ISNUMBER('Apostas - Grupos'!BE8)),IF('Apostas - Grupos'!BD8&gt;'Apostas - Grupos'!BE8,1,0),0)+IF(AND(ISNUMBER('Apostas - Grupos'!BF8),ISNUMBER('Apostas - Grupos'!BG8)),IF('Apostas - Grupos'!BF8&gt;'Apostas - Grupos'!BG8,1,0),0)</f>
        <v>0</v>
      </c>
      <c r="D292" s="118">
        <f>IF(AND(ISNUMBER('Apostas - Grupos'!AZ8),ISNUMBER('Apostas - Grupos'!BA8)),IF('Apostas - Grupos'!AZ8='Apostas - Grupos'!BA8,1,0),0)+IF(AND(ISNUMBER('Apostas - Grupos'!BD8),ISNUMBER('Apostas - Grupos'!BE8)),IF('Apostas - Grupos'!BD8='Apostas - Grupos'!BE8,1,0),0)+IF(AND(ISNUMBER('Apostas - Grupos'!BF8),ISNUMBER('Apostas - Grupos'!BG8)),IF('Apostas - Grupos'!BF8='Apostas - Grupos'!BG8,1,0),0)</f>
        <v>0</v>
      </c>
      <c r="E292" s="118">
        <f>IF(ISNUMBER('Apostas - Grupos'!AZ8),'Apostas - Grupos'!BA8,0)+IF(ISNUMBER('Apostas - Grupos'!BD8),'Apostas - Grupos'!BD8,0)+IF(ISNUMBER('Apostas - Grupos'!BF8),'Apostas - Grupos'!BF8,0)</f>
        <v>0</v>
      </c>
      <c r="F292" s="118">
        <f>IF(ISNUMBER('Apostas - Grupos'!AZ8),'Apostas - Grupos'!AZ8,0)+IF(ISNUMBER('Apostas - Grupos'!BD8),'Apostas - Grupos'!BE8,0)+IF(ISNUMBER('Apostas - Grupos'!BF8),'Apostas - Grupos'!BG8,0)</f>
        <v>0</v>
      </c>
      <c r="G292" s="118">
        <f t="shared" si="15"/>
        <v>0</v>
      </c>
      <c r="H292" s="29">
        <f t="shared" si="16"/>
        <v>0</v>
      </c>
      <c r="I292" s="118">
        <f t="shared" si="17"/>
        <v>200000461</v>
      </c>
      <c r="J292" s="29">
        <f>RANK(I292,$I$289:$I$292,0)</f>
        <v>2</v>
      </c>
      <c r="K292" s="118">
        <f>IF(AND(ISNUMBER('Apostas - Grupos'!AZ8),ISNUMBER('Apostas - Grupos'!BA8)),1,0)+IF(AND(ISNUMBER('Apostas - Grupos'!BD8),ISNUMBER('Apostas - Grupos'!BE8)),1,0)+IF(AND(ISNUMBER('Apostas - Grupos'!BF8),ISNUMBER('Apostas - Grupos'!BG8)),1,0)</f>
        <v>0</v>
      </c>
      <c r="L292" s="118">
        <f t="shared" si="18"/>
        <v>0</v>
      </c>
      <c r="M292" s="118">
        <v>39</v>
      </c>
    </row>
    <row r="293" spans="1:13">
      <c r="A293" s="119" t="s">
        <v>109</v>
      </c>
      <c r="B293" s="35" t="s">
        <v>110</v>
      </c>
      <c r="C293" s="120">
        <f>IF(AND(ISNUMBER('Apostas - Grupos'!BJ8),ISNUMBER('Apostas - Grupos'!BK8)),IF('Apostas - Grupos'!BJ8&gt;'Apostas - Grupos'!BK8,1,0),0)+IF(AND(ISNUMBER('Apostas - Grupos'!BN8),ISNUMBER('Apostas - Grupos'!BO8)),IF('Apostas - Grupos'!BN8&gt;'Apostas - Grupos'!BO8,1,0),0)+IF(AND(ISNUMBER('Apostas - Grupos'!BT8),ISNUMBER('Apostas - Grupos'!BU8)),IF('Apostas - Grupos'!BU8&gt;'Apostas - Grupos'!BT8,1,0),0)</f>
        <v>0</v>
      </c>
      <c r="D293" s="120">
        <f>IF(AND(ISNUMBER('Apostas - Grupos'!BJ8),ISNUMBER('Apostas - Grupos'!BK8)),IF('Apostas - Grupos'!BJ8='Apostas - Grupos'!BK8,1,0),0)+IF(AND(ISNUMBER('Apostas - Grupos'!BN8),ISNUMBER('Apostas - Grupos'!BO8)),IF('Apostas - Grupos'!BN8='Apostas - Grupos'!BO8,1,0),0)+IF(AND(ISNUMBER('Apostas - Grupos'!BT8),ISNUMBER('Apostas - Grupos'!BU8)),IF('Apostas - Grupos'!BT8='Apostas - Grupos'!BU8,1,0),0)</f>
        <v>0</v>
      </c>
      <c r="E293" s="120">
        <f>IF(ISNUMBER('Apostas - Grupos'!BJ8),'Apostas - Grupos'!BJ8,0)+IF(ISNUMBER('Apostas - Grupos'!BN8),'Apostas - Grupos'!BN8,0)+IF(ISNUMBER('Apostas - Grupos'!BT8),'Apostas - Grupos'!BU8,0)</f>
        <v>0</v>
      </c>
      <c r="F293" s="120">
        <f>IF(ISNUMBER('Apostas - Grupos'!BJ8),'Apostas - Grupos'!BK8,0)+IF(ISNUMBER('Apostas - Grupos'!BN8),'Apostas - Grupos'!BO8,0)+IF(ISNUMBER('Apostas - Grupos'!BT8),'Apostas - Grupos'!BT8,0)</f>
        <v>0</v>
      </c>
      <c r="G293" s="120">
        <f t="shared" si="15"/>
        <v>0</v>
      </c>
      <c r="H293" s="34">
        <f t="shared" si="16"/>
        <v>0</v>
      </c>
      <c r="I293" s="120">
        <f t="shared" si="17"/>
        <v>200000492</v>
      </c>
      <c r="J293" s="34">
        <f>RANK(I293,$I$293:$I$296,0)</f>
        <v>1</v>
      </c>
      <c r="K293" s="120">
        <f>IF(AND(ISNUMBER('Apostas - Grupos'!BJ8),ISNUMBER('Apostas - Grupos'!BK8)),1,0)+IF(AND(ISNUMBER('Apostas - Grupos'!BN8),ISNUMBER('Apostas - Grupos'!BO8)),1,0)+IF(AND(ISNUMBER('Apostas - Grupos'!BT8),ISNUMBER('Apostas - Grupos'!BU8)),1,0)</f>
        <v>0</v>
      </c>
      <c r="L293" s="120">
        <f t="shared" si="18"/>
        <v>0</v>
      </c>
      <c r="M293" s="120">
        <v>8</v>
      </c>
    </row>
    <row r="294" spans="1:13">
      <c r="A294" s="119" t="s">
        <v>109</v>
      </c>
      <c r="B294" s="35" t="s">
        <v>111</v>
      </c>
      <c r="C294" s="120">
        <f>IF(AND(ISNUMBER('Apostas - Grupos'!BJ8),ISNUMBER('Apostas - Grupos'!BK8)),IF('Apostas - Grupos'!BK8&gt;'Apostas - Grupos'!BJ8,1,0),0)+IF(AND(ISNUMBER('Apostas - Grupos'!BP8),ISNUMBER('Apostas - Grupos'!BQ8)),IF('Apostas - Grupos'!BQ8&gt;'Apostas - Grupos'!BP8,1,0),0)+IF(AND(ISNUMBER('Apostas - Grupos'!BR8),ISNUMBER('Apostas - Grupos'!BS8)),IF('Apostas - Grupos'!BR8&gt;'Apostas - Grupos'!BS8,1,0),0)</f>
        <v>0</v>
      </c>
      <c r="D294" s="120">
        <f>IF(AND(ISNUMBER('Apostas - Grupos'!BJ8),ISNUMBER('Apostas - Grupos'!BK8)),IF('Apostas - Grupos'!BJ8='Apostas - Grupos'!BK8,1,0),0)+IF(AND(ISNUMBER('Apostas - Grupos'!BP8),ISNUMBER('Apostas - Grupos'!BQ8)),IF('Apostas - Grupos'!BP8='Apostas - Grupos'!BQ8,1,0),0)+IF(AND(ISNUMBER('Apostas - Grupos'!BR8),ISNUMBER('Apostas - Grupos'!BS8)),IF('Apostas - Grupos'!BR8='Apostas - Grupos'!BS8,1,0),0)</f>
        <v>0</v>
      </c>
      <c r="E294" s="120">
        <f>IF(ISNUMBER('Apostas - Grupos'!BJ8),'Apostas - Grupos'!BK8,0)+IF(ISNUMBER('Apostas - Grupos'!BP8),'Apostas - Grupos'!BQ8,0)+IF(ISNUMBER('Apostas - Grupos'!BR8),'Apostas - Grupos'!BR8,0)</f>
        <v>0</v>
      </c>
      <c r="F294" s="120">
        <f>IF(ISNUMBER('Apostas - Grupos'!BJ8),'Apostas - Grupos'!BJ8,0)+IF(ISNUMBER('Apostas - Grupos'!BP8),'Apostas - Grupos'!BP8,0)+IF(ISNUMBER('Apostas - Grupos'!BR8),'Apostas - Grupos'!BS8,0)</f>
        <v>0</v>
      </c>
      <c r="G294" s="120">
        <f t="shared" si="15"/>
        <v>0</v>
      </c>
      <c r="H294" s="34">
        <f t="shared" si="16"/>
        <v>0</v>
      </c>
      <c r="I294" s="120">
        <f t="shared" si="17"/>
        <v>200000485</v>
      </c>
      <c r="J294" s="34">
        <f>RANK(I294,$I$293:$I$296,0)</f>
        <v>2</v>
      </c>
      <c r="K294" s="120">
        <f>IF(AND(ISNUMBER('Apostas - Grupos'!BJ8),ISNUMBER('Apostas - Grupos'!BK8)),1,0)+IF(AND(ISNUMBER('Apostas - Grupos'!BP8),ISNUMBER('Apostas - Grupos'!BQ8)),1,0)+IF(AND(ISNUMBER('Apostas - Grupos'!BR8),ISNUMBER('Apostas - Grupos'!BS8)),1,0)</f>
        <v>0</v>
      </c>
      <c r="L294" s="120">
        <f t="shared" si="18"/>
        <v>0</v>
      </c>
      <c r="M294" s="120">
        <v>15</v>
      </c>
    </row>
    <row r="295" spans="1:13">
      <c r="A295" s="119" t="s">
        <v>109</v>
      </c>
      <c r="B295" s="35" t="s">
        <v>113</v>
      </c>
      <c r="C295" s="120">
        <f>IF(AND(ISNUMBER('Apostas - Grupos'!BL8),ISNUMBER('Apostas - Grupos'!BM8)),IF('Apostas - Grupos'!BL8&gt;'Apostas - Grupos'!BM8,1,0),0)+IF(AND(ISNUMBER('Apostas - Grupos'!BN8),ISNUMBER('Apostas - Grupos'!BO8)),IF('Apostas - Grupos'!BO8&gt;'Apostas - Grupos'!BN8,1,0),0)+IF(AND(ISNUMBER('Apostas - Grupos'!BR8),ISNUMBER('Apostas - Grupos'!BS8)),IF('Apostas - Grupos'!BS8&gt;'Apostas - Grupos'!BR8,1,0),0)</f>
        <v>0</v>
      </c>
      <c r="D295" s="120">
        <f>IF(AND(ISNUMBER('Apostas - Grupos'!BL8),ISNUMBER('Apostas - Grupos'!BM8)),IF('Apostas - Grupos'!BL8='Apostas - Grupos'!BM8,1,0),0)+IF(AND(ISNUMBER('Apostas - Grupos'!BN8),ISNUMBER('Apostas - Grupos'!BO8)),IF('Apostas - Grupos'!BN8='Apostas - Grupos'!BO8,1,0),0)+IF(AND(ISNUMBER('Apostas - Grupos'!BR8),ISNUMBER('Apostas - Grupos'!BS8)),IF('Apostas - Grupos'!BR8='Apostas - Grupos'!BS8,1,0),0)</f>
        <v>0</v>
      </c>
      <c r="E295" s="120">
        <f>IF(ISNUMBER('Apostas - Grupos'!BL8),'Apostas - Grupos'!BL8,0)+IF(ISNUMBER('Apostas - Grupos'!BN8),'Apostas - Grupos'!BO8,0)+IF(ISNUMBER('Apostas - Grupos'!BR8),'Apostas - Grupos'!BS8,0)</f>
        <v>0</v>
      </c>
      <c r="F295" s="120">
        <f>IF(ISNUMBER('Apostas - Grupos'!BL8),'Apostas - Grupos'!BM8,0)+IF(ISNUMBER('Apostas - Grupos'!BN8),'Apostas - Grupos'!BN8,0)+IF(ISNUMBER('Apostas - Grupos'!BR8),'Apostas - Grupos'!BR8,0)</f>
        <v>0</v>
      </c>
      <c r="G295" s="120">
        <f t="shared" si="15"/>
        <v>0</v>
      </c>
      <c r="H295" s="34">
        <f t="shared" si="16"/>
        <v>0</v>
      </c>
      <c r="I295" s="120">
        <f t="shared" si="17"/>
        <v>200000474</v>
      </c>
      <c r="J295" s="34">
        <f>RANK(I295,$I$293:$I$296,0)</f>
        <v>3</v>
      </c>
      <c r="K295" s="120">
        <f>IF(AND(ISNUMBER('Apostas - Grupos'!BL8),ISNUMBER('Apostas - Grupos'!BM8)),1,0)+IF(AND(ISNUMBER('Apostas - Grupos'!BN8),ISNUMBER('Apostas - Grupos'!BO8)),1,0)+IF(AND(ISNUMBER('Apostas - Grupos'!BR8),ISNUMBER('Apostas - Grupos'!BS8)),1,0)</f>
        <v>0</v>
      </c>
      <c r="L295" s="120">
        <f t="shared" si="18"/>
        <v>0</v>
      </c>
      <c r="M295" s="120">
        <v>26</v>
      </c>
    </row>
    <row r="296" spans="1:13">
      <c r="A296" s="119" t="s">
        <v>109</v>
      </c>
      <c r="B296" s="35" t="s">
        <v>114</v>
      </c>
      <c r="C296" s="120">
        <f>IF(AND(ISNUMBER('Apostas - Grupos'!BL8),ISNUMBER('Apostas - Grupos'!BM8)),IF('Apostas - Grupos'!BM8&gt;'Apostas - Grupos'!BL8,1,0),0)+IF(AND(ISNUMBER('Apostas - Grupos'!BP8),ISNUMBER('Apostas - Grupos'!BQ8)),IF('Apostas - Grupos'!BP8&gt;'Apostas - Grupos'!BQ8,1,0),0)+IF(AND(ISNUMBER('Apostas - Grupos'!BT8),ISNUMBER('Apostas - Grupos'!BU8)),IF('Apostas - Grupos'!BT8&gt;'Apostas - Grupos'!BU8,1,0),0)</f>
        <v>0</v>
      </c>
      <c r="D296" s="120">
        <f>IF(AND(ISNUMBER('Apostas - Grupos'!BL8),ISNUMBER('Apostas - Grupos'!BM8)),IF('Apostas - Grupos'!BL8='Apostas - Grupos'!BM8,1,0),0)+IF(AND(ISNUMBER('Apostas - Grupos'!BP8),ISNUMBER('Apostas - Grupos'!BQ8)),IF('Apostas - Grupos'!BP8='Apostas - Grupos'!BQ8,1,0),0)+IF(AND(ISNUMBER('Apostas - Grupos'!BT8),ISNUMBER('Apostas - Grupos'!BU8)),IF('Apostas - Grupos'!BT8='Apostas - Grupos'!BU8,1,0),0)</f>
        <v>0</v>
      </c>
      <c r="E296" s="120">
        <f>IF(ISNUMBER('Apostas - Grupos'!BL8),'Apostas - Grupos'!BM8,0)+IF(ISNUMBER('Apostas - Grupos'!BP8),'Apostas - Grupos'!BP8,0)+IF(ISNUMBER('Apostas - Grupos'!BT8),'Apostas - Grupos'!BT8,0)</f>
        <v>0</v>
      </c>
      <c r="F296" s="120">
        <f>IF(ISNUMBER('Apostas - Grupos'!BL8),'Apostas - Grupos'!BL8,0)+IF(ISNUMBER('Apostas - Grupos'!BP8),'Apostas - Grupos'!BQ8,0)+IF(ISNUMBER('Apostas - Grupos'!BT8),'Apostas - Grupos'!BU8,0)</f>
        <v>0</v>
      </c>
      <c r="G296" s="120">
        <f t="shared" si="15"/>
        <v>0</v>
      </c>
      <c r="H296" s="34">
        <f t="shared" si="16"/>
        <v>0</v>
      </c>
      <c r="I296" s="120">
        <f t="shared" si="17"/>
        <v>200000470</v>
      </c>
      <c r="J296" s="34">
        <f>RANK(I296,$I$293:$I$296,0)</f>
        <v>4</v>
      </c>
      <c r="K296" s="120">
        <f>IF(AND(ISNUMBER('Apostas - Grupos'!BL8),ISNUMBER('Apostas - Grupos'!BM8)),1,0)+IF(AND(ISNUMBER('Apostas - Grupos'!BP8),ISNUMBER('Apostas - Grupos'!BQ8)),1,0)+IF(AND(ISNUMBER('Apostas - Grupos'!BT8),ISNUMBER('Apostas - Grupos'!BU8)),1,0)</f>
        <v>0</v>
      </c>
      <c r="L296" s="120">
        <f t="shared" si="18"/>
        <v>0</v>
      </c>
      <c r="M296" s="120">
        <v>30</v>
      </c>
    </row>
    <row r="297" spans="1:13">
      <c r="A297" s="121" t="s">
        <v>120</v>
      </c>
      <c r="B297" s="40" t="s">
        <v>121</v>
      </c>
      <c r="C297" s="122">
        <f>IF(AND(ISNUMBER('Apostas - Grupos'!BV8),ISNUMBER('Apostas - Grupos'!BW8)),IF('Apostas - Grupos'!BV8&gt;'Apostas - Grupos'!BW8,1,0),0)+IF(AND(ISNUMBER('Apostas - Grupos'!BZ8),ISNUMBER('Apostas - Grupos'!CA8)),IF('Apostas - Grupos'!BZ8&gt;'Apostas - Grupos'!CA8,1,0),0)+IF(AND(ISNUMBER('Apostas - Grupos'!CF8),ISNUMBER('Apostas - Grupos'!CG8)),IF('Apostas - Grupos'!CG8&gt;'Apostas - Grupos'!CF8,1,0),0)</f>
        <v>0</v>
      </c>
      <c r="D297" s="122">
        <f>IF(AND(ISNUMBER('Apostas - Grupos'!BV8),ISNUMBER('Apostas - Grupos'!BW8)),IF('Apostas - Grupos'!BV8='Apostas - Grupos'!BW8,1,0),0)+IF(AND(ISNUMBER('Apostas - Grupos'!BZ8),ISNUMBER('Apostas - Grupos'!CA8)),IF('Apostas - Grupos'!BZ8='Apostas - Grupos'!CA8,1,0),0)+IF(AND(ISNUMBER('Apostas - Grupos'!CF8),ISNUMBER('Apostas - Grupos'!CG8)),IF('Apostas - Grupos'!CF8='Apostas - Grupos'!CG8,1,0),0)</f>
        <v>0</v>
      </c>
      <c r="E297" s="122">
        <f>IF(ISNUMBER('Apostas - Grupos'!BV8),'Apostas - Grupos'!BV8,0)+IF(ISNUMBER('Apostas - Grupos'!BZ8),'Apostas - Grupos'!BZ8,0)+IF(ISNUMBER('Apostas - Grupos'!CF8),'Apostas - Grupos'!CG8,0)</f>
        <v>0</v>
      </c>
      <c r="F297" s="122">
        <f>IF(ISNUMBER('Apostas - Grupos'!BV8),'Apostas - Grupos'!BW8,0)+IF(ISNUMBER('Apostas - Grupos'!BZ8),'Apostas - Grupos'!CA8,0)+IF(ISNUMBER('Apostas - Grupos'!CF8),'Apostas - Grupos'!CF8,0)</f>
        <v>0</v>
      </c>
      <c r="G297" s="122">
        <f t="shared" si="15"/>
        <v>0</v>
      </c>
      <c r="H297" s="39">
        <f t="shared" si="16"/>
        <v>0</v>
      </c>
      <c r="I297" s="122">
        <f t="shared" si="17"/>
        <v>200000497</v>
      </c>
      <c r="J297" s="39">
        <f>RANK(I297,$I$297:$I$300,0)</f>
        <v>1</v>
      </c>
      <c r="K297" s="122">
        <f>IF(AND(ISNUMBER('Apostas - Grupos'!BV8),ISNUMBER('Apostas - Grupos'!BW8)),1,0)+IF(AND(ISNUMBER('Apostas - Grupos'!BZ8),ISNUMBER('Apostas - Grupos'!CA8)),1,0)+IF(AND(ISNUMBER('Apostas - Grupos'!CF8),ISNUMBER('Apostas - Grupos'!CG8)),1,0)</f>
        <v>0</v>
      </c>
      <c r="L297" s="122">
        <f t="shared" si="18"/>
        <v>0</v>
      </c>
      <c r="M297" s="122">
        <v>3</v>
      </c>
    </row>
    <row r="298" spans="1:13">
      <c r="A298" s="121" t="s">
        <v>120</v>
      </c>
      <c r="B298" s="40" t="s">
        <v>122</v>
      </c>
      <c r="C298" s="122">
        <f>IF(AND(ISNUMBER('Apostas - Grupos'!BV8),ISNUMBER('Apostas - Grupos'!BW8)),IF('Apostas - Grupos'!BW8&gt;'Apostas - Grupos'!BV8,1,0),0)+IF(AND(ISNUMBER('Apostas - Grupos'!CB8),ISNUMBER('Apostas - Grupos'!CC8)),IF('Apostas - Grupos'!CC8&gt;'Apostas - Grupos'!CB8,1,0),0)+IF(AND(ISNUMBER('Apostas - Grupos'!CD8),ISNUMBER('Apostas - Grupos'!CE8)),IF('Apostas - Grupos'!CD8&gt;'Apostas - Grupos'!CE8,1,0),0)</f>
        <v>0</v>
      </c>
      <c r="D298" s="122">
        <f>IF(AND(ISNUMBER('Apostas - Grupos'!BV8),ISNUMBER('Apostas - Grupos'!BW8)),IF('Apostas - Grupos'!BV8='Apostas - Grupos'!BW8,1,0),0)+IF(AND(ISNUMBER('Apostas - Grupos'!CB8),ISNUMBER('Apostas - Grupos'!CC8)),IF('Apostas - Grupos'!CB8='Apostas - Grupos'!CC8,1,0),0)+IF(AND(ISNUMBER('Apostas - Grupos'!CD8),ISNUMBER('Apostas - Grupos'!CE8)),IF('Apostas - Grupos'!CD8='Apostas - Grupos'!CE8,1,0),0)</f>
        <v>0</v>
      </c>
      <c r="E298" s="122">
        <f>IF(ISNUMBER('Apostas - Grupos'!BV8),'Apostas - Grupos'!BW8,0)+IF(ISNUMBER('Apostas - Grupos'!CB8),'Apostas - Grupos'!CC8,0)+IF(ISNUMBER('Apostas - Grupos'!CD8),'Apostas - Grupos'!CD8,0)</f>
        <v>0</v>
      </c>
      <c r="F298" s="122">
        <f>IF(ISNUMBER('Apostas - Grupos'!BV8),'Apostas - Grupos'!BV8,0)+IF(ISNUMBER('Apostas - Grupos'!CB8),'Apostas - Grupos'!CB8,0)+IF(ISNUMBER('Apostas - Grupos'!CD8),'Apostas - Grupos'!CE8,0)</f>
        <v>0</v>
      </c>
      <c r="G298" s="122">
        <f t="shared" si="15"/>
        <v>0</v>
      </c>
      <c r="H298" s="39">
        <f t="shared" si="16"/>
        <v>0</v>
      </c>
      <c r="I298" s="122">
        <f t="shared" si="17"/>
        <v>200000464</v>
      </c>
      <c r="J298" s="39">
        <f>RANK(I298,$I$297:$I$300,0)</f>
        <v>3</v>
      </c>
      <c r="K298" s="122">
        <f>IF(AND(ISNUMBER('Apostas - Grupos'!BV8),ISNUMBER('Apostas - Grupos'!BW8)),1,0)+IF(AND(ISNUMBER('Apostas - Grupos'!CB8),ISNUMBER('Apostas - Grupos'!CC8)),1,0)+IF(AND(ISNUMBER('Apostas - Grupos'!CD8),ISNUMBER('Apostas - Grupos'!CE8)),1,0)</f>
        <v>0</v>
      </c>
      <c r="L298" s="122">
        <f t="shared" si="18"/>
        <v>0</v>
      </c>
      <c r="M298" s="122">
        <v>36</v>
      </c>
    </row>
    <row r="299" spans="1:13">
      <c r="A299" s="121" t="s">
        <v>120</v>
      </c>
      <c r="B299" s="40" t="s">
        <v>124</v>
      </c>
      <c r="C299" s="122">
        <f>IF(AND(ISNUMBER('Apostas - Grupos'!BX8),ISNUMBER('Apostas - Grupos'!BY8)),IF('Apostas - Grupos'!BX8&gt;'Apostas - Grupos'!BY8,1,0),0)+IF(AND(ISNUMBER('Apostas - Grupos'!BZ8),ISNUMBER('Apostas - Grupos'!CA8)),IF('Apostas - Grupos'!CA8&gt;'Apostas - Grupos'!BZ8,1,0),0)+IF(AND(ISNUMBER('Apostas - Grupos'!CD8),ISNUMBER('Apostas - Grupos'!CE8)),IF('Apostas - Grupos'!CE8&gt;'Apostas - Grupos'!CD8,1,0),0)</f>
        <v>0</v>
      </c>
      <c r="D299" s="122">
        <f>IF(AND(ISNUMBER('Apostas - Grupos'!BX8),ISNUMBER('Apostas - Grupos'!BY8)),IF('Apostas - Grupos'!BX8='Apostas - Grupos'!BY8,1,0),0)+IF(AND(ISNUMBER('Apostas - Grupos'!BZ8),ISNUMBER('Apostas - Grupos'!CA8)),IF('Apostas - Grupos'!BZ8='Apostas - Grupos'!CA8,1,0),0)+IF(AND(ISNUMBER('Apostas - Grupos'!CD8),ISNUMBER('Apostas - Grupos'!CE8)),IF('Apostas - Grupos'!CD8='Apostas - Grupos'!CE8,1,0),0)</f>
        <v>0</v>
      </c>
      <c r="E299" s="122">
        <f>IF(ISNUMBER('Apostas - Grupos'!BX8),'Apostas - Grupos'!BX8,0)+IF(ISNUMBER('Apostas - Grupos'!BZ8),'Apostas - Grupos'!CA8,0)+IF(ISNUMBER('Apostas - Grupos'!CD8),'Apostas - Grupos'!CE8,0)</f>
        <v>0</v>
      </c>
      <c r="F299" s="122">
        <f>IF(ISNUMBER('Apostas - Grupos'!BX8),'Apostas - Grupos'!BY8,0)+IF(ISNUMBER('Apostas - Grupos'!BZ8),'Apostas - Grupos'!BZ8,0)+IF(ISNUMBER('Apostas - Grupos'!CD8),'Apostas - Grupos'!CD8,0)</f>
        <v>0</v>
      </c>
      <c r="G299" s="122">
        <f t="shared" si="15"/>
        <v>0</v>
      </c>
      <c r="H299" s="39">
        <f t="shared" si="16"/>
        <v>0</v>
      </c>
      <c r="I299" s="122">
        <f t="shared" si="17"/>
        <v>200000475</v>
      </c>
      <c r="J299" s="39">
        <f>RANK(I299,$I$297:$I$300,0)</f>
        <v>2</v>
      </c>
      <c r="K299" s="122">
        <f>IF(AND(ISNUMBER('Apostas - Grupos'!BX8),ISNUMBER('Apostas - Grupos'!BY8)),1,0)+IF(AND(ISNUMBER('Apostas - Grupos'!BZ8),ISNUMBER('Apostas - Grupos'!CA8)),1,0)+IF(AND(ISNUMBER('Apostas - Grupos'!CD8),ISNUMBER('Apostas - Grupos'!CE8)),1,0)</f>
        <v>0</v>
      </c>
      <c r="L299" s="122">
        <f t="shared" si="18"/>
        <v>0</v>
      </c>
      <c r="M299" s="122">
        <v>25</v>
      </c>
    </row>
    <row r="300" spans="1:13">
      <c r="A300" s="121" t="s">
        <v>120</v>
      </c>
      <c r="B300" s="40" t="s">
        <v>125</v>
      </c>
      <c r="C300" s="122">
        <f>IF(AND(ISNUMBER('Apostas - Grupos'!BX8),ISNUMBER('Apostas - Grupos'!BY8)),IF('Apostas - Grupos'!BY8&gt;'Apostas - Grupos'!BX8,1,0),0)+IF(AND(ISNUMBER('Apostas - Grupos'!CB8),ISNUMBER('Apostas - Grupos'!CC8)),IF('Apostas - Grupos'!CB8&gt;'Apostas - Grupos'!CC8,1,0),0)+IF(AND(ISNUMBER('Apostas - Grupos'!CF8),ISNUMBER('Apostas - Grupos'!CG8)),IF('Apostas - Grupos'!CF8&gt;'Apostas - Grupos'!CG8,1,0),0)</f>
        <v>0</v>
      </c>
      <c r="D300" s="122">
        <f>IF(AND(ISNUMBER('Apostas - Grupos'!BX8),ISNUMBER('Apostas - Grupos'!BY8)),IF('Apostas - Grupos'!BX8='Apostas - Grupos'!BY8,1,0),0)+IF(AND(ISNUMBER('Apostas - Grupos'!CB8),ISNUMBER('Apostas - Grupos'!CC8)),IF('Apostas - Grupos'!CB8='Apostas - Grupos'!CC8,1,0),0)+IF(AND(ISNUMBER('Apostas - Grupos'!CF8),ISNUMBER('Apostas - Grupos'!CG8)),IF('Apostas - Grupos'!CF8='Apostas - Grupos'!CG8,1,0),0)</f>
        <v>0</v>
      </c>
      <c r="E300" s="122">
        <f>IF(ISNUMBER('Apostas - Grupos'!BX8),'Apostas - Grupos'!BY8,0)+IF(ISNUMBER('Apostas - Grupos'!CB8),'Apostas - Grupos'!CB8,0)+IF(ISNUMBER('Apostas - Grupos'!CF8),'Apostas - Grupos'!CF8,0)</f>
        <v>0</v>
      </c>
      <c r="F300" s="122">
        <f>IF(ISNUMBER('Apostas - Grupos'!BX8),'Apostas - Grupos'!BX8,0)+IF(ISNUMBER('Apostas - Grupos'!CB8),'Apostas - Grupos'!CC8,0)+IF(ISNUMBER('Apostas - Grupos'!CF8),'Apostas - Grupos'!CG8,0)</f>
        <v>0</v>
      </c>
      <c r="G300" s="122">
        <f t="shared" si="15"/>
        <v>0</v>
      </c>
      <c r="H300" s="39">
        <f t="shared" si="16"/>
        <v>0</v>
      </c>
      <c r="I300" s="122">
        <f t="shared" si="17"/>
        <v>200000402</v>
      </c>
      <c r="J300" s="39">
        <f>RANK(I300,$I$297:$I$300,0)</f>
        <v>4</v>
      </c>
      <c r="K300" s="122">
        <f>IF(AND(ISNUMBER('Apostas - Grupos'!BX8),ISNUMBER('Apostas - Grupos'!BY8)),1,0)+IF(AND(ISNUMBER('Apostas - Grupos'!CB8),ISNUMBER('Apostas - Grupos'!CC8)),1,0)+IF(AND(ISNUMBER('Apostas - Grupos'!CF8),ISNUMBER('Apostas - Grupos'!CG8)),1,0)</f>
        <v>0</v>
      </c>
      <c r="L300" s="122">
        <f t="shared" si="18"/>
        <v>0</v>
      </c>
      <c r="M300" s="122">
        <v>98</v>
      </c>
    </row>
    <row r="301" spans="1:13">
      <c r="A301" s="123" t="s">
        <v>131</v>
      </c>
      <c r="B301" s="45" t="s">
        <v>132</v>
      </c>
      <c r="C301" s="124">
        <f>IF(AND(ISNUMBER('Apostas - Grupos'!CH8),ISNUMBER('Apostas - Grupos'!CI8)),IF('Apostas - Grupos'!CH8&gt;'Apostas - Grupos'!CI8,1,0),0)+IF(AND(ISNUMBER('Apostas - Grupos'!CL8),ISNUMBER('Apostas - Grupos'!CM8)),IF('Apostas - Grupos'!CL8&gt;'Apostas - Grupos'!CM8,1,0),0)+IF(AND(ISNUMBER('Apostas - Grupos'!CR8),ISNUMBER('Apostas - Grupos'!CS8)),IF('Apostas - Grupos'!CS8&gt;'Apostas - Grupos'!CR8,1,0),0)</f>
        <v>0</v>
      </c>
      <c r="D301" s="124">
        <f>IF(AND(ISNUMBER('Apostas - Grupos'!CH8),ISNUMBER('Apostas - Grupos'!CI8)),IF('Apostas - Grupos'!CH8='Apostas - Grupos'!CI8,1,0),0)+IF(AND(ISNUMBER('Apostas - Grupos'!CL8),ISNUMBER('Apostas - Grupos'!CM8)),IF('Apostas - Grupos'!CL8='Apostas - Grupos'!CM8,1,0),0)+IF(AND(ISNUMBER('Apostas - Grupos'!CR8),ISNUMBER('Apostas - Grupos'!CS8)),IF('Apostas - Grupos'!CR8='Apostas - Grupos'!CS8,1,0),0)</f>
        <v>0</v>
      </c>
      <c r="E301" s="124">
        <f>IF(ISNUMBER('Apostas - Grupos'!CH8),'Apostas - Grupos'!CH8,0)+IF(ISNUMBER('Apostas - Grupos'!CL8),'Apostas - Grupos'!CL8,0)+IF(ISNUMBER('Apostas - Grupos'!CR8),'Apostas - Grupos'!CS8,0)</f>
        <v>0</v>
      </c>
      <c r="F301" s="124">
        <f>IF(ISNUMBER('Apostas - Grupos'!CH8),'Apostas - Grupos'!CI8,0)+IF(ISNUMBER('Apostas - Grupos'!CL8),'Apostas - Grupos'!CM8,0)+IF(ISNUMBER('Apostas - Grupos'!CR8),'Apostas - Grupos'!CR8,0)</f>
        <v>0</v>
      </c>
      <c r="G301" s="124">
        <f t="shared" si="15"/>
        <v>0</v>
      </c>
      <c r="H301" s="44">
        <f t="shared" si="16"/>
        <v>0</v>
      </c>
      <c r="I301" s="124">
        <f t="shared" si="17"/>
        <v>200000496</v>
      </c>
      <c r="J301" s="44">
        <f>RANK(I301,$I$301:$I$304,0)</f>
        <v>1</v>
      </c>
      <c r="K301" s="124">
        <f>IF(AND(ISNUMBER('Apostas - Grupos'!CH8),ISNUMBER('Apostas - Grupos'!CI8)),1,0)+IF(AND(ISNUMBER('Apostas - Grupos'!CL8),ISNUMBER('Apostas - Grupos'!CM8)),1,0)+IF(AND(ISNUMBER('Apostas - Grupos'!CR8),ISNUMBER('Apostas - Grupos'!CS8)),1,0)</f>
        <v>0</v>
      </c>
      <c r="L301" s="124">
        <f t="shared" si="18"/>
        <v>0</v>
      </c>
      <c r="M301" s="124">
        <v>4</v>
      </c>
    </row>
    <row r="302" spans="1:13">
      <c r="A302" s="123" t="s">
        <v>131</v>
      </c>
      <c r="B302" s="45" t="s">
        <v>133</v>
      </c>
      <c r="C302" s="124">
        <f>IF(AND(ISNUMBER('Apostas - Grupos'!CH8),ISNUMBER('Apostas - Grupos'!CI8)),IF('Apostas - Grupos'!CI8&gt;'Apostas - Grupos'!CH8,1,0),0)+IF(AND(ISNUMBER('Apostas - Grupos'!CN8),ISNUMBER('Apostas - Grupos'!CO8)),IF('Apostas - Grupos'!CO8&gt;'Apostas - Grupos'!CN8,1,0),0)+IF(AND(ISNUMBER('Apostas - Grupos'!CP8),ISNUMBER('Apostas - Grupos'!CQ8)),IF('Apostas - Grupos'!CP8&gt;'Apostas - Grupos'!CQ8,1,0),0)</f>
        <v>0</v>
      </c>
      <c r="D302" s="124">
        <f>IF(AND(ISNUMBER('Apostas - Grupos'!CH8),ISNUMBER('Apostas - Grupos'!CI8)),IF('Apostas - Grupos'!CH8='Apostas - Grupos'!CI8,1,0),0)+IF(AND(ISNUMBER('Apostas - Grupos'!CN8),ISNUMBER('Apostas - Grupos'!CO8)),IF('Apostas - Grupos'!CN8='Apostas - Grupos'!CO8,1,0),0)+IF(AND(ISNUMBER('Apostas - Grupos'!CP8),ISNUMBER('Apostas - Grupos'!CQ8)),IF('Apostas - Grupos'!CP8='Apostas - Grupos'!CQ8,1,0),0)</f>
        <v>0</v>
      </c>
      <c r="E302" s="124">
        <f>IF(ISNUMBER('Apostas - Grupos'!CH8),'Apostas - Grupos'!CI8,0)+IF(ISNUMBER('Apostas - Grupos'!CN8),'Apostas - Grupos'!CO8,0)+IF(ISNUMBER('Apostas - Grupos'!CP8),'Apostas - Grupos'!CP8,0)</f>
        <v>0</v>
      </c>
      <c r="F302" s="124">
        <f>IF(ISNUMBER('Apostas - Grupos'!CH8),'Apostas - Grupos'!CH8,0)+IF(ISNUMBER('Apostas - Grupos'!CN8),'Apostas - Grupos'!CN8,0)+IF(ISNUMBER('Apostas - Grupos'!CP8),'Apostas - Grupos'!CQ8,0)</f>
        <v>0</v>
      </c>
      <c r="G302" s="124">
        <f t="shared" si="15"/>
        <v>0</v>
      </c>
      <c r="H302" s="44">
        <f t="shared" si="16"/>
        <v>0</v>
      </c>
      <c r="I302" s="124">
        <f t="shared" si="17"/>
        <v>200000412</v>
      </c>
      <c r="J302" s="44">
        <f>RANK(I302,$I$301:$I$304,0)</f>
        <v>4</v>
      </c>
      <c r="K302" s="124">
        <f>IF(AND(ISNUMBER('Apostas - Grupos'!CH8),ISNUMBER('Apostas - Grupos'!CI8)),1,0)+IF(AND(ISNUMBER('Apostas - Grupos'!CN8),ISNUMBER('Apostas - Grupos'!CO8)),1,0)+IF(AND(ISNUMBER('Apostas - Grupos'!CP8),ISNUMBER('Apostas - Grupos'!CQ8)),1,0)</f>
        <v>0</v>
      </c>
      <c r="L302" s="124">
        <f t="shared" si="18"/>
        <v>0</v>
      </c>
      <c r="M302" s="124">
        <v>88</v>
      </c>
    </row>
    <row r="303" spans="1:13">
      <c r="A303" s="123" t="s">
        <v>131</v>
      </c>
      <c r="B303" s="45" t="s">
        <v>135</v>
      </c>
      <c r="C303" s="124">
        <f>IF(AND(ISNUMBER('Apostas - Grupos'!CJ8),ISNUMBER('Apostas - Grupos'!CK8)),IF('Apostas - Grupos'!CJ8&gt;'Apostas - Grupos'!CK8,1,0),0)+IF(AND(ISNUMBER('Apostas - Grupos'!CL8),ISNUMBER('Apostas - Grupos'!CM8)),IF('Apostas - Grupos'!CM8&gt;'Apostas - Grupos'!CL8,1,0),0)+IF(AND(ISNUMBER('Apostas - Grupos'!CP8),ISNUMBER('Apostas - Grupos'!CQ8)),IF('Apostas - Grupos'!CQ8&gt;'Apostas - Grupos'!CP8,1,0),0)</f>
        <v>0</v>
      </c>
      <c r="D303" s="124">
        <f>IF(AND(ISNUMBER('Apostas - Grupos'!CJ8),ISNUMBER('Apostas - Grupos'!CK8)),IF('Apostas - Grupos'!CJ8='Apostas - Grupos'!CK8,1,0),0)+IF(AND(ISNUMBER('Apostas - Grupos'!CL8),ISNUMBER('Apostas - Grupos'!CM8)),IF('Apostas - Grupos'!CL8='Apostas - Grupos'!CM8,1,0),0)+IF(AND(ISNUMBER('Apostas - Grupos'!CP8),ISNUMBER('Apostas - Grupos'!CQ8)),IF('Apostas - Grupos'!CP8='Apostas - Grupos'!CQ8,1,0),0)</f>
        <v>0</v>
      </c>
      <c r="E303" s="124">
        <f>IF(ISNUMBER('Apostas - Grupos'!CJ8),'Apostas - Grupos'!CJ8,0)+IF(ISNUMBER('Apostas - Grupos'!CL8),'Apostas - Grupos'!CM8,0)+IF(ISNUMBER('Apostas - Grupos'!CP8),'Apostas - Grupos'!CQ8,0)</f>
        <v>0</v>
      </c>
      <c r="F303" s="124">
        <f>IF(ISNUMBER('Apostas - Grupos'!CJ8),'Apostas - Grupos'!CK8,0)+IF(ISNUMBER('Apostas - Grupos'!CL8),'Apostas - Grupos'!CL8,0)+IF(ISNUMBER('Apostas - Grupos'!CP8),'Apostas - Grupos'!CP8,0)</f>
        <v>0</v>
      </c>
      <c r="G303" s="124">
        <f t="shared" si="15"/>
        <v>0</v>
      </c>
      <c r="H303" s="44">
        <f t="shared" si="16"/>
        <v>0</v>
      </c>
      <c r="I303" s="124">
        <f t="shared" si="17"/>
        <v>200000443</v>
      </c>
      <c r="J303" s="44">
        <f>RANK(I303,$I$301:$I$304,0)</f>
        <v>3</v>
      </c>
      <c r="K303" s="124">
        <f>IF(AND(ISNUMBER('Apostas - Grupos'!CJ8),ISNUMBER('Apostas - Grupos'!CK8)),1,0)+IF(AND(ISNUMBER('Apostas - Grupos'!CL8),ISNUMBER('Apostas - Grupos'!CM8)),1,0)+IF(AND(ISNUMBER('Apostas - Grupos'!CP8),ISNUMBER('Apostas - Grupos'!CQ8)),1,0)</f>
        <v>0</v>
      </c>
      <c r="L303" s="124">
        <f t="shared" si="18"/>
        <v>0</v>
      </c>
      <c r="M303" s="124">
        <v>57</v>
      </c>
    </row>
    <row r="304" spans="1:13">
      <c r="A304" s="123" t="s">
        <v>131</v>
      </c>
      <c r="B304" s="45" t="s">
        <v>136</v>
      </c>
      <c r="C304" s="124">
        <f>IF(AND(ISNUMBER('Apostas - Grupos'!CJ8),ISNUMBER('Apostas - Grupos'!CK8)),IF('Apostas - Grupos'!CK8&gt;'Apostas - Grupos'!CJ8,1,0),0)+IF(AND(ISNUMBER('Apostas - Grupos'!CN8),ISNUMBER('Apostas - Grupos'!CO8)),IF('Apostas - Grupos'!CN8&gt;'Apostas - Grupos'!CO8,1,0),0)+IF(AND(ISNUMBER('Apostas - Grupos'!CR8),ISNUMBER('Apostas - Grupos'!CS8)),IF('Apostas - Grupos'!CR8&gt;'Apostas - Grupos'!CS8,1,0),0)</f>
        <v>0</v>
      </c>
      <c r="D304" s="124">
        <f>IF(AND(ISNUMBER('Apostas - Grupos'!CJ8),ISNUMBER('Apostas - Grupos'!CK8)),IF('Apostas - Grupos'!CJ8='Apostas - Grupos'!CK8,1,0),0)+IF(AND(ISNUMBER('Apostas - Grupos'!CN8),ISNUMBER('Apostas - Grupos'!CO8)),IF('Apostas - Grupos'!CN8='Apostas - Grupos'!CO8,1,0),0)+IF(AND(ISNUMBER('Apostas - Grupos'!CR8),ISNUMBER('Apostas - Grupos'!CS8)),IF('Apostas - Grupos'!CR8='Apostas - Grupos'!CS8,1,0),0)</f>
        <v>0</v>
      </c>
      <c r="E304" s="124">
        <f>IF(ISNUMBER('Apostas - Grupos'!CJ8),'Apostas - Grupos'!CK8,0)+IF(ISNUMBER('Apostas - Grupos'!CN8),'Apostas - Grupos'!CN8,0)+IF(ISNUMBER('Apostas - Grupos'!CR8),'Apostas - Grupos'!CR8,0)</f>
        <v>0</v>
      </c>
      <c r="F304" s="124">
        <f>IF(ISNUMBER('Apostas - Grupos'!CJ8),'Apostas - Grupos'!CJ8,0)+IF(ISNUMBER('Apostas - Grupos'!CN8),'Apostas - Grupos'!CO8,0)+IF(ISNUMBER('Apostas - Grupos'!CR8),'Apostas - Grupos'!CS8,0)</f>
        <v>0</v>
      </c>
      <c r="G304" s="124">
        <f t="shared" si="15"/>
        <v>0</v>
      </c>
      <c r="H304" s="44">
        <f t="shared" si="16"/>
        <v>0</v>
      </c>
      <c r="I304" s="124">
        <f t="shared" si="17"/>
        <v>200000483</v>
      </c>
      <c r="J304" s="44">
        <f>RANK(I304,$I$301:$I$304,0)</f>
        <v>2</v>
      </c>
      <c r="K304" s="124">
        <f>IF(AND(ISNUMBER('Apostas - Grupos'!CJ8),ISNUMBER('Apostas - Grupos'!CK8)),1,0)+IF(AND(ISNUMBER('Apostas - Grupos'!CN8),ISNUMBER('Apostas - Grupos'!CO8)),1,0)+IF(AND(ISNUMBER('Apostas - Grupos'!CR8),ISNUMBER('Apostas - Grupos'!CS8)),1,0)</f>
        <v>0</v>
      </c>
      <c r="L304" s="124">
        <f t="shared" si="18"/>
        <v>0</v>
      </c>
      <c r="M304" s="124">
        <v>17</v>
      </c>
    </row>
    <row r="305" spans="1:13">
      <c r="A305" s="125" t="s">
        <v>142</v>
      </c>
      <c r="B305" s="50" t="s">
        <v>143</v>
      </c>
      <c r="C305" s="126">
        <f>IF(AND(ISNUMBER('Apostas - Grupos'!CT8),ISNUMBER('Apostas - Grupos'!CU8)),IF('Apostas - Grupos'!CT8&gt;'Apostas - Grupos'!CU8,1,0),0)+IF(AND(ISNUMBER('Apostas - Grupos'!CX8),ISNUMBER('Apostas - Grupos'!CY8)),IF('Apostas - Grupos'!CX8&gt;'Apostas - Grupos'!CY8,1,0),0)+IF(AND(ISNUMBER('Apostas - Grupos'!DB8),ISNUMBER('Apostas - Grupos'!DC8)),IF('Apostas - Grupos'!DC8&gt;'Apostas - Grupos'!DB8,1,0),0)</f>
        <v>0</v>
      </c>
      <c r="D305" s="126">
        <f>IF(AND(ISNUMBER('Apostas - Grupos'!CT8),ISNUMBER('Apostas - Grupos'!CU8)),IF('Apostas - Grupos'!CT8='Apostas - Grupos'!CU8,1,0),0)+IF(AND(ISNUMBER('Apostas - Grupos'!CX8),ISNUMBER('Apostas - Grupos'!CY8)),IF('Apostas - Grupos'!CX8='Apostas - Grupos'!CY8,1,0),0)+IF(AND(ISNUMBER('Apostas - Grupos'!DB8),ISNUMBER('Apostas - Grupos'!DC8)),IF('Apostas - Grupos'!DB8='Apostas - Grupos'!DC8,1,0),0)</f>
        <v>0</v>
      </c>
      <c r="E305" s="126">
        <f>IF(ISNUMBER('Apostas - Grupos'!CT8),'Apostas - Grupos'!CT8,0)+IF(ISNUMBER('Apostas - Grupos'!CX8),'Apostas - Grupos'!CX8,0)+IF(ISNUMBER('Apostas - Grupos'!DB8),'Apostas - Grupos'!DC8,0)</f>
        <v>0</v>
      </c>
      <c r="F305" s="126">
        <f>IF(ISNUMBER('Apostas - Grupos'!CT8),'Apostas - Grupos'!CU8,0)+IF(ISNUMBER('Apostas - Grupos'!CX8),'Apostas - Grupos'!CY8,0)+IF(ISNUMBER('Apostas - Grupos'!DB8),'Apostas - Grupos'!DB8,0)</f>
        <v>0</v>
      </c>
      <c r="G305" s="126">
        <f t="shared" si="15"/>
        <v>0</v>
      </c>
      <c r="H305" s="49">
        <f t="shared" si="16"/>
        <v>0</v>
      </c>
      <c r="I305" s="126">
        <f t="shared" si="17"/>
        <v>200000498</v>
      </c>
      <c r="J305" s="49">
        <f>RANK(I305,$I$305:$I$308,0)</f>
        <v>1</v>
      </c>
      <c r="K305" s="126">
        <f>IF(AND(ISNUMBER('Apostas - Grupos'!CT8),ISNUMBER('Apostas - Grupos'!CU8)),1,0)+IF(AND(ISNUMBER('Apostas - Grupos'!CX8),ISNUMBER('Apostas - Grupos'!CY8)),1,0)+IF(AND(ISNUMBER('Apostas - Grupos'!DB8),ISNUMBER('Apostas - Grupos'!DC8)),1,0)</f>
        <v>0</v>
      </c>
      <c r="L305" s="126">
        <f t="shared" si="18"/>
        <v>0</v>
      </c>
      <c r="M305" s="126">
        <v>2</v>
      </c>
    </row>
    <row r="306" spans="1:13">
      <c r="A306" s="125" t="s">
        <v>142</v>
      </c>
      <c r="B306" s="50" t="s">
        <v>144</v>
      </c>
      <c r="C306" s="126">
        <f>IF(AND(ISNUMBER('Apostas - Grupos'!CT8),ISNUMBER('Apostas - Grupos'!CU8)),IF('Apostas - Grupos'!CU8&gt;'Apostas - Grupos'!CT8,1,0),0)+IF(AND(ISNUMBER('Apostas - Grupos'!CZ8),ISNUMBER('Apostas - Grupos'!DA8)),IF('Apostas - Grupos'!DA8&gt;'Apostas - Grupos'!CZ8,1,0),0)+IF(AND(ISNUMBER('Apostas - Grupos'!DD8),ISNUMBER('Apostas - Grupos'!DE8)),IF('Apostas - Grupos'!DD8&gt;'Apostas - Grupos'!DE8,1,0),0)</f>
        <v>0</v>
      </c>
      <c r="D306" s="126">
        <f>IF(AND(ISNUMBER('Apostas - Grupos'!CT8),ISNUMBER('Apostas - Grupos'!CU8)),IF('Apostas - Grupos'!CT8='Apostas - Grupos'!CU8,1,0),0)+IF(AND(ISNUMBER('Apostas - Grupos'!CZ8),ISNUMBER('Apostas - Grupos'!DA8)),IF('Apostas - Grupos'!CZ8='Apostas - Grupos'!DA8,1,0),0)+IF(AND(ISNUMBER('Apostas - Grupos'!DD8),ISNUMBER('Apostas - Grupos'!DE8)),IF('Apostas - Grupos'!DD8='Apostas - Grupos'!DE8,1,0),0)</f>
        <v>0</v>
      </c>
      <c r="E306" s="126">
        <f>IF(ISNUMBER('Apostas - Grupos'!CT8),'Apostas - Grupos'!CU8,0)+IF(ISNUMBER('Apostas - Grupos'!CZ8),'Apostas - Grupos'!DA8,0)+IF(ISNUMBER('Apostas - Grupos'!DD8),'Apostas - Grupos'!DD8,0)</f>
        <v>0</v>
      </c>
      <c r="F306" s="126">
        <f>IF(ISNUMBER('Apostas - Grupos'!CT8),'Apostas - Grupos'!CT8,0)+IF(ISNUMBER('Apostas - Grupos'!CZ8),'Apostas - Grupos'!CZ8,0)+IF(ISNUMBER('Apostas - Grupos'!DD8),'Apostas - Grupos'!DE8,0)</f>
        <v>0</v>
      </c>
      <c r="G306" s="126">
        <f t="shared" si="15"/>
        <v>0</v>
      </c>
      <c r="H306" s="49">
        <f t="shared" si="16"/>
        <v>0</v>
      </c>
      <c r="I306" s="126">
        <f t="shared" si="17"/>
        <v>200000479</v>
      </c>
      <c r="J306" s="49">
        <f>RANK(I306,$I$305:$I$308,0)</f>
        <v>2</v>
      </c>
      <c r="K306" s="126">
        <f>IF(AND(ISNUMBER('Apostas - Grupos'!CT8),ISNUMBER('Apostas - Grupos'!CU8)),1,0)+IF(AND(ISNUMBER('Apostas - Grupos'!CZ8),ISNUMBER('Apostas - Grupos'!DA8)),1,0)+IF(AND(ISNUMBER('Apostas - Grupos'!DD8),ISNUMBER('Apostas - Grupos'!DE8)),1,0)</f>
        <v>0</v>
      </c>
      <c r="L306" s="126">
        <f t="shared" si="18"/>
        <v>0</v>
      </c>
      <c r="M306" s="126">
        <v>21</v>
      </c>
    </row>
    <row r="307" spans="1:13">
      <c r="A307" s="125" t="s">
        <v>142</v>
      </c>
      <c r="B307" s="50" t="s">
        <v>146</v>
      </c>
      <c r="C307" s="126">
        <f>IF(AND(ISNUMBER('Apostas - Grupos'!CV8),ISNUMBER('Apostas - Grupos'!CW8)),IF('Apostas - Grupos'!CV8&gt;'Apostas - Grupos'!CW8,1,0),0)+IF(AND(ISNUMBER('Apostas - Grupos'!CX8),ISNUMBER('Apostas - Grupos'!CY8)),IF('Apostas - Grupos'!CY8&gt;'Apostas - Grupos'!CX8,1,0),0)+IF(AND(ISNUMBER('Apostas - Grupos'!DD8),ISNUMBER('Apostas - Grupos'!DE8)),IF('Apostas - Grupos'!DE8&gt;'Apostas - Grupos'!DD8,1,0),0)</f>
        <v>0</v>
      </c>
      <c r="D307" s="126">
        <f>IF(AND(ISNUMBER('Apostas - Grupos'!CV8),ISNUMBER('Apostas - Grupos'!CW8)),IF('Apostas - Grupos'!CV8='Apostas - Grupos'!CW8,1,0),0)+IF(AND(ISNUMBER('Apostas - Grupos'!CX8),ISNUMBER('Apostas - Grupos'!CY8)),IF('Apostas - Grupos'!CX8='Apostas - Grupos'!CY8,1,0),0)+IF(AND(ISNUMBER('Apostas - Grupos'!DD8),ISNUMBER('Apostas - Grupos'!DE8)),IF('Apostas - Grupos'!DD8='Apostas - Grupos'!DE8,1,0),0)</f>
        <v>0</v>
      </c>
      <c r="E307" s="126">
        <f>IF(ISNUMBER('Apostas - Grupos'!CV8),'Apostas - Grupos'!CV8,0)+IF(ISNUMBER('Apostas - Grupos'!CX8),'Apostas - Grupos'!CY8,0)+IF(ISNUMBER('Apostas - Grupos'!DD8),'Apostas - Grupos'!DE8,0)</f>
        <v>0</v>
      </c>
      <c r="F307" s="126">
        <f>IF(ISNUMBER('Apostas - Grupos'!CV8),'Apostas - Grupos'!CW8,0)+IF(ISNUMBER('Apostas - Grupos'!CX8),'Apostas - Grupos'!CX8,0)+IF(ISNUMBER('Apostas - Grupos'!DD8),'Apostas - Grupos'!DD8,0)</f>
        <v>0</v>
      </c>
      <c r="G307" s="126">
        <f t="shared" si="15"/>
        <v>0</v>
      </c>
      <c r="H307" s="49">
        <f t="shared" si="16"/>
        <v>0</v>
      </c>
      <c r="I307" s="126">
        <f t="shared" si="17"/>
        <v>200000435</v>
      </c>
      <c r="J307" s="49">
        <f>RANK(I307,$I$305:$I$308,0)</f>
        <v>4</v>
      </c>
      <c r="K307" s="126">
        <f>IF(AND(ISNUMBER('Apostas - Grupos'!CV8),ISNUMBER('Apostas - Grupos'!CW8)),1,0)+IF(AND(ISNUMBER('Apostas - Grupos'!CX8),ISNUMBER('Apostas - Grupos'!CY8)),1,0)+IF(AND(ISNUMBER('Apostas - Grupos'!DD8),ISNUMBER('Apostas - Grupos'!DE8)),1,0)</f>
        <v>0</v>
      </c>
      <c r="L307" s="126">
        <f t="shared" si="18"/>
        <v>0</v>
      </c>
      <c r="M307" s="126">
        <v>65</v>
      </c>
    </row>
    <row r="308" spans="1:13">
      <c r="A308" s="125" t="s">
        <v>142</v>
      </c>
      <c r="B308" s="50" t="s">
        <v>147</v>
      </c>
      <c r="C308" s="126">
        <f>IF(AND(ISNUMBER('Apostas - Grupos'!CV8),ISNUMBER('Apostas - Grupos'!CW8)),IF('Apostas - Grupos'!CW8&gt;'Apostas - Grupos'!CV8,1,0),0)+IF(AND(ISNUMBER('Apostas - Grupos'!CZ8),ISNUMBER('Apostas - Grupos'!DA8)),IF('Apostas - Grupos'!CZ8&gt;'Apostas - Grupos'!DA8,1,0),0)+IF(AND(ISNUMBER('Apostas - Grupos'!DB8),ISNUMBER('Apostas - Grupos'!DC8)),IF('Apostas - Grupos'!DB8&gt;'Apostas - Grupos'!DC8,1,0),0)</f>
        <v>0</v>
      </c>
      <c r="D308" s="126">
        <f>IF(AND(ISNUMBER('Apostas - Grupos'!CV8),ISNUMBER('Apostas - Grupos'!CW8)),IF('Apostas - Grupos'!CV8='Apostas - Grupos'!CW8,1,0),0)+IF(AND(ISNUMBER('Apostas - Grupos'!CZ8),ISNUMBER('Apostas - Grupos'!DA8)),IF('Apostas - Grupos'!CZ8='Apostas - Grupos'!DA8,1,0),0)+IF(AND(ISNUMBER('Apostas - Grupos'!DB8),ISNUMBER('Apostas - Grupos'!DC8)),IF('Apostas - Grupos'!DB8='Apostas - Grupos'!DC8,1,0),0)</f>
        <v>0</v>
      </c>
      <c r="E308" s="126">
        <f>IF(ISNUMBER('Apostas - Grupos'!CV8),'Apostas - Grupos'!CW8,0)+IF(ISNUMBER('Apostas - Grupos'!CZ8),'Apostas - Grupos'!CZ8,0)+IF(ISNUMBER('Apostas - Grupos'!DB8),'Apostas - Grupos'!DB8,0)</f>
        <v>0</v>
      </c>
      <c r="F308" s="126">
        <f>IF(ISNUMBER('Apostas - Grupos'!CV8),'Apostas - Grupos'!CV8,0)+IF(ISNUMBER('Apostas - Grupos'!CZ8),'Apostas - Grupos'!DA8,0)+IF(ISNUMBER('Apostas - Grupos'!DB8),'Apostas - Grupos'!DC8,0)</f>
        <v>0</v>
      </c>
      <c r="G308" s="126">
        <f t="shared" si="15"/>
        <v>0</v>
      </c>
      <c r="H308" s="49">
        <f t="shared" si="16"/>
        <v>0</v>
      </c>
      <c r="I308" s="126">
        <f t="shared" si="17"/>
        <v>200000472</v>
      </c>
      <c r="J308" s="49">
        <f>RANK(I308,$I$305:$I$308,0)</f>
        <v>3</v>
      </c>
      <c r="K308" s="126">
        <f>IF(AND(ISNUMBER('Apostas - Grupos'!CV8),ISNUMBER('Apostas - Grupos'!CW8)),1,0)+IF(AND(ISNUMBER('Apostas - Grupos'!CZ8),ISNUMBER('Apostas - Grupos'!DA8)),1,0)+IF(AND(ISNUMBER('Apostas - Grupos'!DB8),ISNUMBER('Apostas - Grupos'!DC8)),1,0)</f>
        <v>0</v>
      </c>
      <c r="L308" s="126">
        <f t="shared" si="18"/>
        <v>0</v>
      </c>
      <c r="M308" s="126">
        <v>28</v>
      </c>
    </row>
    <row r="309" spans="1:13">
      <c r="A309" s="127" t="s">
        <v>153</v>
      </c>
      <c r="B309" s="55" t="s">
        <v>154</v>
      </c>
      <c r="C309" s="128">
        <f>IF(AND(ISNUMBER('Apostas - Grupos'!DF8),ISNUMBER('Apostas - Grupos'!DG8)),IF('Apostas - Grupos'!DF8&gt;'Apostas - Grupos'!DG8,1,0),0)+IF(AND(ISNUMBER('Apostas - Grupos'!DJ8),ISNUMBER('Apostas - Grupos'!DK8)),IF('Apostas - Grupos'!DJ8&gt;'Apostas - Grupos'!DK8,1,0),0)+IF(AND(ISNUMBER('Apostas - Grupos'!DP8),ISNUMBER('Apostas - Grupos'!DQ8)),IF('Apostas - Grupos'!DQ8&gt;'Apostas - Grupos'!DP8,1,0),0)</f>
        <v>0</v>
      </c>
      <c r="D309" s="128">
        <f>IF(AND(ISNUMBER('Apostas - Grupos'!DF8),ISNUMBER('Apostas - Grupos'!DG8)),IF('Apostas - Grupos'!DF8='Apostas - Grupos'!DG8,1,0),0)+IF(AND(ISNUMBER('Apostas - Grupos'!DJ8),ISNUMBER('Apostas - Grupos'!DK8)),IF('Apostas - Grupos'!DJ8='Apostas - Grupos'!DK8,1,0),0)+IF(AND(ISNUMBER('Apostas - Grupos'!DP8),ISNUMBER('Apostas - Grupos'!DQ8)),IF('Apostas - Grupos'!DP8='Apostas - Grupos'!DQ8,1,0),0)</f>
        <v>0</v>
      </c>
      <c r="E309" s="128">
        <f>IF(ISNUMBER('Apostas - Grupos'!DF8),'Apostas - Grupos'!DF8,0)+IF(ISNUMBER('Apostas - Grupos'!DJ8),'Apostas - Grupos'!DJ8,0)+IF(ISNUMBER('Apostas - Grupos'!DP8),'Apostas - Grupos'!DQ8,0)</f>
        <v>0</v>
      </c>
      <c r="F309" s="128">
        <f>IF(ISNUMBER('Apostas - Grupos'!DF8),'Apostas - Grupos'!DG8,0)+IF(ISNUMBER('Apostas - Grupos'!DJ8),'Apostas - Grupos'!DK8,0)+IF(ISNUMBER('Apostas - Grupos'!DP8),'Apostas - Grupos'!DP8,0)</f>
        <v>0</v>
      </c>
      <c r="G309" s="128">
        <f t="shared" si="15"/>
        <v>0</v>
      </c>
      <c r="H309" s="54">
        <f t="shared" si="16"/>
        <v>0</v>
      </c>
      <c r="I309" s="128">
        <f t="shared" si="17"/>
        <v>200000499</v>
      </c>
      <c r="J309" s="54">
        <f>RANK(I309,$I$309:$I$312,0)</f>
        <v>1</v>
      </c>
      <c r="K309" s="128">
        <f>IF(AND(ISNUMBER('Apostas - Grupos'!DF8),ISNUMBER('Apostas - Grupos'!DG8)),1,0)+IF(AND(ISNUMBER('Apostas - Grupos'!DJ8),ISNUMBER('Apostas - Grupos'!DK8)),1,0)+IF(AND(ISNUMBER('Apostas - Grupos'!DP8),ISNUMBER('Apostas - Grupos'!DQ8)),1,0)</f>
        <v>0</v>
      </c>
      <c r="L309" s="128">
        <f t="shared" si="18"/>
        <v>0</v>
      </c>
      <c r="M309" s="128">
        <v>1</v>
      </c>
    </row>
    <row r="310" spans="1:13">
      <c r="A310" s="127" t="s">
        <v>153</v>
      </c>
      <c r="B310" s="55" t="s">
        <v>155</v>
      </c>
      <c r="C310" s="128">
        <f>IF(AND(ISNUMBER('Apostas - Grupos'!DF8),ISNUMBER('Apostas - Grupos'!DG8)),IF('Apostas - Grupos'!DG8&gt;'Apostas - Grupos'!DF8,1,0),0)+IF(AND(ISNUMBER('Apostas - Grupos'!DL8),ISNUMBER('Apostas - Grupos'!DM8)),IF('Apostas - Grupos'!DM8&gt;'Apostas - Grupos'!DL8,1,0),0)+IF(AND(ISNUMBER('Apostas - Grupos'!DN8),ISNUMBER('Apostas - Grupos'!DO8)),IF('Apostas - Grupos'!DN8&gt;'Apostas - Grupos'!DO8,1,0),0)</f>
        <v>0</v>
      </c>
      <c r="D310" s="128">
        <f>IF(AND(ISNUMBER('Apostas - Grupos'!DF8),ISNUMBER('Apostas - Grupos'!DG8)),IF('Apostas - Grupos'!DF8='Apostas - Grupos'!DG8,1,0),0)+IF(AND(ISNUMBER('Apostas - Grupos'!DL8),ISNUMBER('Apostas - Grupos'!DM8)),IF('Apostas - Grupos'!DL8='Apostas - Grupos'!DM8,1,0),0)+IF(AND(ISNUMBER('Apostas - Grupos'!DN8),ISNUMBER('Apostas - Grupos'!DO8)),IF('Apostas - Grupos'!DN8='Apostas - Grupos'!DO8,1,0),0)</f>
        <v>0</v>
      </c>
      <c r="E310" s="128">
        <f>IF(ISNUMBER('Apostas - Grupos'!DF8),'Apostas - Grupos'!DG8,0)+IF(ISNUMBER('Apostas - Grupos'!DL8),'Apostas - Grupos'!DM8,0)+IF(ISNUMBER('Apostas - Grupos'!DN8),'Apostas - Grupos'!DN8,0)</f>
        <v>0</v>
      </c>
      <c r="F310" s="128">
        <f>IF(ISNUMBER('Apostas - Grupos'!DF8),'Apostas - Grupos'!DF8,0)+IF(ISNUMBER('Apostas - Grupos'!DL8),'Apostas - Grupos'!DL8,0)+IF(ISNUMBER('Apostas - Grupos'!DN8),'Apostas - Grupos'!DO8,0)</f>
        <v>0</v>
      </c>
      <c r="G310" s="128">
        <f t="shared" si="15"/>
        <v>0</v>
      </c>
      <c r="H310" s="54">
        <f t="shared" si="16"/>
        <v>0</v>
      </c>
      <c r="I310" s="128">
        <f t="shared" si="17"/>
        <v>200000468</v>
      </c>
      <c r="J310" s="54">
        <f>RANK(I310,$I$309:$I$312,0)</f>
        <v>3</v>
      </c>
      <c r="K310" s="128">
        <f>IF(AND(ISNUMBER('Apostas - Grupos'!DF8),ISNUMBER('Apostas - Grupos'!DG8)),1,0)+IF(AND(ISNUMBER('Apostas - Grupos'!DL8),ISNUMBER('Apostas - Grupos'!DM8)),1,0)+IF(AND(ISNUMBER('Apostas - Grupos'!DN8),ISNUMBER('Apostas - Grupos'!DO8)),1,0)</f>
        <v>0</v>
      </c>
      <c r="L310" s="128">
        <f t="shared" si="18"/>
        <v>0</v>
      </c>
      <c r="M310" s="128">
        <v>32</v>
      </c>
    </row>
    <row r="311" spans="1:13">
      <c r="A311" s="127" t="s">
        <v>153</v>
      </c>
      <c r="B311" s="55" t="s">
        <v>157</v>
      </c>
      <c r="C311" s="128">
        <f>IF(AND(ISNUMBER('Apostas - Grupos'!DH8),ISNUMBER('Apostas - Grupos'!DI8)),IF('Apostas - Grupos'!DH8&gt;'Apostas - Grupos'!DI8,1,0),0)+IF(AND(ISNUMBER('Apostas - Grupos'!DJ8),ISNUMBER('Apostas - Grupos'!DK8)),IF('Apostas - Grupos'!DK8&gt;'Apostas - Grupos'!DJ8,1,0),0)+IF(AND(ISNUMBER('Apostas - Grupos'!DN8),ISNUMBER('Apostas - Grupos'!DO8)),IF('Apostas - Grupos'!DO8&gt;'Apostas - Grupos'!DN8,1,0),0)</f>
        <v>0</v>
      </c>
      <c r="D311" s="128">
        <f>IF(AND(ISNUMBER('Apostas - Grupos'!DH8),ISNUMBER('Apostas - Grupos'!DI8)),IF('Apostas - Grupos'!DH8='Apostas - Grupos'!DI8,1,0),0)+IF(AND(ISNUMBER('Apostas - Grupos'!DJ8),ISNUMBER('Apostas - Grupos'!DK8)),IF('Apostas - Grupos'!DJ8='Apostas - Grupos'!DK8,1,0),0)+IF(AND(ISNUMBER('Apostas - Grupos'!DN8),ISNUMBER('Apostas - Grupos'!DO8)),IF('Apostas - Grupos'!DN8='Apostas - Grupos'!DO8,1,0),0)</f>
        <v>0</v>
      </c>
      <c r="E311" s="128">
        <f>IF(ISNUMBER('Apostas - Grupos'!DH8),'Apostas - Grupos'!DH8,0)+IF(ISNUMBER('Apostas - Grupos'!DJ8),'Apostas - Grupos'!DK8,0)+IF(ISNUMBER('Apostas - Grupos'!DN8),'Apostas - Grupos'!DO8,0)</f>
        <v>0</v>
      </c>
      <c r="F311" s="128">
        <f>IF(ISNUMBER('Apostas - Grupos'!DH8),'Apostas - Grupos'!DI8,0)+IF(ISNUMBER('Apostas - Grupos'!DJ8),'Apostas - Grupos'!DJ8,0)+IF(ISNUMBER('Apostas - Grupos'!DN8),'Apostas - Grupos'!DN8,0)</f>
        <v>0</v>
      </c>
      <c r="G311" s="128">
        <f t="shared" si="15"/>
        <v>0</v>
      </c>
      <c r="H311" s="54">
        <f t="shared" si="16"/>
        <v>0</v>
      </c>
      <c r="I311" s="128">
        <f t="shared" si="17"/>
        <v>200000476</v>
      </c>
      <c r="J311" s="54">
        <f>RANK(I311,$I$309:$I$312,0)</f>
        <v>2</v>
      </c>
      <c r="K311" s="128">
        <f>IF(AND(ISNUMBER('Apostas - Grupos'!DH8),ISNUMBER('Apostas - Grupos'!DI8)),1,0)+IF(AND(ISNUMBER('Apostas - Grupos'!DJ8),ISNUMBER('Apostas - Grupos'!DK8)),1,0)+IF(AND(ISNUMBER('Apostas - Grupos'!DN8),ISNUMBER('Apostas - Grupos'!DO8)),1,0)</f>
        <v>0</v>
      </c>
      <c r="L311" s="128">
        <f t="shared" si="18"/>
        <v>0</v>
      </c>
      <c r="M311" s="128">
        <v>24</v>
      </c>
    </row>
    <row r="312" spans="1:13">
      <c r="A312" s="127" t="s">
        <v>153</v>
      </c>
      <c r="B312" s="55" t="s">
        <v>158</v>
      </c>
      <c r="C312" s="128">
        <f>IF(AND(ISNUMBER('Apostas - Grupos'!DH8),ISNUMBER('Apostas - Grupos'!DI8)),IF('Apostas - Grupos'!DI8&gt;'Apostas - Grupos'!DH8,1,0),0)+IF(AND(ISNUMBER('Apostas - Grupos'!DL8),ISNUMBER('Apostas - Grupos'!DM8)),IF('Apostas - Grupos'!DL8&gt;'Apostas - Grupos'!DM8,1,0),0)+IF(AND(ISNUMBER('Apostas - Grupos'!DP8),ISNUMBER('Apostas - Grupos'!DQ8)),IF('Apostas - Grupos'!DP8&gt;'Apostas - Grupos'!DQ8,1,0),0)</f>
        <v>0</v>
      </c>
      <c r="D312" s="128">
        <f>IF(AND(ISNUMBER('Apostas - Grupos'!DH8),ISNUMBER('Apostas - Grupos'!DI8)),IF('Apostas - Grupos'!DH8='Apostas - Grupos'!DI8,1,0),0)+IF(AND(ISNUMBER('Apostas - Grupos'!DL8),ISNUMBER('Apostas - Grupos'!DM8)),IF('Apostas - Grupos'!DL8='Apostas - Grupos'!DM8,1,0),0)+IF(AND(ISNUMBER('Apostas - Grupos'!DP8),ISNUMBER('Apostas - Grupos'!DQ8)),IF('Apostas - Grupos'!DP8='Apostas - Grupos'!DQ8,1,0),0)</f>
        <v>0</v>
      </c>
      <c r="E312" s="128">
        <f>IF(ISNUMBER('Apostas - Grupos'!DH8),'Apostas - Grupos'!DI8,0)+IF(ISNUMBER('Apostas - Grupos'!DL8),'Apostas - Grupos'!DL8,0)+IF(ISNUMBER('Apostas - Grupos'!DP8),'Apostas - Grupos'!DP8,0)</f>
        <v>0</v>
      </c>
      <c r="F312" s="128">
        <f>IF(ISNUMBER('Apostas - Grupos'!DH8),'Apostas - Grupos'!DH8,0)+IF(ISNUMBER('Apostas - Grupos'!DL8),'Apostas - Grupos'!DM8,0)+IF(ISNUMBER('Apostas - Grupos'!DP8),'Apostas - Grupos'!DQ8,0)</f>
        <v>0</v>
      </c>
      <c r="G312" s="128">
        <f t="shared" si="15"/>
        <v>0</v>
      </c>
      <c r="H312" s="54">
        <f t="shared" si="16"/>
        <v>0</v>
      </c>
      <c r="I312" s="128">
        <f t="shared" si="17"/>
        <v>200000414</v>
      </c>
      <c r="J312" s="54">
        <f>RANK(I312,$I$309:$I$312,0)</f>
        <v>4</v>
      </c>
      <c r="K312" s="128">
        <f>IF(AND(ISNUMBER('Apostas - Grupos'!DH8),ISNUMBER('Apostas - Grupos'!DI8)),1,0)+IF(AND(ISNUMBER('Apostas - Grupos'!DL8),ISNUMBER('Apostas - Grupos'!DM8)),1,0)+IF(AND(ISNUMBER('Apostas - Grupos'!DP8),ISNUMBER('Apostas - Grupos'!DQ8)),1,0)</f>
        <v>0</v>
      </c>
      <c r="L312" s="128">
        <f t="shared" si="18"/>
        <v>0</v>
      </c>
      <c r="M312" s="128">
        <v>86</v>
      </c>
    </row>
    <row r="313" spans="1:13">
      <c r="A313" s="129" t="s">
        <v>164</v>
      </c>
      <c r="B313" s="60" t="s">
        <v>165</v>
      </c>
      <c r="C313" s="130">
        <f>IF(AND(ISNUMBER('Apostas - Grupos'!DR8),ISNUMBER('Apostas - Grupos'!DS8)),IF('Apostas - Grupos'!DR8&gt;'Apostas - Grupos'!DS8,1,0),0)+IF(AND(ISNUMBER('Apostas - Grupos'!DV8),ISNUMBER('Apostas - Grupos'!DW8)),IF('Apostas - Grupos'!DV8&gt;'Apostas - Grupos'!DW8,1,0),0)+IF(AND(ISNUMBER('Apostas - Grupos'!DZ8),ISNUMBER('Apostas - Grupos'!EA8)),IF('Apostas - Grupos'!EA8&gt;'Apostas - Grupos'!DZ8,1,0),0)</f>
        <v>0</v>
      </c>
      <c r="D313" s="130">
        <f>IF(AND(ISNUMBER('Apostas - Grupos'!DR8),ISNUMBER('Apostas - Grupos'!DS8)),IF('Apostas - Grupos'!DR8='Apostas - Grupos'!DS8,1,0),0)+IF(AND(ISNUMBER('Apostas - Grupos'!DV8),ISNUMBER('Apostas - Grupos'!DW8)),IF('Apostas - Grupos'!DV8='Apostas - Grupos'!DW8,1,0),0)+IF(AND(ISNUMBER('Apostas - Grupos'!DZ8),ISNUMBER('Apostas - Grupos'!EA8)),IF('Apostas - Grupos'!DZ8='Apostas - Grupos'!EA8,1,0),0)</f>
        <v>0</v>
      </c>
      <c r="E313" s="130">
        <f>IF(ISNUMBER('Apostas - Grupos'!DR8),'Apostas - Grupos'!DR8,0)+IF(ISNUMBER('Apostas - Grupos'!DV8),'Apostas - Grupos'!DV8,0)+IF(ISNUMBER('Apostas - Grupos'!DZ8),'Apostas - Grupos'!EA8,0)</f>
        <v>0</v>
      </c>
      <c r="F313" s="130">
        <f>IF(ISNUMBER('Apostas - Grupos'!DR8),'Apostas - Grupos'!DS8,0)+IF(ISNUMBER('Apostas - Grupos'!DV8),'Apostas - Grupos'!DW8,0)+IF(ISNUMBER('Apostas - Grupos'!DZ8),'Apostas - Grupos'!DZ8,0)</f>
        <v>0</v>
      </c>
      <c r="G313" s="130">
        <f t="shared" si="15"/>
        <v>0</v>
      </c>
      <c r="H313" s="59">
        <f t="shared" si="16"/>
        <v>0</v>
      </c>
      <c r="I313" s="130">
        <f t="shared" si="17"/>
        <v>200000494</v>
      </c>
      <c r="J313" s="59">
        <f>RANK(I313,$I$313:$I$316,0)</f>
        <v>1</v>
      </c>
      <c r="K313" s="130">
        <f>IF(AND(ISNUMBER('Apostas - Grupos'!DR8),ISNUMBER('Apostas - Grupos'!DS8)),1,0)+IF(AND(ISNUMBER('Apostas - Grupos'!DV8),ISNUMBER('Apostas - Grupos'!DW8)),1,0)+IF(AND(ISNUMBER('Apostas - Grupos'!DZ8),ISNUMBER('Apostas - Grupos'!EA8)),1,0)</f>
        <v>0</v>
      </c>
      <c r="L313" s="130">
        <f t="shared" si="18"/>
        <v>0</v>
      </c>
      <c r="M313" s="130">
        <v>6</v>
      </c>
    </row>
    <row r="314" spans="1:13">
      <c r="A314" s="129" t="s">
        <v>164</v>
      </c>
      <c r="B314" s="60" t="s">
        <v>166</v>
      </c>
      <c r="C314" s="130">
        <f>IF(AND(ISNUMBER('Apostas - Grupos'!DR8),ISNUMBER('Apostas - Grupos'!DS8)),IF('Apostas - Grupos'!DS8&gt;'Apostas - Grupos'!DR8,1,0),0)+IF(AND(ISNUMBER('Apostas - Grupos'!DX8),ISNUMBER('Apostas - Grupos'!DY8)),IF('Apostas - Grupos'!DY8&gt;'Apostas - Grupos'!DX8,1,0),0)+IF(AND(ISNUMBER('Apostas - Grupos'!EB8),ISNUMBER('Apostas - Grupos'!EC8)),IF('Apostas - Grupos'!EB8&gt;'Apostas - Grupos'!EC8,1,0),0)</f>
        <v>0</v>
      </c>
      <c r="D314" s="130">
        <f>IF(AND(ISNUMBER('Apostas - Grupos'!DR8),ISNUMBER('Apostas - Grupos'!DS8)),IF('Apostas - Grupos'!DR8='Apostas - Grupos'!DS8,1,0),0)+IF(AND(ISNUMBER('Apostas - Grupos'!DX8),ISNUMBER('Apostas - Grupos'!DY8)),IF('Apostas - Grupos'!DX8='Apostas - Grupos'!DY8,1,0),0)+IF(AND(ISNUMBER('Apostas - Grupos'!EB8),ISNUMBER('Apostas - Grupos'!EC8)),IF('Apostas - Grupos'!EB8='Apostas - Grupos'!EC8,1,0),0)</f>
        <v>0</v>
      </c>
      <c r="E314" s="130">
        <f>IF(ISNUMBER('Apostas - Grupos'!DR8),'Apostas - Grupos'!DS8,0)+IF(ISNUMBER('Apostas - Grupos'!DX8),'Apostas - Grupos'!DY8,0)+IF(ISNUMBER('Apostas - Grupos'!EB8),'Apostas - Grupos'!EB8,0)</f>
        <v>0</v>
      </c>
      <c r="F314" s="130">
        <f>IF(ISNUMBER('Apostas - Grupos'!DR8),'Apostas - Grupos'!DR8,0)+IF(ISNUMBER('Apostas - Grupos'!DX8),'Apostas - Grupos'!DX8,0)+IF(ISNUMBER('Apostas - Grupos'!EB8),'Apostas - Grupos'!EC8,0)</f>
        <v>0</v>
      </c>
      <c r="G314" s="130">
        <f t="shared" si="15"/>
        <v>0</v>
      </c>
      <c r="H314" s="59">
        <f t="shared" si="16"/>
        <v>0</v>
      </c>
      <c r="I314" s="130">
        <f t="shared" si="17"/>
        <v>200000443</v>
      </c>
      <c r="J314" s="59">
        <f>RANK(I314,$I$313:$I$316,0)</f>
        <v>3</v>
      </c>
      <c r="K314" s="130">
        <f>IF(AND(ISNUMBER('Apostas - Grupos'!DR8),ISNUMBER('Apostas - Grupos'!DS8)),1,0)+IF(AND(ISNUMBER('Apostas - Grupos'!DX8),ISNUMBER('Apostas - Grupos'!DY8)),1,0)+IF(AND(ISNUMBER('Apostas - Grupos'!EB8),ISNUMBER('Apostas - Grupos'!EC8)),1,0)</f>
        <v>0</v>
      </c>
      <c r="L314" s="130">
        <f t="shared" si="18"/>
        <v>0</v>
      </c>
      <c r="M314" s="130">
        <v>57</v>
      </c>
    </row>
    <row r="315" spans="1:13">
      <c r="A315" s="129" t="s">
        <v>164</v>
      </c>
      <c r="B315" s="60" t="s">
        <v>168</v>
      </c>
      <c r="C315" s="130">
        <f>IF(AND(ISNUMBER('Apostas - Grupos'!DT8),ISNUMBER('Apostas - Grupos'!DU8)),IF('Apostas - Grupos'!DT8&gt;'Apostas - Grupos'!DU8,1,0),0)+IF(AND(ISNUMBER('Apostas - Grupos'!DV8),ISNUMBER('Apostas - Grupos'!DW8)),IF('Apostas - Grupos'!DW8&gt;'Apostas - Grupos'!DV8,1,0),0)+IF(AND(ISNUMBER('Apostas - Grupos'!EB8),ISNUMBER('Apostas - Grupos'!EC8)),IF('Apostas - Grupos'!EC8&gt;'Apostas - Grupos'!EB8,1,0),0)</f>
        <v>0</v>
      </c>
      <c r="D315" s="130">
        <f>IF(AND(ISNUMBER('Apostas - Grupos'!DT8),ISNUMBER('Apostas - Grupos'!DU8)),IF('Apostas - Grupos'!DT8='Apostas - Grupos'!DU8,1,0),0)+IF(AND(ISNUMBER('Apostas - Grupos'!DV8),ISNUMBER('Apostas - Grupos'!DW8)),IF('Apostas - Grupos'!DV8='Apostas - Grupos'!DW8,1,0),0)+IF(AND(ISNUMBER('Apostas - Grupos'!EB8),ISNUMBER('Apostas - Grupos'!EC8)),IF('Apostas - Grupos'!EB8='Apostas - Grupos'!EC8,1,0),0)</f>
        <v>0</v>
      </c>
      <c r="E315" s="130">
        <f>IF(ISNUMBER('Apostas - Grupos'!DT8),'Apostas - Grupos'!DT8,0)+IF(ISNUMBER('Apostas - Grupos'!DV8),'Apostas - Grupos'!DW8,0)+IF(ISNUMBER('Apostas - Grupos'!EB8),'Apostas - Grupos'!EC8,0)</f>
        <v>0</v>
      </c>
      <c r="F315" s="130">
        <f>IF(ISNUMBER('Apostas - Grupos'!DT8),'Apostas - Grupos'!DU8,0)+IF(ISNUMBER('Apostas - Grupos'!DV8),'Apostas - Grupos'!DV8,0)+IF(ISNUMBER('Apostas - Grupos'!EB8),'Apostas - Grupos'!EB8,0)</f>
        <v>0</v>
      </c>
      <c r="G315" s="130">
        <f t="shared" si="15"/>
        <v>0</v>
      </c>
      <c r="H315" s="59">
        <f t="shared" si="16"/>
        <v>0</v>
      </c>
      <c r="I315" s="130">
        <f t="shared" si="17"/>
        <v>200000426</v>
      </c>
      <c r="J315" s="59">
        <f>RANK(I315,$I$313:$I$316,0)</f>
        <v>4</v>
      </c>
      <c r="K315" s="130">
        <f>IF(AND(ISNUMBER('Apostas - Grupos'!DT8),ISNUMBER('Apostas - Grupos'!DU8)),1,0)+IF(AND(ISNUMBER('Apostas - Grupos'!DV8),ISNUMBER('Apostas - Grupos'!DW8)),1,0)+IF(AND(ISNUMBER('Apostas - Grupos'!EB8),ISNUMBER('Apostas - Grupos'!EC8)),1,0)</f>
        <v>0</v>
      </c>
      <c r="L315" s="130">
        <f t="shared" si="18"/>
        <v>0</v>
      </c>
      <c r="M315" s="130">
        <v>74</v>
      </c>
    </row>
    <row r="316" spans="1:13">
      <c r="A316" s="129" t="s">
        <v>164</v>
      </c>
      <c r="B316" s="60" t="s">
        <v>169</v>
      </c>
      <c r="C316" s="130">
        <f>IF(AND(ISNUMBER('Apostas - Grupos'!DT8),ISNUMBER('Apostas - Grupos'!DU8)),IF('Apostas - Grupos'!DU8&gt;'Apostas - Grupos'!DT8,1,0),0)+IF(AND(ISNUMBER('Apostas - Grupos'!DX8),ISNUMBER('Apostas - Grupos'!DY8)),IF('Apostas - Grupos'!DX8&gt;'Apostas - Grupos'!DY8,1,0),0)+IF(AND(ISNUMBER('Apostas - Grupos'!DZ8),ISNUMBER('Apostas - Grupos'!EA8)),IF('Apostas - Grupos'!DZ8&gt;'Apostas - Grupos'!EA8,1,0),0)</f>
        <v>0</v>
      </c>
      <c r="D316" s="130">
        <f>IF(AND(ISNUMBER('Apostas - Grupos'!DT8),ISNUMBER('Apostas - Grupos'!DU8)),IF('Apostas - Grupos'!DT8='Apostas - Grupos'!DU8,1,0),0)+IF(AND(ISNUMBER('Apostas - Grupos'!DX8),ISNUMBER('Apostas - Grupos'!DY8)),IF('Apostas - Grupos'!DX8='Apostas - Grupos'!DY8,1,0),0)+IF(AND(ISNUMBER('Apostas - Grupos'!DZ8),ISNUMBER('Apostas - Grupos'!EA8)),IF('Apostas - Grupos'!DZ8='Apostas - Grupos'!EA8,1,0),0)</f>
        <v>0</v>
      </c>
      <c r="E316" s="130">
        <f>IF(ISNUMBER('Apostas - Grupos'!DT8),'Apostas - Grupos'!DU8,0)+IF(ISNUMBER('Apostas - Grupos'!DX8),'Apostas - Grupos'!DX8,0)+IF(ISNUMBER('Apostas - Grupos'!DZ8),'Apostas - Grupos'!DZ8,0)</f>
        <v>0</v>
      </c>
      <c r="F316" s="130">
        <f>IF(ISNUMBER('Apostas - Grupos'!DT8),'Apostas - Grupos'!DT8,0)+IF(ISNUMBER('Apostas - Grupos'!DX8),'Apostas - Grupos'!DY8,0)+IF(ISNUMBER('Apostas - Grupos'!DZ8),'Apostas - Grupos'!EA8,0)</f>
        <v>0</v>
      </c>
      <c r="G316" s="130">
        <f t="shared" si="15"/>
        <v>0</v>
      </c>
      <c r="H316" s="59">
        <f t="shared" si="16"/>
        <v>0</v>
      </c>
      <c r="I316" s="130">
        <f t="shared" si="17"/>
        <v>200000482</v>
      </c>
      <c r="J316" s="59">
        <f>RANK(I316,$I$313:$I$316,0)</f>
        <v>2</v>
      </c>
      <c r="K316" s="130">
        <f>IF(AND(ISNUMBER('Apostas - Grupos'!DT8),ISNUMBER('Apostas - Grupos'!DU8)),1,0)+IF(AND(ISNUMBER('Apostas - Grupos'!DX8),ISNUMBER('Apostas - Grupos'!DY8)),1,0)+IF(AND(ISNUMBER('Apostas - Grupos'!DZ8),ISNUMBER('Apostas - Grupos'!EA8)),1,0)</f>
        <v>0</v>
      </c>
      <c r="L316" s="130">
        <f t="shared" si="18"/>
        <v>0</v>
      </c>
      <c r="M316" s="130">
        <v>18</v>
      </c>
    </row>
    <row r="317" spans="1:13">
      <c r="A317" s="131" t="s">
        <v>175</v>
      </c>
      <c r="B317" s="65" t="s">
        <v>176</v>
      </c>
      <c r="C317" s="132">
        <f>IF(AND(ISNUMBER('Apostas - Grupos'!ED8),ISNUMBER('Apostas - Grupos'!EE8)),IF('Apostas - Grupos'!ED8&gt;'Apostas - Grupos'!EE8,1,0),0)+IF(AND(ISNUMBER('Apostas - Grupos'!EH8),ISNUMBER('Apostas - Grupos'!EI8)),IF('Apostas - Grupos'!EH8&gt;'Apostas - Grupos'!EI8,1,0),0)+IF(AND(ISNUMBER('Apostas - Grupos'!EL8),ISNUMBER('Apostas - Grupos'!EM8)),IF('Apostas - Grupos'!EM8&gt;'Apostas - Grupos'!EL8,1,0),0)</f>
        <v>0</v>
      </c>
      <c r="D317" s="132">
        <f>IF(AND(ISNUMBER('Apostas - Grupos'!ED8),ISNUMBER('Apostas - Grupos'!EE8)),IF('Apostas - Grupos'!ED8='Apostas - Grupos'!EE8,1,0),0)+IF(AND(ISNUMBER('Apostas - Grupos'!EH8),ISNUMBER('Apostas - Grupos'!EI8)),IF('Apostas - Grupos'!EH8='Apostas - Grupos'!EI8,1,0),0)+IF(AND(ISNUMBER('Apostas - Grupos'!EL8),ISNUMBER('Apostas - Grupos'!EM8)),IF('Apostas - Grupos'!EL8='Apostas - Grupos'!EM8,1,0),0)</f>
        <v>0</v>
      </c>
      <c r="E317" s="132">
        <f>IF(ISNUMBER('Apostas - Grupos'!ED8),'Apostas - Grupos'!ED8,0)+IF(ISNUMBER('Apostas - Grupos'!EH8),'Apostas - Grupos'!EH8,0)+IF(ISNUMBER('Apostas - Grupos'!EL8),'Apostas - Grupos'!EM8,0)</f>
        <v>0</v>
      </c>
      <c r="F317" s="132">
        <f>IF(ISNUMBER('Apostas - Grupos'!ED8),'Apostas - Grupos'!EE8,0)+IF(ISNUMBER('Apostas - Grupos'!EH8),'Apostas - Grupos'!EI8,0)+IF(ISNUMBER('Apostas - Grupos'!EL8),'Apostas - Grupos'!EL8,0)</f>
        <v>0</v>
      </c>
      <c r="G317" s="132">
        <f t="shared" si="15"/>
        <v>0</v>
      </c>
      <c r="H317" s="64">
        <f t="shared" si="16"/>
        <v>0</v>
      </c>
      <c r="I317" s="132">
        <f t="shared" si="17"/>
        <v>200000491</v>
      </c>
      <c r="J317" s="64">
        <f>RANK(I317,$I$317:$I$320,0)</f>
        <v>1</v>
      </c>
      <c r="K317" s="132">
        <f>IF(AND(ISNUMBER('Apostas - Grupos'!ED8),ISNUMBER('Apostas - Grupos'!EE8)),1,0)+IF(AND(ISNUMBER('Apostas - Grupos'!EH8),ISNUMBER('Apostas - Grupos'!EI8)),1,0)+IF(AND(ISNUMBER('Apostas - Grupos'!EL8),ISNUMBER('Apostas - Grupos'!EM8)),1,0)</f>
        <v>0</v>
      </c>
      <c r="L317" s="132">
        <f t="shared" si="18"/>
        <v>0</v>
      </c>
      <c r="M317" s="132">
        <v>9</v>
      </c>
    </row>
    <row r="318" spans="1:13">
      <c r="A318" s="131" t="s">
        <v>175</v>
      </c>
      <c r="B318" s="65" t="s">
        <v>177</v>
      </c>
      <c r="C318" s="132">
        <f>IF(AND(ISNUMBER('Apostas - Grupos'!ED8),ISNUMBER('Apostas - Grupos'!EE8)),IF('Apostas - Grupos'!EE8&gt;'Apostas - Grupos'!ED8,1,0),0)+IF(AND(ISNUMBER('Apostas - Grupos'!EJ8),ISNUMBER('Apostas - Grupos'!EK8)),IF('Apostas - Grupos'!EK8&gt;'Apostas - Grupos'!EJ8,1,0),0)+IF(AND(ISNUMBER('Apostas - Grupos'!EN8),ISNUMBER('Apostas - Grupos'!EO8)),IF('Apostas - Grupos'!EN8&gt;'Apostas - Grupos'!EO8,1,0),0)</f>
        <v>0</v>
      </c>
      <c r="D318" s="132">
        <f>IF(AND(ISNUMBER('Apostas - Grupos'!ED8),ISNUMBER('Apostas - Grupos'!EE8)),IF('Apostas - Grupos'!ED8='Apostas - Grupos'!EE8,1,0),0)+IF(AND(ISNUMBER('Apostas - Grupos'!EJ8),ISNUMBER('Apostas - Grupos'!EK8)),IF('Apostas - Grupos'!EJ8='Apostas - Grupos'!EK8,1,0),0)+IF(AND(ISNUMBER('Apostas - Grupos'!EN8),ISNUMBER('Apostas - Grupos'!EO8)),IF('Apostas - Grupos'!EN8='Apostas - Grupos'!EO8,1,0),0)</f>
        <v>0</v>
      </c>
      <c r="E318" s="132">
        <f>IF(ISNUMBER('Apostas - Grupos'!ED8),'Apostas - Grupos'!EE8,0)+IF(ISNUMBER('Apostas - Grupos'!EJ8),'Apostas - Grupos'!EK8,0)+IF(ISNUMBER('Apostas - Grupos'!EN8),'Apostas - Grupos'!EN8,0)</f>
        <v>0</v>
      </c>
      <c r="F318" s="132">
        <f>IF(ISNUMBER('Apostas - Grupos'!ED8),'Apostas - Grupos'!ED8,0)+IF(ISNUMBER('Apostas - Grupos'!EJ8),'Apostas - Grupos'!EJ8,0)+IF(ISNUMBER('Apostas - Grupos'!EN8),'Apostas - Grupos'!EO8,0)</f>
        <v>0</v>
      </c>
      <c r="G318" s="132">
        <f t="shared" si="15"/>
        <v>0</v>
      </c>
      <c r="H318" s="64">
        <f t="shared" si="16"/>
        <v>0</v>
      </c>
      <c r="I318" s="132">
        <f t="shared" si="17"/>
        <v>200000490</v>
      </c>
      <c r="J318" s="64">
        <f>RANK(I318,$I$317:$I$320,0)</f>
        <v>2</v>
      </c>
      <c r="K318" s="132">
        <f>IF(AND(ISNUMBER('Apostas - Grupos'!ED8),ISNUMBER('Apostas - Grupos'!EE8)),1,0)+IF(AND(ISNUMBER('Apostas - Grupos'!EJ8),ISNUMBER('Apostas - Grupos'!EK8)),1,0)+IF(AND(ISNUMBER('Apostas - Grupos'!EN8),ISNUMBER('Apostas - Grupos'!EO8)),1,0)</f>
        <v>0</v>
      </c>
      <c r="L318" s="132">
        <f t="shared" si="18"/>
        <v>0</v>
      </c>
      <c r="M318" s="132">
        <v>10</v>
      </c>
    </row>
    <row r="319" spans="1:13">
      <c r="A319" s="131" t="s">
        <v>175</v>
      </c>
      <c r="B319" s="65" t="s">
        <v>179</v>
      </c>
      <c r="C319" s="132">
        <f>IF(AND(ISNUMBER('Apostas - Grupos'!EF8),ISNUMBER('Apostas - Grupos'!EG8)),IF('Apostas - Grupos'!EF8&gt;'Apostas - Grupos'!EG8,1,0),0)+IF(AND(ISNUMBER('Apostas - Grupos'!EH8),ISNUMBER('Apostas - Grupos'!EI8)),IF('Apostas - Grupos'!EI8&gt;'Apostas - Grupos'!EH8,1,0),0)+IF(AND(ISNUMBER('Apostas - Grupos'!EN8),ISNUMBER('Apostas - Grupos'!EO8)),IF('Apostas - Grupos'!EO8&gt;'Apostas - Grupos'!EN8,1,0),0)</f>
        <v>0</v>
      </c>
      <c r="D319" s="132">
        <f>IF(AND(ISNUMBER('Apostas - Grupos'!EF8),ISNUMBER('Apostas - Grupos'!EG8)),IF('Apostas - Grupos'!EF8='Apostas - Grupos'!EG8,1,0),0)+IF(AND(ISNUMBER('Apostas - Grupos'!EH8),ISNUMBER('Apostas - Grupos'!EI8)),IF('Apostas - Grupos'!EH8='Apostas - Grupos'!EI8,1,0),0)+IF(AND(ISNUMBER('Apostas - Grupos'!EN8),ISNUMBER('Apostas - Grupos'!EO8)),IF('Apostas - Grupos'!EN8='Apostas - Grupos'!EO8,1,0),0)</f>
        <v>0</v>
      </c>
      <c r="E319" s="132">
        <f>IF(ISNUMBER('Apostas - Grupos'!EF8),'Apostas - Grupos'!EF8,0)+IF(ISNUMBER('Apostas - Grupos'!EH8),'Apostas - Grupos'!EI8,0)+IF(ISNUMBER('Apostas - Grupos'!EN8),'Apostas - Grupos'!EO8,0)</f>
        <v>0</v>
      </c>
      <c r="F319" s="132">
        <f>IF(ISNUMBER('Apostas - Grupos'!EF8),'Apostas - Grupos'!EG8,0)+IF(ISNUMBER('Apostas - Grupos'!EH8),'Apostas - Grupos'!EH8,0)+IF(ISNUMBER('Apostas - Grupos'!EN8),'Apostas - Grupos'!EN8,0)</f>
        <v>0</v>
      </c>
      <c r="G319" s="132">
        <f t="shared" si="15"/>
        <v>0</v>
      </c>
      <c r="H319" s="64">
        <f t="shared" si="16"/>
        <v>0</v>
      </c>
      <c r="I319" s="132">
        <f t="shared" si="17"/>
        <v>200000448</v>
      </c>
      <c r="J319" s="64">
        <f>RANK(I319,$I$317:$I$320,0)</f>
        <v>3</v>
      </c>
      <c r="K319" s="132">
        <f>IF(AND(ISNUMBER('Apostas - Grupos'!EF8),ISNUMBER('Apostas - Grupos'!EG8)),1,0)+IF(AND(ISNUMBER('Apostas - Grupos'!EH8),ISNUMBER('Apostas - Grupos'!EI8)),1,0)+IF(AND(ISNUMBER('Apostas - Grupos'!EN8),ISNUMBER('Apostas - Grupos'!EO8)),1,0)</f>
        <v>0</v>
      </c>
      <c r="L319" s="132">
        <f t="shared" si="18"/>
        <v>0</v>
      </c>
      <c r="M319" s="132">
        <v>52</v>
      </c>
    </row>
    <row r="320" spans="1:13">
      <c r="A320" s="131" t="s">
        <v>175</v>
      </c>
      <c r="B320" s="65" t="s">
        <v>180</v>
      </c>
      <c r="C320" s="132">
        <f>IF(AND(ISNUMBER('Apostas - Grupos'!EF8),ISNUMBER('Apostas - Grupos'!EG8)),IF('Apostas - Grupos'!EG8&gt;'Apostas - Grupos'!EF8,1,0),0)+IF(AND(ISNUMBER('Apostas - Grupos'!EJ8),ISNUMBER('Apostas - Grupos'!EK8)),IF('Apostas - Grupos'!EJ8&gt;'Apostas - Grupos'!EK8,1,0),0)+IF(AND(ISNUMBER('Apostas - Grupos'!EL8),ISNUMBER('Apostas - Grupos'!EM8)),IF('Apostas - Grupos'!EL8&gt;'Apostas - Grupos'!EM8,1,0),0)</f>
        <v>0</v>
      </c>
      <c r="D320" s="132">
        <f>IF(AND(ISNUMBER('Apostas - Grupos'!EF8),ISNUMBER('Apostas - Grupos'!EG8)),IF('Apostas - Grupos'!EF8='Apostas - Grupos'!EG8,1,0),0)+IF(AND(ISNUMBER('Apostas - Grupos'!EJ8),ISNUMBER('Apostas - Grupos'!EK8)),IF('Apostas - Grupos'!EJ8='Apostas - Grupos'!EK8,1,0),0)+IF(AND(ISNUMBER('Apostas - Grupos'!EL8),ISNUMBER('Apostas - Grupos'!EM8)),IF('Apostas - Grupos'!EL8='Apostas - Grupos'!EM8,1,0),0)</f>
        <v>0</v>
      </c>
      <c r="E320" s="132">
        <f>IF(ISNUMBER('Apostas - Grupos'!EF8),'Apostas - Grupos'!EG8,0)+IF(ISNUMBER('Apostas - Grupos'!EJ8),'Apostas - Grupos'!EJ8,0)+IF(ISNUMBER('Apostas - Grupos'!EL8),'Apostas - Grupos'!EL8,0)</f>
        <v>0</v>
      </c>
      <c r="F320" s="132">
        <f>IF(ISNUMBER('Apostas - Grupos'!EF8),'Apostas - Grupos'!EF8,0)+IF(ISNUMBER('Apostas - Grupos'!EJ8),'Apostas - Grupos'!EK8,0)+IF(ISNUMBER('Apostas - Grupos'!EL8),'Apostas - Grupos'!EM8,0)</f>
        <v>0</v>
      </c>
      <c r="G320" s="132">
        <f t="shared" si="15"/>
        <v>0</v>
      </c>
      <c r="H320" s="64">
        <f t="shared" si="16"/>
        <v>0</v>
      </c>
      <c r="I320" s="132">
        <f t="shared" si="17"/>
        <v>200000428</v>
      </c>
      <c r="J320" s="64">
        <f>RANK(I320,$I$317:$I$320,0)</f>
        <v>4</v>
      </c>
      <c r="K320" s="132">
        <f>IF(AND(ISNUMBER('Apostas - Grupos'!EF8),ISNUMBER('Apostas - Grupos'!EG8)),1,0)+IF(AND(ISNUMBER('Apostas - Grupos'!EJ8),ISNUMBER('Apostas - Grupos'!EK8)),1,0)+IF(AND(ISNUMBER('Apostas - Grupos'!EL8),ISNUMBER('Apostas - Grupos'!EM8)),1,0)</f>
        <v>0</v>
      </c>
      <c r="L320" s="132">
        <f t="shared" si="18"/>
        <v>0</v>
      </c>
      <c r="M320" s="132">
        <v>72</v>
      </c>
    </row>
    <row r="323" spans="1:5">
      <c r="A323" s="134" t="s">
        <v>54</v>
      </c>
      <c r="B323" s="135" t="str">
        <f>IFERROR(INDEX($B$273:$B$276,MATCH(1,$J$273:$J$276,0)),"?")</f>
        <v>Mexico</v>
      </c>
      <c r="C323" s="135" t="str">
        <f>IFERROR(INDEX($B$273:$B$276,MATCH(2,$J$273:$J$276,0)),"?")</f>
        <v>Coreia do Sul</v>
      </c>
      <c r="D323" s="135" t="str">
        <f>IFERROR(INDEX($B$273:$B$276,MATCH(3,$J$273:$J$276,0)),"?")</f>
        <v>Tchequia</v>
      </c>
      <c r="E323" s="135" t="str">
        <f>IFERROR(INDEX($B$273:$B$276,MATCH(4,$J$273:$J$276,0)),"?")</f>
        <v>Africa do Sul</v>
      </c>
    </row>
    <row r="324" spans="1:5">
      <c r="A324" s="136" t="s">
        <v>65</v>
      </c>
      <c r="B324" s="135" t="str">
        <f>IFERROR(INDEX($B$277:$B$280,MATCH(1,$J$277:$J$280,0)),"?")</f>
        <v>Suica</v>
      </c>
      <c r="C324" s="135" t="str">
        <f>IFERROR(INDEX($B$277:$B$280,MATCH(2,$J$277:$J$280,0)),"?")</f>
        <v>Qatar</v>
      </c>
      <c r="D324" s="135" t="str">
        <f>IFERROR(INDEX($B$277:$B$280,MATCH(3,$J$277:$J$280,0)),"?")</f>
        <v>Canada</v>
      </c>
      <c r="E324" s="135" t="str">
        <f>IFERROR(INDEX($B$277:$B$280,MATCH(4,$J$277:$J$280,0)),"?")</f>
        <v>Bosnia e Herzegovina</v>
      </c>
    </row>
    <row r="325" spans="1:5">
      <c r="A325" s="137" t="s">
        <v>76</v>
      </c>
      <c r="B325" s="135" t="str">
        <f>IFERROR(INDEX($B$281:$B$284,MATCH(1,$J$281:$J$284,0)),"?")</f>
        <v>Brasil</v>
      </c>
      <c r="C325" s="135" t="str">
        <f>IFERROR(INDEX($B$281:$B$284,MATCH(2,$J$281:$J$284,0)),"?")</f>
        <v>Marrocos</v>
      </c>
      <c r="D325" s="135" t="str">
        <f>IFERROR(INDEX($B$281:$B$284,MATCH(3,$J$281:$J$284,0)),"?")</f>
        <v>Escocia</v>
      </c>
      <c r="E325" s="135" t="str">
        <f>IFERROR(INDEX($B$281:$B$284,MATCH(4,$J$281:$J$284,0)),"?")</f>
        <v>Haiti</v>
      </c>
    </row>
    <row r="326" spans="1:5">
      <c r="A326" s="138" t="s">
        <v>87</v>
      </c>
      <c r="B326" s="135" t="str">
        <f>IFERROR(INDEX($B$285:$B$288,MATCH(1,$J$285:$J$288,0)),"?")</f>
        <v>Estados Unidos</v>
      </c>
      <c r="C326" s="135" t="str">
        <f>IFERROR(INDEX($B$285:$B$288,MATCH(2,$J$285:$J$288,0)),"?")</f>
        <v>Australia</v>
      </c>
      <c r="D326" s="135" t="str">
        <f>IFERROR(INDEX($B$285:$B$288,MATCH(3,$J$285:$J$288,0)),"?")</f>
        <v>Turquia</v>
      </c>
      <c r="E326" s="135" t="str">
        <f>IFERROR(INDEX($B$285:$B$288,MATCH(4,$J$285:$J$288,0)),"?")</f>
        <v>Paraguai</v>
      </c>
    </row>
    <row r="327" spans="1:5">
      <c r="A327" s="139" t="s">
        <v>98</v>
      </c>
      <c r="B327" s="135" t="str">
        <f>IFERROR(INDEX($B$289:$B$292,MATCH(1,$J$289:$J$292,0)),"?")</f>
        <v>Alemanha</v>
      </c>
      <c r="C327" s="135" t="str">
        <f>IFERROR(INDEX($B$289:$B$292,MATCH(2,$J$289:$J$292,0)),"?")</f>
        <v>Equador</v>
      </c>
      <c r="D327" s="135" t="str">
        <f>IFERROR(INDEX($B$289:$B$292,MATCH(3,$J$289:$J$292,0)),"?")</f>
        <v>Costa do Marfim</v>
      </c>
      <c r="E327" s="135" t="str">
        <f>IFERROR(INDEX($B$289:$B$292,MATCH(4,$J$289:$J$292,0)),"?")</f>
        <v>Curacao</v>
      </c>
    </row>
    <row r="328" spans="1:5">
      <c r="A328" s="140" t="s">
        <v>109</v>
      </c>
      <c r="B328" s="135" t="str">
        <f>IFERROR(INDEX($B$293:$B$296,MATCH(1,$J$293:$J$296,0)),"?")</f>
        <v>Holanda</v>
      </c>
      <c r="C328" s="135" t="str">
        <f>IFERROR(INDEX($B$293:$B$296,MATCH(2,$J$293:$J$296,0)),"?")</f>
        <v>Japao</v>
      </c>
      <c r="D328" s="135" t="str">
        <f>IFERROR(INDEX($B$293:$B$296,MATCH(3,$J$293:$J$296,0)),"?")</f>
        <v>Suecia</v>
      </c>
      <c r="E328" s="135" t="str">
        <f>IFERROR(INDEX($B$293:$B$296,MATCH(4,$J$293:$J$296,0)),"?")</f>
        <v>Tunisia</v>
      </c>
    </row>
    <row r="329" spans="1:5">
      <c r="A329" s="141" t="s">
        <v>120</v>
      </c>
      <c r="B329" s="135" t="str">
        <f>IFERROR(INDEX($B$297:$B$300,MATCH(1,$J$297:$J$300,0)),"?")</f>
        <v>Belgica</v>
      </c>
      <c r="C329" s="135" t="str">
        <f>IFERROR(INDEX($B$297:$B$300,MATCH(2,$J$297:$J$300,0)),"?")</f>
        <v>Ira</v>
      </c>
      <c r="D329" s="135" t="str">
        <f>IFERROR(INDEX($B$297:$B$300,MATCH(3,$J$297:$J$300,0)),"?")</f>
        <v>Egito</v>
      </c>
      <c r="E329" s="135" t="str">
        <f>IFERROR(INDEX($B$297:$B$300,MATCH(4,$J$297:$J$300,0)),"?")</f>
        <v>Nova Zelandia</v>
      </c>
    </row>
    <row r="330" spans="1:5">
      <c r="A330" s="142" t="s">
        <v>131</v>
      </c>
      <c r="B330" s="135" t="str">
        <f>IFERROR(INDEX($B$301:$B$304,MATCH(1,$J$301:$J$304,0)),"?")</f>
        <v>Espanha</v>
      </c>
      <c r="C330" s="135" t="str">
        <f>IFERROR(INDEX($B$301:$B$304,MATCH(2,$J$301:$J$304,0)),"?")</f>
        <v>Uruguai</v>
      </c>
      <c r="D330" s="135" t="str">
        <f>IFERROR(INDEX($B$301:$B$304,MATCH(3,$J$301:$J$304,0)),"?")</f>
        <v>Arabia Saudita</v>
      </c>
      <c r="E330" s="135" t="str">
        <f>IFERROR(INDEX($B$301:$B$304,MATCH(4,$J$301:$J$304,0)),"?")</f>
        <v>Cabo Verde</v>
      </c>
    </row>
    <row r="331" spans="1:5">
      <c r="A331" s="143" t="s">
        <v>142</v>
      </c>
      <c r="B331" s="135" t="str">
        <f>IFERROR(INDEX($B$305:$B$308,MATCH(1,$J$305:$J$308,0)),"?")</f>
        <v>Franca</v>
      </c>
      <c r="C331" s="135" t="str">
        <f>IFERROR(INDEX($B$305:$B$308,MATCH(2,$J$305:$J$308,0)),"?")</f>
        <v>Senegal</v>
      </c>
      <c r="D331" s="135" t="str">
        <f>IFERROR(INDEX($B$305:$B$308,MATCH(3,$J$305:$J$308,0)),"?")</f>
        <v>Noruega</v>
      </c>
      <c r="E331" s="135" t="str">
        <f>IFERROR(INDEX($B$305:$B$308,MATCH(4,$J$305:$J$308,0)),"?")</f>
        <v>Iraque</v>
      </c>
    </row>
    <row r="332" spans="1:5">
      <c r="A332" s="144" t="s">
        <v>153</v>
      </c>
      <c r="B332" s="135" t="str">
        <f>IFERROR(INDEX($B$309:$B$312,MATCH(1,$J$309:$J$312,0)),"?")</f>
        <v>Argentina</v>
      </c>
      <c r="C332" s="135" t="str">
        <f>IFERROR(INDEX($B$309:$B$312,MATCH(2,$J$309:$J$312,0)),"?")</f>
        <v>Austria</v>
      </c>
      <c r="D332" s="135" t="str">
        <f>IFERROR(INDEX($B$309:$B$312,MATCH(3,$J$309:$J$312,0)),"?")</f>
        <v>Argelia</v>
      </c>
      <c r="E332" s="135" t="str">
        <f>IFERROR(INDEX($B$309:$B$312,MATCH(4,$J$309:$J$312,0)),"?")</f>
        <v>Jordania</v>
      </c>
    </row>
    <row r="333" spans="1:5">
      <c r="A333" s="145" t="s">
        <v>164</v>
      </c>
      <c r="B333" s="135" t="str">
        <f>IFERROR(INDEX($B$313:$B$316,MATCH(1,$J$313:$J$316,0)),"?")</f>
        <v>Portugal</v>
      </c>
      <c r="C333" s="135" t="str">
        <f>IFERROR(INDEX($B$313:$B$316,MATCH(2,$J$313:$J$316,0)),"?")</f>
        <v>Colombia</v>
      </c>
      <c r="D333" s="135" t="str">
        <f>IFERROR(INDEX($B$313:$B$316,MATCH(3,$J$313:$J$316,0)),"?")</f>
        <v>RD Congo</v>
      </c>
      <c r="E333" s="135" t="str">
        <f>IFERROR(INDEX($B$313:$B$316,MATCH(4,$J$313:$J$316,0)),"?")</f>
        <v>Uzbequistao</v>
      </c>
    </row>
    <row r="334" spans="1:5">
      <c r="A334" s="146" t="s">
        <v>175</v>
      </c>
      <c r="B334" s="135" t="str">
        <f>IFERROR(INDEX($B$317:$B$320,MATCH(1,$J$317:$J$320,0)),"?")</f>
        <v>Inglaterra</v>
      </c>
      <c r="C334" s="135" t="str">
        <f>IFERROR(INDEX($B$317:$B$320,MATCH(2,$J$317:$J$320,0)),"?")</f>
        <v>Croacia</v>
      </c>
      <c r="D334" s="135" t="str">
        <f>IFERROR(INDEX($B$317:$B$320,MATCH(3,$J$317:$J$320,0)),"?")</f>
        <v>Gana</v>
      </c>
      <c r="E334" s="135" t="str">
        <f>IFERROR(INDEX($B$317:$B$320,MATCH(4,$J$317:$J$320,0)),"?")</f>
        <v>Panama</v>
      </c>
    </row>
    <row r="336" spans="1:5">
      <c r="A336" s="148" t="s">
        <v>54</v>
      </c>
      <c r="B336" s="149" t="str">
        <f>IFERROR(INDEX($B$273:$B$276,MATCH(3,$J$273:$J$276,0)),"?")</f>
        <v>Tchequia</v>
      </c>
      <c r="C336" s="149">
        <f>IFERROR(INDEX($I$273:$I$276,MATCH(3,$J$273:$J$276,0)),0)</f>
        <v>200000462</v>
      </c>
      <c r="D336" s="150">
        <f t="shared" ref="D336:D347" si="19">RANK(C336,$C$336:$C$347,0)</f>
        <v>7</v>
      </c>
    </row>
    <row r="337" spans="1:4">
      <c r="A337" s="151" t="s">
        <v>65</v>
      </c>
      <c r="B337" s="149" t="str">
        <f>IFERROR(INDEX($B$277:$B$280,MATCH(3,$J$277:$J$280,0)),"?")</f>
        <v>Canada</v>
      </c>
      <c r="C337" s="149">
        <f>IFERROR(INDEX($I$277:$I$280,MATCH(3,$J$277:$J$280,0)),0)</f>
        <v>200000456</v>
      </c>
      <c r="D337" s="150">
        <f t="shared" si="19"/>
        <v>9</v>
      </c>
    </row>
    <row r="338" spans="1:4">
      <c r="A338" s="152" t="s">
        <v>76</v>
      </c>
      <c r="B338" s="149" t="str">
        <f>IFERROR(INDEX($B$281:$B$284,MATCH(3,$J$281:$J$284,0)),"?")</f>
        <v>Escocia</v>
      </c>
      <c r="C338" s="149">
        <f>IFERROR(INDEX($I$281:$I$284,MATCH(3,$J$281:$J$284,0)),0)</f>
        <v>200000473</v>
      </c>
      <c r="D338" s="150">
        <f t="shared" si="19"/>
        <v>2</v>
      </c>
    </row>
    <row r="339" spans="1:4">
      <c r="A339" s="153" t="s">
        <v>87</v>
      </c>
      <c r="B339" s="149" t="str">
        <f>IFERROR(INDEX($B$285:$B$288,MATCH(3,$J$285:$J$288,0)),"?")</f>
        <v>Turquia</v>
      </c>
      <c r="C339" s="149">
        <f>IFERROR(INDEX($I$285:$I$288,MATCH(3,$J$285:$J$288,0)),0)</f>
        <v>200000464</v>
      </c>
      <c r="D339" s="150">
        <f t="shared" si="19"/>
        <v>5</v>
      </c>
    </row>
    <row r="340" spans="1:4">
      <c r="A340" s="154" t="s">
        <v>98</v>
      </c>
      <c r="B340" s="149" t="str">
        <f>IFERROR(INDEX($B$289:$B$292,MATCH(3,$J$289:$J$292,0)),"?")</f>
        <v>Costa do Marfim</v>
      </c>
      <c r="C340" s="149">
        <f>IFERROR(INDEX($I$289:$I$292,MATCH(3,$J$289:$J$292,0)),0)</f>
        <v>200000459</v>
      </c>
      <c r="D340" s="150">
        <f t="shared" si="19"/>
        <v>8</v>
      </c>
    </row>
    <row r="341" spans="1:4">
      <c r="A341" s="155" t="s">
        <v>109</v>
      </c>
      <c r="B341" s="149" t="str">
        <f>IFERROR(INDEX($B$293:$B$296,MATCH(3,$J$293:$J$296,0)),"?")</f>
        <v>Suecia</v>
      </c>
      <c r="C341" s="149">
        <f>IFERROR(INDEX($I$293:$I$296,MATCH(3,$J$293:$J$296,0)),0)</f>
        <v>200000474</v>
      </c>
      <c r="D341" s="150">
        <f t="shared" si="19"/>
        <v>1</v>
      </c>
    </row>
    <row r="342" spans="1:4">
      <c r="A342" s="156" t="s">
        <v>120</v>
      </c>
      <c r="B342" s="149" t="str">
        <f>IFERROR(INDEX($B$297:$B$300,MATCH(3,$J$297:$J$300,0)),"?")</f>
        <v>Egito</v>
      </c>
      <c r="C342" s="149">
        <f>IFERROR(INDEX($I$297:$I$300,MATCH(3,$J$297:$J$300,0)),0)</f>
        <v>200000464</v>
      </c>
      <c r="D342" s="150">
        <f t="shared" si="19"/>
        <v>5</v>
      </c>
    </row>
    <row r="343" spans="1:4">
      <c r="A343" s="157" t="s">
        <v>131</v>
      </c>
      <c r="B343" s="149" t="str">
        <f>IFERROR(INDEX($B$301:$B$304,MATCH(3,$J$301:$J$304,0)),"?")</f>
        <v>Arabia Saudita</v>
      </c>
      <c r="C343" s="149">
        <f>IFERROR(INDEX($I$301:$I$304,MATCH(3,$J$301:$J$304,0)),0)</f>
        <v>200000443</v>
      </c>
      <c r="D343" s="150">
        <f t="shared" si="19"/>
        <v>11</v>
      </c>
    </row>
    <row r="344" spans="1:4">
      <c r="A344" s="158" t="s">
        <v>142</v>
      </c>
      <c r="B344" s="149" t="str">
        <f>IFERROR(INDEX($B$305:$B$308,MATCH(3,$J$305:$J$308,0)),"?")</f>
        <v>Noruega</v>
      </c>
      <c r="C344" s="149">
        <f>IFERROR(INDEX($I$305:$I$308,MATCH(3,$J$305:$J$308,0)),0)</f>
        <v>200000472</v>
      </c>
      <c r="D344" s="150">
        <f t="shared" si="19"/>
        <v>3</v>
      </c>
    </row>
    <row r="345" spans="1:4">
      <c r="A345" s="159" t="s">
        <v>153</v>
      </c>
      <c r="B345" s="149" t="str">
        <f>IFERROR(INDEX($B$309:$B$312,MATCH(3,$J$309:$J$312,0)),"?")</f>
        <v>Argelia</v>
      </c>
      <c r="C345" s="149">
        <f>IFERROR(INDEX($I$309:$I$312,MATCH(3,$J$309:$J$312,0)),0)</f>
        <v>200000468</v>
      </c>
      <c r="D345" s="150">
        <f t="shared" si="19"/>
        <v>4</v>
      </c>
    </row>
    <row r="346" spans="1:4">
      <c r="A346" s="160" t="s">
        <v>164</v>
      </c>
      <c r="B346" s="149" t="str">
        <f>IFERROR(INDEX($B$313:$B$316,MATCH(3,$J$313:$J$316,0)),"?")</f>
        <v>RD Congo</v>
      </c>
      <c r="C346" s="149">
        <f>IFERROR(INDEX($I$313:$I$316,MATCH(3,$J$313:$J$316,0)),0)</f>
        <v>200000443</v>
      </c>
      <c r="D346" s="150">
        <f t="shared" si="19"/>
        <v>11</v>
      </c>
    </row>
    <row r="347" spans="1:4">
      <c r="A347" s="161" t="s">
        <v>175</v>
      </c>
      <c r="B347" s="149" t="str">
        <f>IFERROR(INDEX($B$317:$B$320,MATCH(3,$J$317:$J$320,0)),"?")</f>
        <v>Gana</v>
      </c>
      <c r="C347" s="149">
        <f>IFERROR(INDEX($I$317:$I$320,MATCH(3,$J$317:$J$320,0)),0)</f>
        <v>200000448</v>
      </c>
      <c r="D347" s="150">
        <f t="shared" si="19"/>
        <v>10</v>
      </c>
    </row>
    <row r="349" spans="1:4">
      <c r="A349" s="163">
        <v>1</v>
      </c>
      <c r="B349" s="164" t="str">
        <f>IFERROR(INDEX($B$336:$B$347,MATCH(1,$D$336:$D$347,0)),"?")</f>
        <v>Suecia</v>
      </c>
    </row>
    <row r="350" spans="1:4">
      <c r="A350" s="163">
        <v>2</v>
      </c>
      <c r="B350" s="164" t="str">
        <f>IFERROR(INDEX($B$336:$B$347,MATCH(2,$D$336:$D$347,0)),"?")</f>
        <v>Escocia</v>
      </c>
    </row>
    <row r="351" spans="1:4">
      <c r="A351" s="163">
        <v>3</v>
      </c>
      <c r="B351" s="164" t="str">
        <f>IFERROR(INDEX($B$336:$B$347,MATCH(3,$D$336:$D$347,0)),"?")</f>
        <v>Noruega</v>
      </c>
    </row>
    <row r="352" spans="1:4">
      <c r="A352" s="163">
        <v>4</v>
      </c>
      <c r="B352" s="164" t="str">
        <f>IFERROR(INDEX($B$336:$B$347,MATCH(4,$D$336:$D$347,0)),"?")</f>
        <v>Argelia</v>
      </c>
    </row>
    <row r="353" spans="1:2">
      <c r="A353" s="163">
        <v>5</v>
      </c>
      <c r="B353" s="164" t="str">
        <f>IFERROR(INDEX($B$336:$B$347,MATCH(5,$D$336:$D$347,0)),"?")</f>
        <v>Turquia</v>
      </c>
    </row>
    <row r="354" spans="1:2">
      <c r="A354" s="163">
        <v>6</v>
      </c>
      <c r="B354" s="164" t="str">
        <f>IFERROR(INDEX($B$336:$B$347,MATCH(6,$D$336:$D$347,0)),"?")</f>
        <v>?</v>
      </c>
    </row>
    <row r="355" spans="1:2">
      <c r="A355" s="163">
        <v>7</v>
      </c>
      <c r="B355" s="164" t="str">
        <f>IFERROR(INDEX($B$336:$B$347,MATCH(7,$D$336:$D$347,0)),"?")</f>
        <v>Tchequia</v>
      </c>
    </row>
    <row r="356" spans="1:2">
      <c r="A356" s="163">
        <v>8</v>
      </c>
      <c r="B356" s="164" t="str">
        <f>IFERROR(INDEX($B$336:$B$347,MATCH(8,$D$336:$D$347,0)),"?")</f>
        <v>Costa do Marfim</v>
      </c>
    </row>
    <row r="358" spans="1:2">
      <c r="A358" s="165" t="s">
        <v>434</v>
      </c>
      <c r="B358" s="166" t="str">
        <f>IF(D336&lt;=8,"A","")&amp;IF(D337&lt;=8,"B","")&amp;IF(D338&lt;=8,"C","")&amp;IF(D339&lt;=8,"D","")&amp;IF(D340&lt;=8,"E","")&amp;IF(D341&lt;=8,"F","")&amp;IF(D342&lt;=8,"G","")&amp;IF(D343&lt;=8,"H","")&amp;IF(D344&lt;=8,"I","")&amp;IF(D345&lt;=8,"J","")&amp;IF(D346&lt;=8,"K","")&amp;IF(D347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35"/>
  <sheetViews>
    <sheetView showGridLines="0" workbookViewId="0">
      <pane ySplit="3" topLeftCell="A4" activePane="bottomLeft" state="frozen"/>
      <selection pane="bottomLeft" activeCell="F4" sqref="F4:G35"/>
    </sheetView>
  </sheetViews>
  <sheetFormatPr defaultRowHeight="14.4"/>
  <cols>
    <col min="1" max="1" width="9" customWidth="1"/>
    <col min="2" max="2" width="12" customWidth="1"/>
    <col min="3" max="5" width="22" customWidth="1"/>
    <col min="6" max="7" width="10" customWidth="1"/>
    <col min="8" max="8" width="14" customWidth="1"/>
    <col min="9" max="9" width="18" customWidth="1"/>
  </cols>
  <sheetData>
    <row r="1" spans="1:10" ht="43.95" customHeight="1">
      <c r="A1" s="255" t="s">
        <v>956</v>
      </c>
      <c r="B1" s="253"/>
      <c r="C1" s="253"/>
      <c r="D1" s="253"/>
      <c r="E1" s="253"/>
      <c r="F1" s="253"/>
      <c r="G1" s="253"/>
      <c r="H1" s="253"/>
      <c r="I1" s="253"/>
    </row>
    <row r="2" spans="1:10">
      <c r="A2" s="5" t="s">
        <v>45</v>
      </c>
      <c r="B2" s="5" t="s">
        <v>46</v>
      </c>
      <c r="C2" s="5" t="s">
        <v>957</v>
      </c>
      <c r="D2" s="5" t="s">
        <v>958</v>
      </c>
      <c r="E2" s="5" t="s">
        <v>959</v>
      </c>
      <c r="F2" s="5" t="s">
        <v>50</v>
      </c>
      <c r="G2" s="5" t="s">
        <v>51</v>
      </c>
      <c r="H2" s="5" t="s">
        <v>960</v>
      </c>
      <c r="I2" s="5" t="s">
        <v>52</v>
      </c>
      <c r="J2" s="5" t="s">
        <v>961</v>
      </c>
    </row>
    <row r="3" spans="1:10" ht="28.2" customHeight="1">
      <c r="A3" s="269" t="s">
        <v>962</v>
      </c>
      <c r="B3" s="253"/>
      <c r="C3" s="253"/>
      <c r="D3" s="253"/>
      <c r="E3" s="253"/>
      <c r="F3" s="253"/>
      <c r="G3" s="253"/>
      <c r="H3" s="253"/>
      <c r="I3" s="253"/>
    </row>
    <row r="4" spans="1:10">
      <c r="A4" s="172" t="s">
        <v>963</v>
      </c>
      <c r="B4" s="173">
        <v>46201</v>
      </c>
      <c r="C4" s="174" t="s">
        <v>964</v>
      </c>
      <c r="D4" s="175" t="str">
        <f>IFERROR('Classif - Grupos'!C53,"Aguardando")</f>
        <v>Coreia do Sul</v>
      </c>
      <c r="E4" s="175" t="str">
        <f>IFERROR('Classif - Grupos'!C54,"Aguardando")</f>
        <v>Qatar</v>
      </c>
      <c r="F4" s="249"/>
      <c r="G4" s="249"/>
      <c r="H4" s="176"/>
      <c r="I4" s="177" t="str">
        <f t="shared" ref="I4:I35" si="0">IF(AND(F4="",G4=""),"Aguardando",IF(AND(F4=G4,H4=""),"Preencher col H",IF(ISNUMBER(F4),"Finalizado","Verificar")))</f>
        <v>Aguardando</v>
      </c>
      <c r="J4" s="178" t="str">
        <f t="shared" ref="J4:J35" si="1">IF(AND(F4="",G4=""),"",IF(F4&gt;G4,D4,IF(F4&lt;G4,E4,IF(H4="S1",D4,IF(H4="S2",E4,"")))))</f>
        <v/>
      </c>
    </row>
    <row r="5" spans="1:10">
      <c r="A5" s="172" t="s">
        <v>965</v>
      </c>
      <c r="B5" s="173">
        <v>46202</v>
      </c>
      <c r="C5" s="174" t="s">
        <v>966</v>
      </c>
      <c r="D5" s="175" t="str">
        <f>IFERROR('Classif - Grupos'!B57,"Aguardando")</f>
        <v>Alemanha</v>
      </c>
      <c r="E5" s="175" t="str">
        <f>IFERROR(IFERROR(INDEX('Classif - Grupos'!$B$68:$B$79,MATCH(MID(IFERROR(VLOOKUP('Classif - Grupos'!B92,'T495'!$A$2:$I$496,5,FALSE),""),2,1),'Classif - Grupos'!$A$68:$A$79,0)),"Aguardando"),"Aguardando")</f>
        <v>Turquia</v>
      </c>
      <c r="F5" s="249"/>
      <c r="G5" s="249"/>
      <c r="H5" s="176"/>
      <c r="I5" s="177" t="str">
        <f t="shared" si="0"/>
        <v>Aguardando</v>
      </c>
      <c r="J5" s="178" t="str">
        <f t="shared" si="1"/>
        <v/>
      </c>
    </row>
    <row r="6" spans="1:10">
      <c r="A6" s="172" t="s">
        <v>967</v>
      </c>
      <c r="B6" s="173">
        <v>46202</v>
      </c>
      <c r="C6" s="174" t="s">
        <v>968</v>
      </c>
      <c r="D6" s="175" t="str">
        <f>IFERROR('Classif - Grupos'!B58,"Aguardando")</f>
        <v>Holanda</v>
      </c>
      <c r="E6" s="175" t="str">
        <f>IFERROR('Classif - Grupos'!C55,"Aguardando")</f>
        <v>Marrocos</v>
      </c>
      <c r="F6" s="249"/>
      <c r="G6" s="249"/>
      <c r="H6" s="176"/>
      <c r="I6" s="177" t="str">
        <f t="shared" si="0"/>
        <v>Aguardando</v>
      </c>
      <c r="J6" s="178" t="str">
        <f t="shared" si="1"/>
        <v/>
      </c>
    </row>
    <row r="7" spans="1:10">
      <c r="A7" s="172" t="s">
        <v>969</v>
      </c>
      <c r="B7" s="173">
        <v>46202</v>
      </c>
      <c r="C7" s="174" t="s">
        <v>970</v>
      </c>
      <c r="D7" s="175" t="str">
        <f>IFERROR('Classif - Grupos'!B55,"Aguardando")</f>
        <v>Brasil</v>
      </c>
      <c r="E7" s="175" t="str">
        <f>IFERROR('Classif - Grupos'!C58,"Aguardando")</f>
        <v>Japao</v>
      </c>
      <c r="F7" s="249"/>
      <c r="G7" s="249"/>
      <c r="H7" s="176"/>
      <c r="I7" s="177" t="str">
        <f t="shared" si="0"/>
        <v>Aguardando</v>
      </c>
      <c r="J7" s="178" t="str">
        <f t="shared" si="1"/>
        <v/>
      </c>
    </row>
    <row r="8" spans="1:10">
      <c r="A8" s="172" t="s">
        <v>971</v>
      </c>
      <c r="B8" s="173">
        <v>46203</v>
      </c>
      <c r="C8" s="174" t="s">
        <v>972</v>
      </c>
      <c r="D8" s="175" t="str">
        <f>IFERROR('Classif - Grupos'!B61,"Aguardando")</f>
        <v>Franca</v>
      </c>
      <c r="E8" s="175" t="str">
        <f>IFERROR(IFERROR(INDEX('Classif - Grupos'!$B$68:$B$79,MATCH(MID(IFERROR(VLOOKUP('Classif - Grupos'!B92,'T495'!$A$2:$I$496,7,FALSE),""),2,1),'Classif - Grupos'!$A$68:$A$79,0)),"Aguardando"),"Aguardando")</f>
        <v>Suecia</v>
      </c>
      <c r="F8" s="249"/>
      <c r="G8" s="249"/>
      <c r="H8" s="176"/>
      <c r="I8" s="177" t="str">
        <f t="shared" si="0"/>
        <v>Aguardando</v>
      </c>
      <c r="J8" s="178" t="str">
        <f t="shared" si="1"/>
        <v/>
      </c>
    </row>
    <row r="9" spans="1:10">
      <c r="A9" s="172" t="s">
        <v>973</v>
      </c>
      <c r="B9" s="173">
        <v>46203</v>
      </c>
      <c r="C9" s="174" t="s">
        <v>974</v>
      </c>
      <c r="D9" s="175" t="str">
        <f>IFERROR('Classif - Grupos'!C57,"Aguardando")</f>
        <v>Equador</v>
      </c>
      <c r="E9" s="175" t="str">
        <f>IFERROR('Classif - Grupos'!C61,"Aguardando")</f>
        <v>Senegal</v>
      </c>
      <c r="F9" s="249"/>
      <c r="G9" s="249"/>
      <c r="H9" s="176"/>
      <c r="I9" s="177" t="str">
        <f t="shared" si="0"/>
        <v>Aguardando</v>
      </c>
      <c r="J9" s="178" t="str">
        <f t="shared" si="1"/>
        <v/>
      </c>
    </row>
    <row r="10" spans="1:10">
      <c r="A10" s="172" t="s">
        <v>975</v>
      </c>
      <c r="B10" s="173">
        <v>46203</v>
      </c>
      <c r="C10" s="174" t="s">
        <v>976</v>
      </c>
      <c r="D10" s="175" t="str">
        <f>IFERROR('Classif - Grupos'!B53,"Aguardando")</f>
        <v>Mexico</v>
      </c>
      <c r="E10" s="175" t="str">
        <f>IFERROR(IFERROR(INDEX('Classif - Grupos'!$B$68:$B$79,MATCH(MID(IFERROR(VLOOKUP('Classif - Grupos'!B92,'T495'!$A$2:$I$496,2,FALSE),""),2,1),'Classif - Grupos'!$A$68:$A$79,0)),"Aguardando"),"Aguardando")</f>
        <v>Escocia</v>
      </c>
      <c r="F10" s="249"/>
      <c r="G10" s="249"/>
      <c r="H10" s="176"/>
      <c r="I10" s="177" t="str">
        <f t="shared" si="0"/>
        <v>Aguardando</v>
      </c>
      <c r="J10" s="178" t="str">
        <f t="shared" si="1"/>
        <v/>
      </c>
    </row>
    <row r="11" spans="1:10">
      <c r="A11" s="172" t="s">
        <v>977</v>
      </c>
      <c r="B11" s="173">
        <v>46204</v>
      </c>
      <c r="C11" s="174" t="s">
        <v>978</v>
      </c>
      <c r="D11" s="175" t="str">
        <f>IFERROR('Classif - Grupos'!B64,"Aguardando")</f>
        <v>Inglaterra</v>
      </c>
      <c r="E11" s="175" t="str">
        <f>IFERROR(IFERROR(INDEX('Classif - Grupos'!$B$68:$B$79,MATCH(MID(IFERROR(VLOOKUP('Classif - Grupos'!B92,'T495'!$A$2:$I$496,9,FALSE),""),2,1),'Classif - Grupos'!$A$68:$A$79,0)),"Aguardando"),"Aguardando")</f>
        <v>Noruega</v>
      </c>
      <c r="F11" s="249"/>
      <c r="G11" s="249"/>
      <c r="H11" s="176"/>
      <c r="I11" s="177" t="str">
        <f t="shared" si="0"/>
        <v>Aguardando</v>
      </c>
      <c r="J11" s="178" t="str">
        <f t="shared" si="1"/>
        <v/>
      </c>
    </row>
    <row r="12" spans="1:10">
      <c r="A12" s="172" t="s">
        <v>979</v>
      </c>
      <c r="B12" s="173">
        <v>46204</v>
      </c>
      <c r="C12" s="174" t="s">
        <v>980</v>
      </c>
      <c r="D12" s="175" t="str">
        <f>IFERROR('Classif - Grupos'!B56,"Aguardando")</f>
        <v>Estados Unidos</v>
      </c>
      <c r="E12" s="175" t="str">
        <f>IFERROR(IFERROR(INDEX('Classif - Grupos'!$B$68:$B$79,MATCH(MID(IFERROR(VLOOKUP('Classif - Grupos'!B92,'T495'!$A$2:$I$496,4,FALSE),""),2,1),'Classif - Grupos'!$A$68:$A$79,0)),"Aguardando"),"Aguardando")</f>
        <v>Canada</v>
      </c>
      <c r="F12" s="249"/>
      <c r="G12" s="249"/>
      <c r="H12" s="176"/>
      <c r="I12" s="177" t="str">
        <f t="shared" si="0"/>
        <v>Aguardando</v>
      </c>
      <c r="J12" s="178" t="str">
        <f t="shared" si="1"/>
        <v/>
      </c>
    </row>
    <row r="13" spans="1:10">
      <c r="A13" s="172" t="s">
        <v>981</v>
      </c>
      <c r="B13" s="173">
        <v>46204</v>
      </c>
      <c r="C13" s="174" t="s">
        <v>982</v>
      </c>
      <c r="D13" s="175" t="str">
        <f>IFERROR('Classif - Grupos'!B59,"Aguardando")</f>
        <v>Belgica</v>
      </c>
      <c r="E13" s="175" t="str">
        <f>IFERROR(IFERROR(INDEX('Classif - Grupos'!$B$68:$B$79,MATCH(MID(IFERROR(VLOOKUP('Classif - Grupos'!B92,'T495'!$A$2:$I$496,6,FALSE),""),2,1),'Classif - Grupos'!$A$68:$A$79,0)),"Aguardando"),"Aguardando")</f>
        <v>Argelia</v>
      </c>
      <c r="F13" s="249"/>
      <c r="G13" s="249"/>
      <c r="H13" s="176"/>
      <c r="I13" s="177" t="str">
        <f t="shared" si="0"/>
        <v>Aguardando</v>
      </c>
      <c r="J13" s="178" t="str">
        <f t="shared" si="1"/>
        <v/>
      </c>
    </row>
    <row r="14" spans="1:10">
      <c r="A14" s="172" t="s">
        <v>983</v>
      </c>
      <c r="B14" s="173">
        <v>46205</v>
      </c>
      <c r="C14" s="174" t="s">
        <v>984</v>
      </c>
      <c r="D14" s="175" t="str">
        <f>IFERROR('Classif - Grupos'!C63,"Aguardando")</f>
        <v>Colombia</v>
      </c>
      <c r="E14" s="175" t="str">
        <f>IFERROR('Classif - Grupos'!C64,"Aguardando")</f>
        <v>Croacia</v>
      </c>
      <c r="F14" s="249"/>
      <c r="G14" s="249"/>
      <c r="H14" s="176"/>
      <c r="I14" s="177" t="str">
        <f t="shared" si="0"/>
        <v>Aguardando</v>
      </c>
      <c r="J14" s="178" t="str">
        <f t="shared" si="1"/>
        <v/>
      </c>
    </row>
    <row r="15" spans="1:10">
      <c r="A15" s="172" t="s">
        <v>985</v>
      </c>
      <c r="B15" s="173">
        <v>46205</v>
      </c>
      <c r="C15" s="174" t="s">
        <v>986</v>
      </c>
      <c r="D15" s="175" t="str">
        <f>IFERROR('Classif - Grupos'!B60,"Aguardando")</f>
        <v>Espanha</v>
      </c>
      <c r="E15" s="175" t="str">
        <f>IFERROR('Classif - Grupos'!C62,"Aguardando")</f>
        <v>Austria</v>
      </c>
      <c r="F15" s="249"/>
      <c r="G15" s="249"/>
      <c r="H15" s="176"/>
      <c r="I15" s="177" t="str">
        <f t="shared" si="0"/>
        <v>Aguardando</v>
      </c>
      <c r="J15" s="178" t="str">
        <f t="shared" si="1"/>
        <v/>
      </c>
    </row>
    <row r="16" spans="1:10">
      <c r="A16" s="172" t="s">
        <v>987</v>
      </c>
      <c r="B16" s="173">
        <v>46205</v>
      </c>
      <c r="C16" s="174" t="s">
        <v>988</v>
      </c>
      <c r="D16" s="175" t="str">
        <f>IFERROR('Classif - Grupos'!B54,"Aguardando")</f>
        <v>Suica</v>
      </c>
      <c r="E16" s="175" t="str">
        <f>IFERROR(IFERROR(INDEX('Classif - Grupos'!$B$68:$B$79,MATCH(MID(IFERROR(VLOOKUP('Classif - Grupos'!B92,'T495'!$A$2:$I$496,3,FALSE),""),2,1),'Classif - Grupos'!$A$68:$A$79,0)),"Aguardando"),"Aguardando")</f>
        <v>Egito</v>
      </c>
      <c r="F16" s="249"/>
      <c r="G16" s="249"/>
      <c r="H16" s="176"/>
      <c r="I16" s="177" t="str">
        <f t="shared" si="0"/>
        <v>Aguardando</v>
      </c>
      <c r="J16" s="178" t="str">
        <f t="shared" si="1"/>
        <v/>
      </c>
    </row>
    <row r="17" spans="1:10">
      <c r="A17" s="172" t="s">
        <v>989</v>
      </c>
      <c r="B17" s="173">
        <v>46206</v>
      </c>
      <c r="C17" s="174" t="s">
        <v>990</v>
      </c>
      <c r="D17" s="175" t="str">
        <f>IFERROR('Classif - Grupos'!B62,"Aguardando")</f>
        <v>Argentina</v>
      </c>
      <c r="E17" s="175" t="str">
        <f>IFERROR('Classif - Grupos'!C60,"Aguardando")</f>
        <v>Uruguai</v>
      </c>
      <c r="F17" s="249"/>
      <c r="G17" s="249"/>
      <c r="H17" s="176"/>
      <c r="I17" s="177" t="str">
        <f t="shared" si="0"/>
        <v>Aguardando</v>
      </c>
      <c r="J17" s="178" t="str">
        <f t="shared" si="1"/>
        <v/>
      </c>
    </row>
    <row r="18" spans="1:10">
      <c r="A18" s="172" t="s">
        <v>991</v>
      </c>
      <c r="B18" s="173">
        <v>46206</v>
      </c>
      <c r="C18" s="174" t="s">
        <v>992</v>
      </c>
      <c r="D18" s="175" t="str">
        <f>IFERROR('Classif - Grupos'!B63,"Aguardando")</f>
        <v>Portugal</v>
      </c>
      <c r="E18" s="175" t="str">
        <f>IFERROR(IFERROR(INDEX('Classif - Grupos'!$B$68:$B$79,MATCH(MID(IFERROR(VLOOKUP('Classif - Grupos'!B92,'T495'!$A$2:$I$496,8,FALSE),""),2,1),'Classif - Grupos'!$A$68:$A$79,0)),"Aguardando"),"Aguardando")</f>
        <v>Costa do Marfim</v>
      </c>
      <c r="F18" s="249"/>
      <c r="G18" s="249"/>
      <c r="H18" s="176"/>
      <c r="I18" s="177" t="str">
        <f t="shared" si="0"/>
        <v>Aguardando</v>
      </c>
      <c r="J18" s="178" t="str">
        <f t="shared" si="1"/>
        <v/>
      </c>
    </row>
    <row r="19" spans="1:10">
      <c r="A19" s="172" t="s">
        <v>993</v>
      </c>
      <c r="B19" s="173">
        <v>46206</v>
      </c>
      <c r="C19" s="174" t="s">
        <v>994</v>
      </c>
      <c r="D19" s="175" t="str">
        <f>IFERROR('Classif - Grupos'!C56,"Aguardando")</f>
        <v>Australia</v>
      </c>
      <c r="E19" s="175" t="str">
        <f>IFERROR('Classif - Grupos'!C59,"Aguardando")</f>
        <v>Ira</v>
      </c>
      <c r="F19" s="249"/>
      <c r="G19" s="249"/>
      <c r="H19" s="176"/>
      <c r="I19" s="177" t="str">
        <f t="shared" si="0"/>
        <v>Aguardando</v>
      </c>
      <c r="J19" s="178" t="str">
        <f t="shared" si="1"/>
        <v/>
      </c>
    </row>
    <row r="20" spans="1:10">
      <c r="A20" s="179" t="s">
        <v>995</v>
      </c>
      <c r="B20" s="180">
        <v>46207</v>
      </c>
      <c r="C20" s="181" t="s">
        <v>996</v>
      </c>
      <c r="D20" s="182" t="str">
        <f>IFERROR(IF(OR('Mata-Mata - Jogos'!F5="",'Mata-Mata - Jogos'!G5=""),"Aguardando",IF('Mata-Mata - Jogos'!F5&gt;'Mata-Mata - Jogos'!G5,'Mata-Mata - Jogos'!D5,IF('Mata-Mata - Jogos'!F5&lt;'Mata-Mata - Jogos'!G5,'Mata-Mata - Jogos'!E5,IF('Mata-Mata - Jogos'!H5="S1",'Mata-Mata - Jogos'!D5,IF('Mata-Mata - Jogos'!H5="S2",'Mata-Mata - Jogos'!E5,"Aguardando"))))),"Aguardando")</f>
        <v>Aguardando</v>
      </c>
      <c r="E20" s="182" t="str">
        <f>IFERROR(IF(OR('Mata-Mata - Jogos'!F8="",'Mata-Mata - Jogos'!G8=""),"Aguardando",IF('Mata-Mata - Jogos'!F8&gt;'Mata-Mata - Jogos'!G8,'Mata-Mata - Jogos'!D8,IF('Mata-Mata - Jogos'!F8&lt;'Mata-Mata - Jogos'!G8,'Mata-Mata - Jogos'!E8,IF('Mata-Mata - Jogos'!H8="S1",'Mata-Mata - Jogos'!D8,IF('Mata-Mata - Jogos'!H8="S2",'Mata-Mata - Jogos'!E8,"Aguardando"))))),"Aguardando")</f>
        <v>Aguardando</v>
      </c>
      <c r="F20" s="249"/>
      <c r="G20" s="249"/>
      <c r="H20" s="176"/>
      <c r="I20" s="183" t="str">
        <f t="shared" si="0"/>
        <v>Aguardando</v>
      </c>
      <c r="J20" s="178" t="str">
        <f t="shared" si="1"/>
        <v/>
      </c>
    </row>
    <row r="21" spans="1:10">
      <c r="A21" s="179" t="s">
        <v>997</v>
      </c>
      <c r="B21" s="180">
        <v>46207</v>
      </c>
      <c r="C21" s="181" t="s">
        <v>998</v>
      </c>
      <c r="D21" s="182" t="str">
        <f>IFERROR(IF(OR('Mata-Mata - Jogos'!F4="",'Mata-Mata - Jogos'!G4=""),"Aguardando",IF('Mata-Mata - Jogos'!F4&gt;'Mata-Mata - Jogos'!G4,'Mata-Mata - Jogos'!D4,IF('Mata-Mata - Jogos'!F4&lt;'Mata-Mata - Jogos'!G4,'Mata-Mata - Jogos'!E4,IF('Mata-Mata - Jogos'!H4="S1",'Mata-Mata - Jogos'!D4,IF('Mata-Mata - Jogos'!H4="S2",'Mata-Mata - Jogos'!E4,"Aguardando"))))),"Aguardando")</f>
        <v>Aguardando</v>
      </c>
      <c r="E21" s="182" t="str">
        <f>IFERROR(IF(OR('Mata-Mata - Jogos'!F6="",'Mata-Mata - Jogos'!G6=""),"Aguardando",IF('Mata-Mata - Jogos'!F6&gt;'Mata-Mata - Jogos'!G6,'Mata-Mata - Jogos'!D6,IF('Mata-Mata - Jogos'!F6&lt;'Mata-Mata - Jogos'!G6,'Mata-Mata - Jogos'!E6,IF('Mata-Mata - Jogos'!H6="S1",'Mata-Mata - Jogos'!D6,IF('Mata-Mata - Jogos'!H6="S2",'Mata-Mata - Jogos'!E6,"Aguardando"))))),"Aguardando")</f>
        <v>Aguardando</v>
      </c>
      <c r="F21" s="249"/>
      <c r="G21" s="249"/>
      <c r="H21" s="176"/>
      <c r="I21" s="183" t="str">
        <f t="shared" si="0"/>
        <v>Aguardando</v>
      </c>
      <c r="J21" s="178" t="str">
        <f t="shared" si="1"/>
        <v/>
      </c>
    </row>
    <row r="22" spans="1:10">
      <c r="A22" s="179" t="s">
        <v>999</v>
      </c>
      <c r="B22" s="180">
        <v>46208</v>
      </c>
      <c r="C22" s="181" t="s">
        <v>1000</v>
      </c>
      <c r="D22" s="182" t="str">
        <f>IFERROR(IF(OR('Mata-Mata - Jogos'!F7="",'Mata-Mata - Jogos'!G7=""),"Aguardando",IF('Mata-Mata - Jogos'!F7&gt;'Mata-Mata - Jogos'!G7,'Mata-Mata - Jogos'!D7,IF('Mata-Mata - Jogos'!F7&lt;'Mata-Mata - Jogos'!G7,'Mata-Mata - Jogos'!E7,IF('Mata-Mata - Jogos'!H7="S1",'Mata-Mata - Jogos'!D7,IF('Mata-Mata - Jogos'!H7="S2",'Mata-Mata - Jogos'!E7,"Aguardando"))))),"Aguardando")</f>
        <v>Aguardando</v>
      </c>
      <c r="E22" s="182" t="str">
        <f>IFERROR(IF(OR('Mata-Mata - Jogos'!F9="",'Mata-Mata - Jogos'!G9=""),"Aguardando",IF('Mata-Mata - Jogos'!F9&gt;'Mata-Mata - Jogos'!G9,'Mata-Mata - Jogos'!D9,IF('Mata-Mata - Jogos'!F9&lt;'Mata-Mata - Jogos'!G9,'Mata-Mata - Jogos'!E9,IF('Mata-Mata - Jogos'!H9="S1",'Mata-Mata - Jogos'!D9,IF('Mata-Mata - Jogos'!H9="S2",'Mata-Mata - Jogos'!E9,"Aguardando"))))),"Aguardando")</f>
        <v>Aguardando</v>
      </c>
      <c r="F22" s="249"/>
      <c r="G22" s="249"/>
      <c r="H22" s="176"/>
      <c r="I22" s="183" t="str">
        <f t="shared" si="0"/>
        <v>Aguardando</v>
      </c>
      <c r="J22" s="178" t="str">
        <f t="shared" si="1"/>
        <v/>
      </c>
    </row>
    <row r="23" spans="1:10">
      <c r="A23" s="179" t="s">
        <v>1001</v>
      </c>
      <c r="B23" s="180">
        <v>46208</v>
      </c>
      <c r="C23" s="181" t="s">
        <v>1002</v>
      </c>
      <c r="D23" s="182" t="str">
        <f>IFERROR(IF(OR('Mata-Mata - Jogos'!F10="",'Mata-Mata - Jogos'!G10=""),"Aguardando",IF('Mata-Mata - Jogos'!F10&gt;'Mata-Mata - Jogos'!G10,'Mata-Mata - Jogos'!D10,IF('Mata-Mata - Jogos'!F10&lt;'Mata-Mata - Jogos'!G10,'Mata-Mata - Jogos'!E10,IF('Mata-Mata - Jogos'!H10="S1",'Mata-Mata - Jogos'!D10,IF('Mata-Mata - Jogos'!H10="S2",'Mata-Mata - Jogos'!E10,"Aguardando"))))),"Aguardando")</f>
        <v>Aguardando</v>
      </c>
      <c r="E23" s="182" t="str">
        <f>IFERROR(IF(OR('Mata-Mata - Jogos'!F11="",'Mata-Mata - Jogos'!G11=""),"Aguardando",IF('Mata-Mata - Jogos'!F11&gt;'Mata-Mata - Jogos'!G11,'Mata-Mata - Jogos'!D11,IF('Mata-Mata - Jogos'!F11&lt;'Mata-Mata - Jogos'!G11,'Mata-Mata - Jogos'!E11,IF('Mata-Mata - Jogos'!H11="S1",'Mata-Mata - Jogos'!D11,IF('Mata-Mata - Jogos'!H11="S2",'Mata-Mata - Jogos'!E11,"Aguardando"))))),"Aguardando")</f>
        <v>Aguardando</v>
      </c>
      <c r="F23" s="249"/>
      <c r="G23" s="249"/>
      <c r="H23" s="176"/>
      <c r="I23" s="183" t="str">
        <f t="shared" si="0"/>
        <v>Aguardando</v>
      </c>
      <c r="J23" s="178" t="str">
        <f t="shared" si="1"/>
        <v/>
      </c>
    </row>
    <row r="24" spans="1:10">
      <c r="A24" s="179" t="s">
        <v>1003</v>
      </c>
      <c r="B24" s="180">
        <v>46209</v>
      </c>
      <c r="C24" s="181" t="s">
        <v>1004</v>
      </c>
      <c r="D24" s="182" t="str">
        <f>IFERROR(IF(OR('Mata-Mata - Jogos'!F14="",'Mata-Mata - Jogos'!G14=""),"Aguardando",IF('Mata-Mata - Jogos'!F14&gt;'Mata-Mata - Jogos'!G14,'Mata-Mata - Jogos'!D14,IF('Mata-Mata - Jogos'!F14&lt;'Mata-Mata - Jogos'!G14,'Mata-Mata - Jogos'!E14,IF('Mata-Mata - Jogos'!H14="S1",'Mata-Mata - Jogos'!D14,IF('Mata-Mata - Jogos'!H14="S2",'Mata-Mata - Jogos'!E14,"Aguardando"))))),"Aguardando")</f>
        <v>Aguardando</v>
      </c>
      <c r="E24" s="182" t="str">
        <f>IFERROR(IF(OR('Mata-Mata - Jogos'!F15="",'Mata-Mata - Jogos'!G15=""),"Aguardando",IF('Mata-Mata - Jogos'!F15&gt;'Mata-Mata - Jogos'!G15,'Mata-Mata - Jogos'!D15,IF('Mata-Mata - Jogos'!F15&lt;'Mata-Mata - Jogos'!G15,'Mata-Mata - Jogos'!E15,IF('Mata-Mata - Jogos'!H15="S1",'Mata-Mata - Jogos'!D15,IF('Mata-Mata - Jogos'!H15="S2",'Mata-Mata - Jogos'!E15,"Aguardando"))))),"Aguardando")</f>
        <v>Aguardando</v>
      </c>
      <c r="F24" s="249"/>
      <c r="G24" s="249"/>
      <c r="H24" s="176"/>
      <c r="I24" s="183" t="str">
        <f t="shared" si="0"/>
        <v>Aguardando</v>
      </c>
      <c r="J24" s="178" t="str">
        <f t="shared" si="1"/>
        <v/>
      </c>
    </row>
    <row r="25" spans="1:10">
      <c r="A25" s="179" t="s">
        <v>1005</v>
      </c>
      <c r="B25" s="180">
        <v>46209</v>
      </c>
      <c r="C25" s="181" t="s">
        <v>1006</v>
      </c>
      <c r="D25" s="182" t="str">
        <f>IFERROR(IF(OR('Mata-Mata - Jogos'!F12="",'Mata-Mata - Jogos'!G12=""),"Aguardando",IF('Mata-Mata - Jogos'!F12&gt;'Mata-Mata - Jogos'!G12,'Mata-Mata - Jogos'!D12,IF('Mata-Mata - Jogos'!F12&lt;'Mata-Mata - Jogos'!G12,'Mata-Mata - Jogos'!E12,IF('Mata-Mata - Jogos'!H12="S1",'Mata-Mata - Jogos'!D12,IF('Mata-Mata - Jogos'!H12="S2",'Mata-Mata - Jogos'!E12,"Aguardando"))))),"Aguardando")</f>
        <v>Aguardando</v>
      </c>
      <c r="E25" s="182" t="str">
        <f>IFERROR(IF(OR('Mata-Mata - Jogos'!F13="",'Mata-Mata - Jogos'!G13=""),"Aguardando",IF('Mata-Mata - Jogos'!F13&gt;'Mata-Mata - Jogos'!G13,'Mata-Mata - Jogos'!D13,IF('Mata-Mata - Jogos'!F13&lt;'Mata-Mata - Jogos'!G13,'Mata-Mata - Jogos'!E13,IF('Mata-Mata - Jogos'!H13="S1",'Mata-Mata - Jogos'!D13,IF('Mata-Mata - Jogos'!H13="S2",'Mata-Mata - Jogos'!E13,"Aguardando"))))),"Aguardando")</f>
        <v>Aguardando</v>
      </c>
      <c r="F25" s="249"/>
      <c r="G25" s="249"/>
      <c r="H25" s="176"/>
      <c r="I25" s="183" t="str">
        <f t="shared" si="0"/>
        <v>Aguardando</v>
      </c>
      <c r="J25" s="178" t="str">
        <f t="shared" si="1"/>
        <v/>
      </c>
    </row>
    <row r="26" spans="1:10">
      <c r="A26" s="179" t="s">
        <v>1007</v>
      </c>
      <c r="B26" s="180">
        <v>46210</v>
      </c>
      <c r="C26" s="181" t="s">
        <v>1008</v>
      </c>
      <c r="D26" s="182" t="str">
        <f>IFERROR(IF(OR('Mata-Mata - Jogos'!F17="",'Mata-Mata - Jogos'!G17=""),"Aguardando",IF('Mata-Mata - Jogos'!F17&gt;'Mata-Mata - Jogos'!G17,'Mata-Mata - Jogos'!D17,IF('Mata-Mata - Jogos'!F17&lt;'Mata-Mata - Jogos'!G17,'Mata-Mata - Jogos'!E17,IF('Mata-Mata - Jogos'!H17="S1",'Mata-Mata - Jogos'!D17,IF('Mata-Mata - Jogos'!H17="S2",'Mata-Mata - Jogos'!E17,"Aguardando"))))),"Aguardando")</f>
        <v>Aguardando</v>
      </c>
      <c r="E26" s="182" t="str">
        <f>IFERROR(IF(OR('Mata-Mata - Jogos'!F19="",'Mata-Mata - Jogos'!G19=""),"Aguardando",IF('Mata-Mata - Jogos'!F19&gt;'Mata-Mata - Jogos'!G19,'Mata-Mata - Jogos'!D19,IF('Mata-Mata - Jogos'!F19&lt;'Mata-Mata - Jogos'!G19,'Mata-Mata - Jogos'!E19,IF('Mata-Mata - Jogos'!H19="S1",'Mata-Mata - Jogos'!D19,IF('Mata-Mata - Jogos'!H19="S2",'Mata-Mata - Jogos'!E19,"Aguardando"))))),"Aguardando")</f>
        <v>Aguardando</v>
      </c>
      <c r="F26" s="249"/>
      <c r="G26" s="249"/>
      <c r="H26" s="176"/>
      <c r="I26" s="183" t="str">
        <f t="shared" si="0"/>
        <v>Aguardando</v>
      </c>
      <c r="J26" s="178" t="str">
        <f t="shared" si="1"/>
        <v/>
      </c>
    </row>
    <row r="27" spans="1:10">
      <c r="A27" s="179" t="s">
        <v>1009</v>
      </c>
      <c r="B27" s="180">
        <v>46210</v>
      </c>
      <c r="C27" s="181" t="s">
        <v>1010</v>
      </c>
      <c r="D27" s="182" t="str">
        <f>IFERROR(IF(OR('Mata-Mata - Jogos'!F16="",'Mata-Mata - Jogos'!G16=""),"Aguardando",IF('Mata-Mata - Jogos'!F16&gt;'Mata-Mata - Jogos'!G16,'Mata-Mata - Jogos'!D16,IF('Mata-Mata - Jogos'!F16&lt;'Mata-Mata - Jogos'!G16,'Mata-Mata - Jogos'!E16,IF('Mata-Mata - Jogos'!H16="S1",'Mata-Mata - Jogos'!D16,IF('Mata-Mata - Jogos'!H16="S2",'Mata-Mata - Jogos'!E16,"Aguardando"))))),"Aguardando")</f>
        <v>Aguardando</v>
      </c>
      <c r="E27" s="182" t="str">
        <f>IFERROR(IF(OR('Mata-Mata - Jogos'!F18="",'Mata-Mata - Jogos'!G18=""),"Aguardando",IF('Mata-Mata - Jogos'!F18&gt;'Mata-Mata - Jogos'!G18,'Mata-Mata - Jogos'!D18,IF('Mata-Mata - Jogos'!F18&lt;'Mata-Mata - Jogos'!G18,'Mata-Mata - Jogos'!E18,IF('Mata-Mata - Jogos'!H18="S1",'Mata-Mata - Jogos'!D18,IF('Mata-Mata - Jogos'!H18="S2",'Mata-Mata - Jogos'!E18,"Aguardando"))))),"Aguardando")</f>
        <v>Aguardando</v>
      </c>
      <c r="F27" s="249"/>
      <c r="G27" s="249"/>
      <c r="H27" s="176"/>
      <c r="I27" s="183" t="str">
        <f t="shared" si="0"/>
        <v>Aguardando</v>
      </c>
      <c r="J27" s="178" t="str">
        <f t="shared" si="1"/>
        <v/>
      </c>
    </row>
    <row r="28" spans="1:10">
      <c r="A28" s="184" t="s">
        <v>1011</v>
      </c>
      <c r="B28" s="185">
        <v>46212</v>
      </c>
      <c r="C28" s="186" t="s">
        <v>1012</v>
      </c>
      <c r="D28" s="187" t="str">
        <f>IFERROR(IF(OR('Mata-Mata - Jogos'!F20="",'Mata-Mata - Jogos'!G20=""),"Aguardando",IF('Mata-Mata - Jogos'!F20&gt;'Mata-Mata - Jogos'!G20,'Mata-Mata - Jogos'!D20,IF('Mata-Mata - Jogos'!F20&lt;'Mata-Mata - Jogos'!G20,'Mata-Mata - Jogos'!E20,IF('Mata-Mata - Jogos'!H20="S1",'Mata-Mata - Jogos'!D20,IF('Mata-Mata - Jogos'!H20="S2",'Mata-Mata - Jogos'!E20,"Aguardando"))))),"Aguardando")</f>
        <v>Aguardando</v>
      </c>
      <c r="E28" s="187" t="str">
        <f>IFERROR(IF(OR('Mata-Mata - Jogos'!F21="",'Mata-Mata - Jogos'!G21=""),"Aguardando",IF('Mata-Mata - Jogos'!F21&gt;'Mata-Mata - Jogos'!G21,'Mata-Mata - Jogos'!D21,IF('Mata-Mata - Jogos'!F21&lt;'Mata-Mata - Jogos'!G21,'Mata-Mata - Jogos'!E21,IF('Mata-Mata - Jogos'!H21="S1",'Mata-Mata - Jogos'!D21,IF('Mata-Mata - Jogos'!H21="S2",'Mata-Mata - Jogos'!E21,"Aguardando"))))),"Aguardando")</f>
        <v>Aguardando</v>
      </c>
      <c r="F28" s="249"/>
      <c r="G28" s="249"/>
      <c r="H28" s="176"/>
      <c r="I28" s="188" t="str">
        <f t="shared" si="0"/>
        <v>Aguardando</v>
      </c>
      <c r="J28" s="178" t="str">
        <f t="shared" si="1"/>
        <v/>
      </c>
    </row>
    <row r="29" spans="1:10">
      <c r="A29" s="184" t="s">
        <v>1013</v>
      </c>
      <c r="B29" s="185">
        <v>46213</v>
      </c>
      <c r="C29" s="186" t="s">
        <v>1014</v>
      </c>
      <c r="D29" s="187" t="str">
        <f>IFERROR(IF(OR('Mata-Mata - Jogos'!F24="",'Mata-Mata - Jogos'!G24=""),"Aguardando",IF('Mata-Mata - Jogos'!F24&gt;'Mata-Mata - Jogos'!G24,'Mata-Mata - Jogos'!D24,IF('Mata-Mata - Jogos'!F24&lt;'Mata-Mata - Jogos'!G24,'Mata-Mata - Jogos'!E24,IF('Mata-Mata - Jogos'!H24="S1",'Mata-Mata - Jogos'!D24,IF('Mata-Mata - Jogos'!H24="S2",'Mata-Mata - Jogos'!E24,"Aguardando"))))),"Aguardando")</f>
        <v>Aguardando</v>
      </c>
      <c r="E29" s="187" t="str">
        <f>IFERROR(IF(OR('Mata-Mata - Jogos'!F25="",'Mata-Mata - Jogos'!G25=""),"Aguardando",IF('Mata-Mata - Jogos'!F25&gt;'Mata-Mata - Jogos'!G25,'Mata-Mata - Jogos'!D25,IF('Mata-Mata - Jogos'!F25&lt;'Mata-Mata - Jogos'!G25,'Mata-Mata - Jogos'!E25,IF('Mata-Mata - Jogos'!H25="S1",'Mata-Mata - Jogos'!D25,IF('Mata-Mata - Jogos'!H25="S2",'Mata-Mata - Jogos'!E25,"Aguardando"))))),"Aguardando")</f>
        <v>Aguardando</v>
      </c>
      <c r="F29" s="249"/>
      <c r="G29" s="249"/>
      <c r="H29" s="176"/>
      <c r="I29" s="188" t="str">
        <f t="shared" si="0"/>
        <v>Aguardando</v>
      </c>
      <c r="J29" s="178" t="str">
        <f t="shared" si="1"/>
        <v/>
      </c>
    </row>
    <row r="30" spans="1:10">
      <c r="A30" s="184" t="s">
        <v>1015</v>
      </c>
      <c r="B30" s="185">
        <v>46214</v>
      </c>
      <c r="C30" s="186" t="s">
        <v>1016</v>
      </c>
      <c r="D30" s="187" t="str">
        <f>IFERROR(IF(OR('Mata-Mata - Jogos'!F22="",'Mata-Mata - Jogos'!G22=""),"Aguardando",IF('Mata-Mata - Jogos'!F22&gt;'Mata-Mata - Jogos'!G22,'Mata-Mata - Jogos'!D22,IF('Mata-Mata - Jogos'!F22&lt;'Mata-Mata - Jogos'!G22,'Mata-Mata - Jogos'!E22,IF('Mata-Mata - Jogos'!H22="S1",'Mata-Mata - Jogos'!D22,IF('Mata-Mata - Jogos'!H22="S2",'Mata-Mata - Jogos'!E22,"Aguardando"))))),"Aguardando")</f>
        <v>Aguardando</v>
      </c>
      <c r="E30" s="187" t="str">
        <f>IFERROR(IF(OR('Mata-Mata - Jogos'!F23="",'Mata-Mata - Jogos'!G23=""),"Aguardando",IF('Mata-Mata - Jogos'!F23&gt;'Mata-Mata - Jogos'!G23,'Mata-Mata - Jogos'!D23,IF('Mata-Mata - Jogos'!F23&lt;'Mata-Mata - Jogos'!G23,'Mata-Mata - Jogos'!E23,IF('Mata-Mata - Jogos'!H23="S1",'Mata-Mata - Jogos'!D23,IF('Mata-Mata - Jogos'!H23="S2",'Mata-Mata - Jogos'!E23,"Aguardando"))))),"Aguardando")</f>
        <v>Aguardando</v>
      </c>
      <c r="F30" s="249"/>
      <c r="G30" s="249"/>
      <c r="H30" s="176"/>
      <c r="I30" s="188" t="str">
        <f t="shared" si="0"/>
        <v>Aguardando</v>
      </c>
      <c r="J30" s="178" t="str">
        <f t="shared" si="1"/>
        <v/>
      </c>
    </row>
    <row r="31" spans="1:10">
      <c r="A31" s="184" t="s">
        <v>1017</v>
      </c>
      <c r="B31" s="185">
        <v>46214</v>
      </c>
      <c r="C31" s="186" t="s">
        <v>1018</v>
      </c>
      <c r="D31" s="187" t="str">
        <f>IFERROR(IF(OR('Mata-Mata - Jogos'!F26="",'Mata-Mata - Jogos'!G26=""),"Aguardando",IF('Mata-Mata - Jogos'!F26&gt;'Mata-Mata - Jogos'!G26,'Mata-Mata - Jogos'!D26,IF('Mata-Mata - Jogos'!F26&lt;'Mata-Mata - Jogos'!G26,'Mata-Mata - Jogos'!E26,IF('Mata-Mata - Jogos'!H26="S1",'Mata-Mata - Jogos'!D26,IF('Mata-Mata - Jogos'!H26="S2",'Mata-Mata - Jogos'!E26,"Aguardando"))))),"Aguardando")</f>
        <v>Aguardando</v>
      </c>
      <c r="E31" s="187" t="str">
        <f>IFERROR(IF(OR('Mata-Mata - Jogos'!F27="",'Mata-Mata - Jogos'!G27=""),"Aguardando",IF('Mata-Mata - Jogos'!F27&gt;'Mata-Mata - Jogos'!G27,'Mata-Mata - Jogos'!D27,IF('Mata-Mata - Jogos'!F27&lt;'Mata-Mata - Jogos'!G27,'Mata-Mata - Jogos'!E27,IF('Mata-Mata - Jogos'!H27="S1",'Mata-Mata - Jogos'!D27,IF('Mata-Mata - Jogos'!H27="S2",'Mata-Mata - Jogos'!E27,"Aguardando"))))),"Aguardando")</f>
        <v>Aguardando</v>
      </c>
      <c r="F31" s="249"/>
      <c r="G31" s="249"/>
      <c r="H31" s="176"/>
      <c r="I31" s="188" t="str">
        <f t="shared" si="0"/>
        <v>Aguardando</v>
      </c>
      <c r="J31" s="178" t="str">
        <f t="shared" si="1"/>
        <v/>
      </c>
    </row>
    <row r="32" spans="1:10">
      <c r="A32" s="189" t="s">
        <v>1019</v>
      </c>
      <c r="B32" s="190">
        <v>46217</v>
      </c>
      <c r="C32" s="191" t="s">
        <v>1020</v>
      </c>
      <c r="D32" s="192" t="str">
        <f>IFERROR(IF(OR('Mata-Mata - Jogos'!F28="",'Mata-Mata - Jogos'!G28=""),"Aguardando",IF('Mata-Mata - Jogos'!F28&gt;'Mata-Mata - Jogos'!G28,'Mata-Mata - Jogos'!D28,IF('Mata-Mata - Jogos'!F28&lt;'Mata-Mata - Jogos'!G28,'Mata-Mata - Jogos'!E28,IF('Mata-Mata - Jogos'!H28="S1",'Mata-Mata - Jogos'!D28,IF('Mata-Mata - Jogos'!H28="S2",'Mata-Mata - Jogos'!E28,"Aguardando"))))),"Aguardando")</f>
        <v>Aguardando</v>
      </c>
      <c r="E32" s="192" t="str">
        <f>IFERROR(IF(OR('Mata-Mata - Jogos'!F29="",'Mata-Mata - Jogos'!G29=""),"Aguardando",IF('Mata-Mata - Jogos'!F29&gt;'Mata-Mata - Jogos'!G29,'Mata-Mata - Jogos'!D29,IF('Mata-Mata - Jogos'!F29&lt;'Mata-Mata - Jogos'!G29,'Mata-Mata - Jogos'!E29,IF('Mata-Mata - Jogos'!H29="S1",'Mata-Mata - Jogos'!D29,IF('Mata-Mata - Jogos'!H29="S2",'Mata-Mata - Jogos'!E29,"Aguardando"))))),"Aguardando")</f>
        <v>Aguardando</v>
      </c>
      <c r="F32" s="249"/>
      <c r="G32" s="249"/>
      <c r="H32" s="176"/>
      <c r="I32" s="193" t="str">
        <f t="shared" si="0"/>
        <v>Aguardando</v>
      </c>
      <c r="J32" s="178" t="str">
        <f t="shared" si="1"/>
        <v/>
      </c>
    </row>
    <row r="33" spans="1:10">
      <c r="A33" s="189" t="s">
        <v>1021</v>
      </c>
      <c r="B33" s="190">
        <v>46218</v>
      </c>
      <c r="C33" s="191" t="s">
        <v>1022</v>
      </c>
      <c r="D33" s="192" t="str">
        <f>IFERROR(IF(OR('Mata-Mata - Jogos'!F30="",'Mata-Mata - Jogos'!G30=""),"Aguardando",IF('Mata-Mata - Jogos'!F30&gt;'Mata-Mata - Jogos'!G30,'Mata-Mata - Jogos'!D30,IF('Mata-Mata - Jogos'!F30&lt;'Mata-Mata - Jogos'!G30,'Mata-Mata - Jogos'!E30,IF('Mata-Mata - Jogos'!H30="S1",'Mata-Mata - Jogos'!D30,IF('Mata-Mata - Jogos'!H30="S2",'Mata-Mata - Jogos'!E30,"Aguardando"))))),"Aguardando")</f>
        <v>Aguardando</v>
      </c>
      <c r="E33" s="192" t="str">
        <f>IFERROR(IF(OR('Mata-Mata - Jogos'!F31="",'Mata-Mata - Jogos'!G31=""),"Aguardando",IF('Mata-Mata - Jogos'!F31&gt;'Mata-Mata - Jogos'!G31,'Mata-Mata - Jogos'!D31,IF('Mata-Mata - Jogos'!F31&lt;'Mata-Mata - Jogos'!G31,'Mata-Mata - Jogos'!E31,IF('Mata-Mata - Jogos'!H31="S1",'Mata-Mata - Jogos'!D31,IF('Mata-Mata - Jogos'!H31="S2",'Mata-Mata - Jogos'!E31,"Aguardando"))))),"Aguardando")</f>
        <v>Aguardando</v>
      </c>
      <c r="F33" s="249"/>
      <c r="G33" s="249"/>
      <c r="H33" s="176"/>
      <c r="I33" s="193" t="str">
        <f t="shared" si="0"/>
        <v>Aguardando</v>
      </c>
      <c r="J33" s="178" t="str">
        <f t="shared" si="1"/>
        <v/>
      </c>
    </row>
    <row r="34" spans="1:10">
      <c r="A34" s="194" t="s">
        <v>1023</v>
      </c>
      <c r="B34" s="195">
        <v>46221</v>
      </c>
      <c r="C34" s="196" t="s">
        <v>1024</v>
      </c>
      <c r="D34" s="197" t="str">
        <f>IFERROR(IF(OR('Mata-Mata - Jogos'!F32="",'Mata-Mata - Jogos'!G32=""),"Aguardando",IF('Mata-Mata - Jogos'!F32&gt;'Mata-Mata - Jogos'!G32,'Mata-Mata - Jogos'!E32,IF('Mata-Mata - Jogos'!F32&lt;'Mata-Mata - Jogos'!G32,'Mata-Mata - Jogos'!D32,IF('Mata-Mata - Jogos'!H32="S1",'Mata-Mata - Jogos'!E32,IF('Mata-Mata - Jogos'!H32="S2",'Mata-Mata - Jogos'!D32,"Aguardando"))))),"Aguardando")</f>
        <v>Aguardando</v>
      </c>
      <c r="E34" s="197" t="str">
        <f>IFERROR(IF(OR('Mata-Mata - Jogos'!F33="",'Mata-Mata - Jogos'!G33=""),"Aguardando",IF('Mata-Mata - Jogos'!F33&gt;'Mata-Mata - Jogos'!G33,'Mata-Mata - Jogos'!E33,IF('Mata-Mata - Jogos'!F33&lt;'Mata-Mata - Jogos'!G33,'Mata-Mata - Jogos'!D33,IF('Mata-Mata - Jogos'!H33="S1",'Mata-Mata - Jogos'!E33,IF('Mata-Mata - Jogos'!H33="S2",'Mata-Mata - Jogos'!D33,"Aguardando"))))),"Aguardando")</f>
        <v>Aguardando</v>
      </c>
      <c r="F34" s="249"/>
      <c r="G34" s="249"/>
      <c r="H34" s="176"/>
      <c r="I34" s="198" t="str">
        <f t="shared" si="0"/>
        <v>Aguardando</v>
      </c>
      <c r="J34" s="178" t="str">
        <f t="shared" si="1"/>
        <v/>
      </c>
    </row>
    <row r="35" spans="1:10">
      <c r="A35" s="199" t="s">
        <v>1025</v>
      </c>
      <c r="B35" s="200">
        <v>46222</v>
      </c>
      <c r="C35" s="201" t="s">
        <v>1026</v>
      </c>
      <c r="D35" s="201" t="str">
        <f>IFERROR(IF(OR('Mata-Mata - Jogos'!F32="",'Mata-Mata - Jogos'!G32=""),"Aguardando",IF('Mata-Mata - Jogos'!F32&gt;'Mata-Mata - Jogos'!G32,'Mata-Mata - Jogos'!D32,IF('Mata-Mata - Jogos'!F32&lt;'Mata-Mata - Jogos'!G32,'Mata-Mata - Jogos'!E32,IF('Mata-Mata - Jogos'!H32="S1",'Mata-Mata - Jogos'!D32,IF('Mata-Mata - Jogos'!H32="S2",'Mata-Mata - Jogos'!E32,"Aguardando"))))),"Aguardando")</f>
        <v>Aguardando</v>
      </c>
      <c r="E35" s="201" t="str">
        <f>IFERROR(IF(OR('Mata-Mata - Jogos'!F33="",'Mata-Mata - Jogos'!G33=""),"Aguardando",IF('Mata-Mata - Jogos'!F33&gt;'Mata-Mata - Jogos'!G33,'Mata-Mata - Jogos'!D33,IF('Mata-Mata - Jogos'!F33&lt;'Mata-Mata - Jogos'!G33,'Mata-Mata - Jogos'!E33,IF('Mata-Mata - Jogos'!H33="S1",'Mata-Mata - Jogos'!D33,IF('Mata-Mata - Jogos'!H33="S2",'Mata-Mata - Jogos'!E33,"Aguardando"))))),"Aguardando")</f>
        <v>Aguardando</v>
      </c>
      <c r="F35" s="249"/>
      <c r="G35" s="249"/>
      <c r="H35" s="176"/>
      <c r="I35" s="202" t="str">
        <f t="shared" si="0"/>
        <v>Aguardando</v>
      </c>
      <c r="J35" s="178" t="str">
        <f t="shared" si="1"/>
        <v/>
      </c>
    </row>
  </sheetData>
  <mergeCells count="2">
    <mergeCell ref="A1:I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2B21"/>
  </sheetPr>
  <dimension ref="A1:BM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Y20" sqref="Y20"/>
    </sheetView>
  </sheetViews>
  <sheetFormatPr defaultRowHeight="14.4"/>
  <cols>
    <col min="1" max="1" width="22" customWidth="1"/>
    <col min="2" max="65" width="5.44140625" customWidth="1"/>
  </cols>
  <sheetData>
    <row r="1" spans="1:65" ht="43.95" customHeight="1">
      <c r="A1" s="255" t="s">
        <v>1027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</row>
    <row r="2" spans="1:65" ht="19.95" customHeight="1">
      <c r="A2" s="261" t="s">
        <v>1028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</row>
    <row r="3" spans="1:65" ht="22.2" customHeight="1">
      <c r="A3" s="203" t="s">
        <v>1029</v>
      </c>
      <c r="B3" s="271" t="s">
        <v>964</v>
      </c>
      <c r="C3" s="253"/>
      <c r="D3" s="271" t="s">
        <v>966</v>
      </c>
      <c r="E3" s="253"/>
      <c r="F3" s="271" t="s">
        <v>968</v>
      </c>
      <c r="G3" s="253"/>
      <c r="H3" s="271" t="s">
        <v>970</v>
      </c>
      <c r="I3" s="253"/>
      <c r="J3" s="271" t="s">
        <v>972</v>
      </c>
      <c r="K3" s="253"/>
      <c r="L3" s="271" t="s">
        <v>974</v>
      </c>
      <c r="M3" s="253"/>
      <c r="N3" s="271" t="s">
        <v>976</v>
      </c>
      <c r="O3" s="253"/>
      <c r="P3" s="271" t="s">
        <v>978</v>
      </c>
      <c r="Q3" s="253"/>
      <c r="R3" s="271" t="s">
        <v>980</v>
      </c>
      <c r="S3" s="253"/>
      <c r="T3" s="271" t="s">
        <v>982</v>
      </c>
      <c r="U3" s="253"/>
      <c r="V3" s="271" t="s">
        <v>984</v>
      </c>
      <c r="W3" s="253"/>
      <c r="X3" s="271" t="s">
        <v>986</v>
      </c>
      <c r="Y3" s="253"/>
      <c r="Z3" s="271" t="s">
        <v>988</v>
      </c>
      <c r="AA3" s="253"/>
      <c r="AB3" s="271" t="s">
        <v>990</v>
      </c>
      <c r="AC3" s="253"/>
      <c r="AD3" s="271" t="s">
        <v>992</v>
      </c>
      <c r="AE3" s="253"/>
      <c r="AF3" s="271" t="s">
        <v>994</v>
      </c>
      <c r="AG3" s="253"/>
      <c r="AH3" s="270" t="s">
        <v>996</v>
      </c>
      <c r="AI3" s="253"/>
      <c r="AJ3" s="270" t="s">
        <v>998</v>
      </c>
      <c r="AK3" s="253"/>
      <c r="AL3" s="270" t="s">
        <v>1000</v>
      </c>
      <c r="AM3" s="253"/>
      <c r="AN3" s="270" t="s">
        <v>1002</v>
      </c>
      <c r="AO3" s="253"/>
      <c r="AP3" s="270" t="s">
        <v>1004</v>
      </c>
      <c r="AQ3" s="253"/>
      <c r="AR3" s="270" t="s">
        <v>1006</v>
      </c>
      <c r="AS3" s="253"/>
      <c r="AT3" s="270" t="s">
        <v>1008</v>
      </c>
      <c r="AU3" s="253"/>
      <c r="AV3" s="270" t="s">
        <v>1010</v>
      </c>
      <c r="AW3" s="253"/>
      <c r="AX3" s="274" t="s">
        <v>1012</v>
      </c>
      <c r="AY3" s="253"/>
      <c r="AZ3" s="274" t="s">
        <v>1014</v>
      </c>
      <c r="BA3" s="253"/>
      <c r="BB3" s="274" t="s">
        <v>1016</v>
      </c>
      <c r="BC3" s="253"/>
      <c r="BD3" s="274" t="s">
        <v>1018</v>
      </c>
      <c r="BE3" s="253"/>
      <c r="BF3" s="277" t="s">
        <v>1020</v>
      </c>
      <c r="BG3" s="253"/>
      <c r="BH3" s="277" t="s">
        <v>1022</v>
      </c>
      <c r="BI3" s="253"/>
      <c r="BJ3" s="273" t="s">
        <v>1024</v>
      </c>
      <c r="BK3" s="253"/>
      <c r="BL3" s="275" t="s">
        <v>1026</v>
      </c>
      <c r="BM3" s="253"/>
    </row>
    <row r="4" spans="1:65" ht="16.2" customHeight="1">
      <c r="A4" s="210" t="s">
        <v>46</v>
      </c>
      <c r="B4" s="272">
        <v>46201</v>
      </c>
      <c r="C4" s="253"/>
      <c r="D4" s="272">
        <v>46202</v>
      </c>
      <c r="E4" s="253"/>
      <c r="F4" s="272">
        <v>46202</v>
      </c>
      <c r="G4" s="253"/>
      <c r="H4" s="272">
        <v>46202</v>
      </c>
      <c r="I4" s="253"/>
      <c r="J4" s="272">
        <v>46203</v>
      </c>
      <c r="K4" s="253"/>
      <c r="L4" s="272">
        <v>46203</v>
      </c>
      <c r="M4" s="253"/>
      <c r="N4" s="272">
        <v>46203</v>
      </c>
      <c r="O4" s="253"/>
      <c r="P4" s="272">
        <v>46204</v>
      </c>
      <c r="Q4" s="253"/>
      <c r="R4" s="272">
        <v>46204</v>
      </c>
      <c r="S4" s="253"/>
      <c r="T4" s="272">
        <v>46204</v>
      </c>
      <c r="U4" s="253"/>
      <c r="V4" s="272">
        <v>46205</v>
      </c>
      <c r="W4" s="253"/>
      <c r="X4" s="272">
        <v>46205</v>
      </c>
      <c r="Y4" s="253"/>
      <c r="Z4" s="272">
        <v>46205</v>
      </c>
      <c r="AA4" s="253"/>
      <c r="AB4" s="272">
        <v>46206</v>
      </c>
      <c r="AC4" s="253"/>
      <c r="AD4" s="272">
        <v>46206</v>
      </c>
      <c r="AE4" s="253"/>
      <c r="AF4" s="272">
        <v>46206</v>
      </c>
      <c r="AG4" s="253"/>
      <c r="AH4" s="276">
        <v>46207</v>
      </c>
      <c r="AI4" s="253"/>
      <c r="AJ4" s="276">
        <v>46207</v>
      </c>
      <c r="AK4" s="253"/>
      <c r="AL4" s="276">
        <v>46208</v>
      </c>
      <c r="AM4" s="253"/>
      <c r="AN4" s="276">
        <v>46208</v>
      </c>
      <c r="AO4" s="253"/>
      <c r="AP4" s="276">
        <v>46209</v>
      </c>
      <c r="AQ4" s="253"/>
      <c r="AR4" s="276">
        <v>46209</v>
      </c>
      <c r="AS4" s="253"/>
      <c r="AT4" s="276">
        <v>46210</v>
      </c>
      <c r="AU4" s="253"/>
      <c r="AV4" s="276">
        <v>46210</v>
      </c>
      <c r="AW4" s="253"/>
      <c r="AX4" s="278">
        <v>46212</v>
      </c>
      <c r="AY4" s="253"/>
      <c r="AZ4" s="278">
        <v>46213</v>
      </c>
      <c r="BA4" s="253"/>
      <c r="BB4" s="278">
        <v>46214</v>
      </c>
      <c r="BC4" s="253"/>
      <c r="BD4" s="278">
        <v>46214</v>
      </c>
      <c r="BE4" s="253"/>
      <c r="BF4" s="279">
        <v>46217</v>
      </c>
      <c r="BG4" s="253"/>
      <c r="BH4" s="279">
        <v>46218</v>
      </c>
      <c r="BI4" s="253"/>
      <c r="BJ4" s="281">
        <v>46221</v>
      </c>
      <c r="BK4" s="253"/>
      <c r="BL4" s="280">
        <v>46222</v>
      </c>
      <c r="BM4" s="253"/>
    </row>
    <row r="5" spans="1:65" ht="22.2" customHeight="1">
      <c r="A5" s="87" t="s">
        <v>261</v>
      </c>
      <c r="B5" s="211" t="str">
        <f>IFERROR(BetClass!C53,"?")</f>
        <v>Coreia do Sul</v>
      </c>
      <c r="C5" s="211" t="str">
        <f>IFERROR(BetClass!C54,"?")</f>
        <v>Qatar</v>
      </c>
      <c r="D5" s="211" t="str">
        <f>IFERROR(BetClass!B57,"?")</f>
        <v>Alemanha</v>
      </c>
      <c r="E5" s="211" t="str">
        <f>IFERROR(IFERROR(INDEX(BetClass!$B$66:$B$77,MATCH(MID(IFERROR(VLOOKUP(BetClass!B88,'T495'!$A$2:$I$496,5,FALSE),""),2,1),BetClass!$A$66:$A$77,0)),"Aguardando"),"Aguardando")</f>
        <v>Turquia</v>
      </c>
      <c r="F5" s="211" t="str">
        <f>IFERROR(BetClass!B58,"?")</f>
        <v>Holanda</v>
      </c>
      <c r="G5" s="211" t="str">
        <f>IFERROR(BetClass!C55,"?")</f>
        <v>Marrocos</v>
      </c>
      <c r="H5" s="211" t="str">
        <f>IFERROR(BetClass!B55,"?")</f>
        <v>Brasil</v>
      </c>
      <c r="I5" s="211" t="str">
        <f>IFERROR(BetClass!C58,"?")</f>
        <v>Japao</v>
      </c>
      <c r="J5" s="211" t="str">
        <f>IFERROR(BetClass!B61,"?")</f>
        <v>Franca</v>
      </c>
      <c r="K5" s="211" t="str">
        <f>IFERROR(IFERROR(INDEX(BetClass!$B$66:$B$77,MATCH(MID(IFERROR(VLOOKUP(BetClass!B88,'T495'!$A$2:$I$496,7,FALSE),""),2,1),BetClass!$A$66:$A$77,0)),"Aguardando"),"Aguardando")</f>
        <v>Suecia</v>
      </c>
      <c r="L5" s="211" t="str">
        <f>IFERROR(BetClass!C57,"?")</f>
        <v>Equador</v>
      </c>
      <c r="M5" s="211" t="str">
        <f>IFERROR(BetClass!C61,"?")</f>
        <v>Senegal</v>
      </c>
      <c r="N5" s="211" t="str">
        <f>IFERROR(BetClass!B53,"?")</f>
        <v>Mexico</v>
      </c>
      <c r="O5" s="211" t="str">
        <f>IFERROR(IFERROR(INDEX(BetClass!$B$66:$B$77,MATCH(MID(IFERROR(VLOOKUP(BetClass!B88,'T495'!$A$2:$I$496,2,FALSE),""),2,1),BetClass!$A$66:$A$77,0)),"Aguardando"),"Aguardando")</f>
        <v>Escocia</v>
      </c>
      <c r="P5" s="211" t="str">
        <f>IFERROR(BetClass!B64,"?")</f>
        <v>Inglaterra</v>
      </c>
      <c r="Q5" s="211" t="str">
        <f>IFERROR(IFERROR(INDEX(BetClass!$B$66:$B$77,MATCH(MID(IFERROR(VLOOKUP(BetClass!B88,'T495'!$A$2:$I$496,9,FALSE),""),2,1),BetClass!$A$66:$A$77,0)),"Aguardando"),"Aguardando")</f>
        <v>Noruega</v>
      </c>
      <c r="R5" s="211" t="str">
        <f>IFERROR(BetClass!B56,"?")</f>
        <v>Estados Unidos</v>
      </c>
      <c r="S5" s="211" t="str">
        <f>IFERROR(IFERROR(INDEX(BetClass!$B$66:$B$77,MATCH(MID(IFERROR(VLOOKUP(BetClass!B88,'T495'!$A$2:$I$496,4,FALSE),""),2,1),BetClass!$A$66:$A$77,0)),"Aguardando"),"Aguardando")</f>
        <v>Argelia</v>
      </c>
      <c r="T5" s="211" t="str">
        <f>IFERROR(BetClass!B59,"?")</f>
        <v>Belgica</v>
      </c>
      <c r="U5" s="211" t="str">
        <f>IFERROR(IFERROR(INDEX(BetClass!$B$66:$B$77,MATCH(MID(IFERROR(VLOOKUP(BetClass!B88,'T495'!$A$2:$I$496,6,FALSE),""),2,1),BetClass!$A$66:$A$77,0)),"Aguardando"),"Aguardando")</f>
        <v>Tchequia</v>
      </c>
      <c r="V5" s="211" t="str">
        <f>IFERROR(BetClass!C63,"?")</f>
        <v>Colombia</v>
      </c>
      <c r="W5" s="211" t="str">
        <f>IFERROR(BetClass!C64,"?")</f>
        <v>Croacia</v>
      </c>
      <c r="X5" s="211" t="str">
        <f>IFERROR(BetClass!B60,"?")</f>
        <v>Espanha</v>
      </c>
      <c r="Y5" s="211" t="str">
        <f>IFERROR(BetClass!C62,"?")</f>
        <v>Austria</v>
      </c>
      <c r="Z5" s="211" t="str">
        <f>IFERROR(BetClass!B54,"?")</f>
        <v>Suica</v>
      </c>
      <c r="AA5" s="211" t="str">
        <f>IFERROR(IFERROR(INDEX(BetClass!$B$66:$B$77,MATCH(MID(IFERROR(VLOOKUP(BetClass!B88,'T495'!$A$2:$I$496,3,FALSE),""),2,1),BetClass!$A$66:$A$77,0)),"Aguardando"),"Aguardando")</f>
        <v>Egito</v>
      </c>
      <c r="AB5" s="211" t="str">
        <f>IFERROR(BetClass!B62,"?")</f>
        <v>Argentina</v>
      </c>
      <c r="AC5" s="211" t="str">
        <f>IFERROR(BetClass!C60,"?")</f>
        <v>Uruguai</v>
      </c>
      <c r="AD5" s="211" t="str">
        <f>IFERROR(BetClass!B63,"?")</f>
        <v>Portugal</v>
      </c>
      <c r="AE5" s="211" t="str">
        <f>IFERROR(IFERROR(INDEX(BetClass!$B$66:$B$77,MATCH(MID(IFERROR(VLOOKUP(BetClass!B88,'T495'!$A$2:$I$496,8,FALSE),""),2,1),BetClass!$A$66:$A$77,0)),"Aguardando"),"Aguardando")</f>
        <v>Costa do Marfim</v>
      </c>
      <c r="AF5" s="211" t="str">
        <f>IFERROR(BetClass!C56,"?")</f>
        <v>Australia</v>
      </c>
      <c r="AG5" s="211" t="str">
        <f>IFERROR(BetClass!C59,"?")</f>
        <v>Ira</v>
      </c>
      <c r="AH5" s="211" t="str">
        <f>IF('Apostas - Mata-Mata'!D6="X",'Apostas - Mata-Mata'!D5,IF('Apostas - Mata-Mata'!E6="X",'Apostas - Mata-Mata'!E5,"Aguardando"))</f>
        <v>Alemanha</v>
      </c>
      <c r="AI5" s="211" t="str">
        <f>IF('Apostas - Mata-Mata'!J6="X",'Apostas - Mata-Mata'!J5,IF('Apostas - Mata-Mata'!K6="X",'Apostas - Mata-Mata'!K5,"Aguardando"))</f>
        <v>Franca</v>
      </c>
      <c r="AJ5" s="211" t="str">
        <f>IF('Apostas - Mata-Mata'!B6="X",'Apostas - Mata-Mata'!B5,IF('Apostas - Mata-Mata'!C6="X",'Apostas - Mata-Mata'!C5,"Aguardando"))</f>
        <v>Coreia do Sul</v>
      </c>
      <c r="AK5" s="211" t="str">
        <f>IF('Apostas - Mata-Mata'!F6="X",'Apostas - Mata-Mata'!F5,IF('Apostas - Mata-Mata'!G6="X",'Apostas - Mata-Mata'!G5,"Aguardando"))</f>
        <v>Holanda</v>
      </c>
      <c r="AL5" s="211" t="str">
        <f>IF('Apostas - Mata-Mata'!H6="X",'Apostas - Mata-Mata'!H5,IF('Apostas - Mata-Mata'!I6="X",'Apostas - Mata-Mata'!I5,"Aguardando"))</f>
        <v>Brasil</v>
      </c>
      <c r="AM5" s="211" t="str">
        <f>IF('Apostas - Mata-Mata'!L6="X",'Apostas - Mata-Mata'!L5,IF('Apostas - Mata-Mata'!M6="X",'Apostas - Mata-Mata'!M5,"Aguardando"))</f>
        <v>Senegal</v>
      </c>
      <c r="AN5" s="211" t="str">
        <f>IF('Apostas - Mata-Mata'!N6="X",'Apostas - Mata-Mata'!N5,IF('Apostas - Mata-Mata'!O6="X",'Apostas - Mata-Mata'!O5,"Aguardando"))</f>
        <v>Mexico</v>
      </c>
      <c r="AO5" s="211" t="str">
        <f>IF('Apostas - Mata-Mata'!P6="X",'Apostas - Mata-Mata'!P5,IF('Apostas - Mata-Mata'!Q6="X",'Apostas - Mata-Mata'!Q5,"Aguardando"))</f>
        <v>Inglaterra</v>
      </c>
      <c r="AP5" s="211" t="str">
        <f>IF('Apostas - Mata-Mata'!V6="X",'Apostas - Mata-Mata'!V5,IF('Apostas - Mata-Mata'!W6="X",'Apostas - Mata-Mata'!W5,"Aguardando"))</f>
        <v>Colombia</v>
      </c>
      <c r="AQ5" s="211" t="str">
        <f>IF('Apostas - Mata-Mata'!X6="X",'Apostas - Mata-Mata'!X5,IF('Apostas - Mata-Mata'!Y6="X",'Apostas - Mata-Mata'!Y5,"Aguardando"))</f>
        <v>Espanha</v>
      </c>
      <c r="AR5" s="211" t="str">
        <f>IF('Apostas - Mata-Mata'!R6="X",'Apostas - Mata-Mata'!R5,IF('Apostas - Mata-Mata'!S6="X",'Apostas - Mata-Mata'!S5,"Aguardando"))</f>
        <v>Estados Unidos</v>
      </c>
      <c r="AS5" s="211" t="str">
        <f>IF('Apostas - Mata-Mata'!T6="X",'Apostas - Mata-Mata'!T5,IF('Apostas - Mata-Mata'!U6="X",'Apostas - Mata-Mata'!U5,"Aguardando"))</f>
        <v>Belgica</v>
      </c>
      <c r="AT5" s="211" t="str">
        <f>IF('Apostas - Mata-Mata'!AB6="X",'Apostas - Mata-Mata'!AB5,IF('Apostas - Mata-Mata'!AC6="X",'Apostas - Mata-Mata'!AC5,"Aguardando"))</f>
        <v>Argentina</v>
      </c>
      <c r="AU5" s="211" t="str">
        <f>IF('Apostas - Mata-Mata'!AF6="X",'Apostas - Mata-Mata'!AF5,IF('Apostas - Mata-Mata'!AG6="X",'Apostas - Mata-Mata'!AG5,"Aguardando"))</f>
        <v>Australia</v>
      </c>
      <c r="AV5" s="211" t="str">
        <f>IF('Apostas - Mata-Mata'!Z6="X",'Apostas - Mata-Mata'!Z5,IF('Apostas - Mata-Mata'!AA6="X",'Apostas - Mata-Mata'!AA5,"Aguardando"))</f>
        <v>Suica</v>
      </c>
      <c r="AW5" s="211" t="str">
        <f>IF('Apostas - Mata-Mata'!AD6="X",'Apostas - Mata-Mata'!AD5,IF('Apostas - Mata-Mata'!AE6="X",'Apostas - Mata-Mata'!AE5,"Aguardando"))</f>
        <v>Portugal</v>
      </c>
      <c r="AX5" s="211" t="str">
        <f>IF('Apostas - Mata-Mata'!AH6="X",'Apostas - Mata-Mata'!AH5,IF('Apostas - Mata-Mata'!AI6="X",'Apostas - Mata-Mata'!AI5,"Aguardando"))</f>
        <v>Franca</v>
      </c>
      <c r="AY5" s="211" t="str">
        <f>IF('Apostas - Mata-Mata'!AJ6="X",'Apostas - Mata-Mata'!AJ5,IF('Apostas - Mata-Mata'!AK6="X",'Apostas - Mata-Mata'!AK5,"Aguardando"))</f>
        <v>Holanda</v>
      </c>
      <c r="AZ5" s="211" t="str">
        <f>IF('Apostas - Mata-Mata'!AP6="X",'Apostas - Mata-Mata'!AP5,IF('Apostas - Mata-Mata'!AQ6="X",'Apostas - Mata-Mata'!AQ5,"Aguardando"))</f>
        <v>Espanha</v>
      </c>
      <c r="BA5" s="211" t="str">
        <f>IF('Apostas - Mata-Mata'!AR6="X",'Apostas - Mata-Mata'!AR5,IF('Apostas - Mata-Mata'!AS6="X",'Apostas - Mata-Mata'!AS5,"Aguardando"))</f>
        <v>Belgica</v>
      </c>
      <c r="BB5" s="211" t="str">
        <f>IF('Apostas - Mata-Mata'!AL6="X",'Apostas - Mata-Mata'!AL5,IF('Apostas - Mata-Mata'!AM6="X",'Apostas - Mata-Mata'!AM5,"Aguardando"))</f>
        <v>Brasil</v>
      </c>
      <c r="BC5" s="211" t="str">
        <f>IF('Apostas - Mata-Mata'!AN6="X",'Apostas - Mata-Mata'!AN5,IF('Apostas - Mata-Mata'!AO6="X",'Apostas - Mata-Mata'!AO5,"Aguardando"))</f>
        <v>Inglaterra</v>
      </c>
      <c r="BD5" s="211" t="str">
        <f>IF('Apostas - Mata-Mata'!AT6="X",'Apostas - Mata-Mata'!AT5,IF('Apostas - Mata-Mata'!AU6="X",'Apostas - Mata-Mata'!AU5,"Aguardando"))</f>
        <v>Argentina</v>
      </c>
      <c r="BE5" s="211" t="str">
        <f>IF('Apostas - Mata-Mata'!AV6="X",'Apostas - Mata-Mata'!AV5,IF('Apostas - Mata-Mata'!AW6="X",'Apostas - Mata-Mata'!AW5,"Aguardando"))</f>
        <v>Portugal</v>
      </c>
      <c r="BF5" s="211" t="str">
        <f>IF('Apostas - Mata-Mata'!AX6="X",'Apostas - Mata-Mata'!AX5,IF('Apostas - Mata-Mata'!AY6="X",'Apostas - Mata-Mata'!AY5,"Aguardando"))</f>
        <v>Franca</v>
      </c>
      <c r="BG5" s="211" t="str">
        <f>IF('Apostas - Mata-Mata'!AZ6="X",'Apostas - Mata-Mata'!AZ5,IF('Apostas - Mata-Mata'!BA6="X",'Apostas - Mata-Mata'!BA5,"Aguardando"))</f>
        <v>Espanha</v>
      </c>
      <c r="BH5" s="211" t="str">
        <f>IF('Apostas - Mata-Mata'!BB6="X",'Apostas - Mata-Mata'!BB5,IF('Apostas - Mata-Mata'!BC6="X",'Apostas - Mata-Mata'!BC5,"Aguardando"))</f>
        <v>Brasil</v>
      </c>
      <c r="BI5" s="211" t="str">
        <f>IF('Apostas - Mata-Mata'!BD6="X",'Apostas - Mata-Mata'!BD5,IF('Apostas - Mata-Mata'!BE6="X",'Apostas - Mata-Mata'!BE5,"Aguardando"))</f>
        <v>Argentina</v>
      </c>
      <c r="BJ5" s="211" t="str">
        <f>IF('Apostas - Mata-Mata'!BF6="X",'Apostas - Mata-Mata'!BG5,IF('Apostas - Mata-Mata'!BG6="X",'Apostas - Mata-Mata'!BF5,"Aguardando"))</f>
        <v>Franca</v>
      </c>
      <c r="BK5" s="211" t="str">
        <f>IF('Apostas - Mata-Mata'!BH6="X",'Apostas - Mata-Mata'!BI5,IF('Apostas - Mata-Mata'!BI6="X",'Apostas - Mata-Mata'!BH5,"Aguardando"))</f>
        <v>Argentina</v>
      </c>
      <c r="BL5" s="211" t="str">
        <f>IF('Apostas - Mata-Mata'!BF6="X",'Apostas - Mata-Mata'!BF5,IF('Apostas - Mata-Mata'!BG6="X",'Apostas - Mata-Mata'!BG5,"Aguardando"))</f>
        <v>Espanha</v>
      </c>
      <c r="BM5" s="211" t="str">
        <f>IF('Apostas - Mata-Mata'!BH6="X",'Apostas - Mata-Mata'!BH5,IF('Apostas - Mata-Mata'!BI6="X",'Apostas - Mata-Mata'!BI5,"Aguardando"))</f>
        <v>Brasil</v>
      </c>
    </row>
    <row r="6" spans="1:65" ht="24" customHeight="1">
      <c r="A6" s="212" t="s">
        <v>1030</v>
      </c>
      <c r="B6" s="250" t="s">
        <v>1090</v>
      </c>
      <c r="C6" s="250"/>
      <c r="D6" s="250" t="s">
        <v>1090</v>
      </c>
      <c r="E6" s="250"/>
      <c r="F6" s="250" t="s">
        <v>1090</v>
      </c>
      <c r="G6" s="250"/>
      <c r="H6" s="250" t="s">
        <v>1090</v>
      </c>
      <c r="I6" s="250"/>
      <c r="J6" s="250" t="s">
        <v>1090</v>
      </c>
      <c r="K6" s="250"/>
      <c r="L6" s="250"/>
      <c r="M6" s="250" t="s">
        <v>1090</v>
      </c>
      <c r="N6" s="250" t="s">
        <v>1090</v>
      </c>
      <c r="O6" s="250"/>
      <c r="P6" s="250" t="s">
        <v>1090</v>
      </c>
      <c r="Q6" s="250"/>
      <c r="R6" s="250" t="s">
        <v>1090</v>
      </c>
      <c r="S6" s="250"/>
      <c r="T6" s="250" t="s">
        <v>1090</v>
      </c>
      <c r="U6" s="250"/>
      <c r="V6" s="250" t="s">
        <v>1090</v>
      </c>
      <c r="W6" s="250"/>
      <c r="X6" s="250" t="s">
        <v>1090</v>
      </c>
      <c r="Y6" s="250"/>
      <c r="Z6" s="250" t="s">
        <v>1090</v>
      </c>
      <c r="AA6" s="250"/>
      <c r="AB6" s="250" t="s">
        <v>1090</v>
      </c>
      <c r="AC6" s="250"/>
      <c r="AD6" s="250" t="s">
        <v>1090</v>
      </c>
      <c r="AE6" s="250"/>
      <c r="AF6" s="250" t="s">
        <v>1090</v>
      </c>
      <c r="AG6" s="250"/>
      <c r="AH6" s="250"/>
      <c r="AI6" s="250" t="s">
        <v>1090</v>
      </c>
      <c r="AJ6" s="250"/>
      <c r="AK6" s="250" t="s">
        <v>1090</v>
      </c>
      <c r="AL6" s="250" t="s">
        <v>1090</v>
      </c>
      <c r="AM6" s="250"/>
      <c r="AN6" s="250"/>
      <c r="AO6" s="250" t="s">
        <v>1090</v>
      </c>
      <c r="AP6" s="250"/>
      <c r="AQ6" s="250" t="s">
        <v>1090</v>
      </c>
      <c r="AR6" s="250"/>
      <c r="AS6" s="250" t="s">
        <v>1090</v>
      </c>
      <c r="AT6" s="250" t="s">
        <v>1090</v>
      </c>
      <c r="AU6" s="250"/>
      <c r="AV6" s="250"/>
      <c r="AW6" s="250" t="s">
        <v>1090</v>
      </c>
      <c r="AX6" s="250" t="s">
        <v>1090</v>
      </c>
      <c r="AY6" s="250"/>
      <c r="AZ6" s="250" t="s">
        <v>1090</v>
      </c>
      <c r="BA6" s="250"/>
      <c r="BB6" s="250" t="s">
        <v>1090</v>
      </c>
      <c r="BC6" s="250"/>
      <c r="BD6" s="250" t="s">
        <v>1090</v>
      </c>
      <c r="BE6" s="250"/>
      <c r="BF6" s="250"/>
      <c r="BG6" s="250" t="s">
        <v>1090</v>
      </c>
      <c r="BH6" s="250" t="s">
        <v>1090</v>
      </c>
      <c r="BI6" s="250"/>
      <c r="BJ6" s="250" t="s">
        <v>1090</v>
      </c>
      <c r="BK6" s="250"/>
      <c r="BL6" s="250"/>
      <c r="BM6" s="250" t="s">
        <v>1090</v>
      </c>
    </row>
    <row r="7" spans="1:65" ht="22.2" customHeight="1">
      <c r="A7" s="88" t="s">
        <v>262</v>
      </c>
      <c r="B7" s="214" t="str">
        <f>IFERROR(BetClass!C143,"?")</f>
        <v>Coreia do Sul</v>
      </c>
      <c r="C7" s="214" t="str">
        <f>IFERROR(BetClass!C144,"?")</f>
        <v>Qatar</v>
      </c>
      <c r="D7" s="214" t="str">
        <f>IFERROR(BetClass!B147,"?")</f>
        <v>Alemanha</v>
      </c>
      <c r="E7" s="214" t="str">
        <f>IFERROR(IFERROR(INDEX(BetClass!$B$156:$B$167,MATCH(MID(IFERROR(VLOOKUP(BetClass!B178,'T495'!$A$2:$I$496,5,FALSE),""),2,1),BetClass!$A$156:$A$167,0)),"Aguardando"),"Aguardando")</f>
        <v>Turquia</v>
      </c>
      <c r="F7" s="214" t="str">
        <f>IFERROR(BetClass!B148,"?")</f>
        <v>Holanda</v>
      </c>
      <c r="G7" s="214" t="str">
        <f>IFERROR(BetClass!C145,"?")</f>
        <v>Marrocos</v>
      </c>
      <c r="H7" s="214" t="str">
        <f>IFERROR(BetClass!B145,"?")</f>
        <v>Brasil</v>
      </c>
      <c r="I7" s="214" t="str">
        <f>IFERROR(BetClass!C148,"?")</f>
        <v>Japao</v>
      </c>
      <c r="J7" s="214" t="str">
        <f>IFERROR(BetClass!B151,"?")</f>
        <v>Franca</v>
      </c>
      <c r="K7" s="214" t="str">
        <f>IFERROR(IFERROR(INDEX(BetClass!$B$156:$B$167,MATCH(MID(IFERROR(VLOOKUP(BetClass!B178,'T495'!$A$2:$I$496,7,FALSE),""),2,1),BetClass!$A$156:$A$167,0)),"Aguardando"),"Aguardando")</f>
        <v>Suecia</v>
      </c>
      <c r="L7" s="214" t="str">
        <f>IFERROR(BetClass!C147,"?")</f>
        <v>Equador</v>
      </c>
      <c r="M7" s="214" t="str">
        <f>IFERROR(BetClass!C151,"?")</f>
        <v>Senegal</v>
      </c>
      <c r="N7" s="214" t="str">
        <f>IFERROR(BetClass!B143,"?")</f>
        <v>Mexico</v>
      </c>
      <c r="O7" s="214" t="str">
        <f>IFERROR(IFERROR(INDEX(BetClass!$B$156:$B$167,MATCH(MID(IFERROR(VLOOKUP(BetClass!B178,'T495'!$A$2:$I$496,2,FALSE),""),2,1),BetClass!$A$156:$A$167,0)),"Aguardando"),"Aguardando")</f>
        <v>Escocia</v>
      </c>
      <c r="P7" s="214" t="str">
        <f>IFERROR(BetClass!B154,"?")</f>
        <v>Inglaterra</v>
      </c>
      <c r="Q7" s="214" t="str">
        <f>IFERROR(IFERROR(INDEX(BetClass!$B$156:$B$167,MATCH(MID(IFERROR(VLOOKUP(BetClass!B178,'T495'!$A$2:$I$496,9,FALSE),""),2,1),BetClass!$A$156:$A$167,0)),"Aguardando"),"Aguardando")</f>
        <v>Noruega</v>
      </c>
      <c r="R7" s="214" t="str">
        <f>IFERROR(BetClass!B146,"?")</f>
        <v>Estados Unidos</v>
      </c>
      <c r="S7" s="214" t="str">
        <f>IFERROR(IFERROR(INDEX(BetClass!$B$156:$B$167,MATCH(MID(IFERROR(VLOOKUP(BetClass!B178,'T495'!$A$2:$I$496,4,FALSE),""),2,1),BetClass!$A$156:$A$167,0)),"Aguardando"),"Aguardando")</f>
        <v>Argelia</v>
      </c>
      <c r="T7" s="214" t="str">
        <f>IFERROR(BetClass!B149,"?")</f>
        <v>Belgica</v>
      </c>
      <c r="U7" s="214" t="str">
        <f>IFERROR(IFERROR(INDEX(BetClass!$B$156:$B$167,MATCH(MID(IFERROR(VLOOKUP(BetClass!B178,'T495'!$A$2:$I$496,6,FALSE),""),2,1),BetClass!$A$156:$A$167,0)),"Aguardando"),"Aguardando")</f>
        <v>Tchequia</v>
      </c>
      <c r="V7" s="214" t="str">
        <f>IFERROR(BetClass!C153,"?")</f>
        <v>Colombia</v>
      </c>
      <c r="W7" s="214" t="str">
        <f>IFERROR(BetClass!C154,"?")</f>
        <v>Croacia</v>
      </c>
      <c r="X7" s="214" t="str">
        <f>IFERROR(BetClass!B150,"?")</f>
        <v>Espanha</v>
      </c>
      <c r="Y7" s="214" t="str">
        <f>IFERROR(BetClass!C152,"?")</f>
        <v>Austria</v>
      </c>
      <c r="Z7" s="214" t="str">
        <f>IFERROR(BetClass!B144,"?")</f>
        <v>Suica</v>
      </c>
      <c r="AA7" s="214" t="str">
        <f>IFERROR(IFERROR(INDEX(BetClass!$B$156:$B$167,MATCH(MID(IFERROR(VLOOKUP(BetClass!B178,'T495'!$A$2:$I$496,3,FALSE),""),2,1),BetClass!$A$156:$A$167,0)),"Aguardando"),"Aguardando")</f>
        <v>Egito</v>
      </c>
      <c r="AB7" s="214" t="str">
        <f>IFERROR(BetClass!B152,"?")</f>
        <v>Argentina</v>
      </c>
      <c r="AC7" s="214" t="str">
        <f>IFERROR(BetClass!C150,"?")</f>
        <v>Uruguai</v>
      </c>
      <c r="AD7" s="214" t="str">
        <f>IFERROR(BetClass!B153,"?")</f>
        <v>Portugal</v>
      </c>
      <c r="AE7" s="214" t="str">
        <f>IFERROR(IFERROR(INDEX(BetClass!$B$156:$B$167,MATCH(MID(IFERROR(VLOOKUP(BetClass!B178,'T495'!$A$2:$I$496,8,FALSE),""),2,1),BetClass!$A$156:$A$167,0)),"Aguardando"),"Aguardando")</f>
        <v>Costa do Marfim</v>
      </c>
      <c r="AF7" s="214" t="str">
        <f>IFERROR(BetClass!C146,"?")</f>
        <v>Australia</v>
      </c>
      <c r="AG7" s="214" t="str">
        <f>IFERROR(BetClass!C149,"?")</f>
        <v>Ira</v>
      </c>
      <c r="AH7" s="214" t="str">
        <f>IF('Apostas - Mata-Mata'!D8="X",'Apostas - Mata-Mata'!D7,IF('Apostas - Mata-Mata'!E8="X",'Apostas - Mata-Mata'!E7,"Aguardando"))</f>
        <v>Alemanha</v>
      </c>
      <c r="AI7" s="214" t="str">
        <f>IF('Apostas - Mata-Mata'!J8="X",'Apostas - Mata-Mata'!J7,IF('Apostas - Mata-Mata'!K8="X",'Apostas - Mata-Mata'!K7,"Aguardando"))</f>
        <v>Franca</v>
      </c>
      <c r="AJ7" s="214" t="str">
        <f>IF('Apostas - Mata-Mata'!B8="X",'Apostas - Mata-Mata'!B7,IF('Apostas - Mata-Mata'!C8="X",'Apostas - Mata-Mata'!C7,"Aguardando"))</f>
        <v>Coreia do Sul</v>
      </c>
      <c r="AK7" s="214" t="str">
        <f>IF('Apostas - Mata-Mata'!F8="X",'Apostas - Mata-Mata'!F7,IF('Apostas - Mata-Mata'!G8="X",'Apostas - Mata-Mata'!G7,"Aguardando"))</f>
        <v>Holanda</v>
      </c>
      <c r="AL7" s="214" t="str">
        <f>IF('Apostas - Mata-Mata'!H8="X",'Apostas - Mata-Mata'!H7,IF('Apostas - Mata-Mata'!I8="X",'Apostas - Mata-Mata'!I7,"Aguardando"))</f>
        <v>Brasil</v>
      </c>
      <c r="AM7" s="214" t="str">
        <f>IF('Apostas - Mata-Mata'!L8="X",'Apostas - Mata-Mata'!L7,IF('Apostas - Mata-Mata'!M8="X",'Apostas - Mata-Mata'!M7,"Aguardando"))</f>
        <v>Senegal</v>
      </c>
      <c r="AN7" s="214" t="str">
        <f>IF('Apostas - Mata-Mata'!N8="X",'Apostas - Mata-Mata'!N7,IF('Apostas - Mata-Mata'!O8="X",'Apostas - Mata-Mata'!O7,"Aguardando"))</f>
        <v>Mexico</v>
      </c>
      <c r="AO7" s="214" t="str">
        <f>IF('Apostas - Mata-Mata'!P8="X",'Apostas - Mata-Mata'!P7,IF('Apostas - Mata-Mata'!Q8="X",'Apostas - Mata-Mata'!Q7,"Aguardando"))</f>
        <v>Noruega</v>
      </c>
      <c r="AP7" s="214" t="str">
        <f>IF('Apostas - Mata-Mata'!V8="X",'Apostas - Mata-Mata'!V7,IF('Apostas - Mata-Mata'!W8="X",'Apostas - Mata-Mata'!W7,"Aguardando"))</f>
        <v>Colombia</v>
      </c>
      <c r="AQ7" s="214" t="str">
        <f>IF('Apostas - Mata-Mata'!X8="X",'Apostas - Mata-Mata'!X7,IF('Apostas - Mata-Mata'!Y8="X",'Apostas - Mata-Mata'!Y7,"Aguardando"))</f>
        <v>Espanha</v>
      </c>
      <c r="AR7" s="214" t="str">
        <f>IF('Apostas - Mata-Mata'!R8="X",'Apostas - Mata-Mata'!R7,IF('Apostas - Mata-Mata'!S8="X",'Apostas - Mata-Mata'!S7,"Aguardando"))</f>
        <v>Estados Unidos</v>
      </c>
      <c r="AS7" s="214" t="str">
        <f>IF('Apostas - Mata-Mata'!T8="X",'Apostas - Mata-Mata'!T7,IF('Apostas - Mata-Mata'!U8="X",'Apostas - Mata-Mata'!U7,"Aguardando"))</f>
        <v>Tchequia</v>
      </c>
      <c r="AT7" s="214" t="str">
        <f>IF('Apostas - Mata-Mata'!AB8="X",'Apostas - Mata-Mata'!AB7,IF('Apostas - Mata-Mata'!AC8="X",'Apostas - Mata-Mata'!AC7,"Aguardando"))</f>
        <v>Argentina</v>
      </c>
      <c r="AU7" s="214" t="str">
        <f>IF('Apostas - Mata-Mata'!AF8="X",'Apostas - Mata-Mata'!AF7,IF('Apostas - Mata-Mata'!AG8="X",'Apostas - Mata-Mata'!AG7,"Aguardando"))</f>
        <v>Australia</v>
      </c>
      <c r="AV7" s="214" t="str">
        <f>IF('Apostas - Mata-Mata'!Z8="X",'Apostas - Mata-Mata'!Z7,IF('Apostas - Mata-Mata'!AA8="X",'Apostas - Mata-Mata'!AA7,"Aguardando"))</f>
        <v>Suica</v>
      </c>
      <c r="AW7" s="214" t="str">
        <f>IF('Apostas - Mata-Mata'!AD8="X",'Apostas - Mata-Mata'!AD7,IF('Apostas - Mata-Mata'!AE8="X",'Apostas - Mata-Mata'!AE7,"Aguardando"))</f>
        <v>Portugal</v>
      </c>
      <c r="AX7" s="214" t="str">
        <f>IF('Apostas - Mata-Mata'!AH8="X",'Apostas - Mata-Mata'!AH7,IF('Apostas - Mata-Mata'!AI8="X",'Apostas - Mata-Mata'!AI7,"Aguardando"))</f>
        <v>Franca</v>
      </c>
      <c r="AY7" s="214" t="str">
        <f>IF('Apostas - Mata-Mata'!AJ8="X",'Apostas - Mata-Mata'!AJ7,IF('Apostas - Mata-Mata'!AK8="X",'Apostas - Mata-Mata'!AK7,"Aguardando"))</f>
        <v>Holanda</v>
      </c>
      <c r="AZ7" s="214" t="str">
        <f>IF('Apostas - Mata-Mata'!AP8="X",'Apostas - Mata-Mata'!AP7,IF('Apostas - Mata-Mata'!AQ8="X",'Apostas - Mata-Mata'!AQ7,"Aguardando"))</f>
        <v>Espanha</v>
      </c>
      <c r="BA7" s="214" t="str">
        <f>IF('Apostas - Mata-Mata'!AR8="X",'Apostas - Mata-Mata'!AR7,IF('Apostas - Mata-Mata'!AS8="X",'Apostas - Mata-Mata'!AS7,"Aguardando"))</f>
        <v>Tchequia</v>
      </c>
      <c r="BB7" s="214" t="str">
        <f>IF('Apostas - Mata-Mata'!AL8="X",'Apostas - Mata-Mata'!AL7,IF('Apostas - Mata-Mata'!AM8="X",'Apostas - Mata-Mata'!AM7,"Aguardando"))</f>
        <v>Brasil</v>
      </c>
      <c r="BC7" s="214" t="str">
        <f>IF('Apostas - Mata-Mata'!AN8="X",'Apostas - Mata-Mata'!AN7,IF('Apostas - Mata-Mata'!AO8="X",'Apostas - Mata-Mata'!AO7,"Aguardando"))</f>
        <v>Noruega</v>
      </c>
      <c r="BD7" s="214" t="str">
        <f>IF('Apostas - Mata-Mata'!AT8="X",'Apostas - Mata-Mata'!AT7,IF('Apostas - Mata-Mata'!AU8="X",'Apostas - Mata-Mata'!AU7,"Aguardando"))</f>
        <v>Argentina</v>
      </c>
      <c r="BE7" s="214" t="str">
        <f>IF('Apostas - Mata-Mata'!AV8="X",'Apostas - Mata-Mata'!AV7,IF('Apostas - Mata-Mata'!AW8="X",'Apostas - Mata-Mata'!AW7,"Aguardando"))</f>
        <v>Portugal</v>
      </c>
      <c r="BF7" s="214" t="str">
        <f>IF('Apostas - Mata-Mata'!AX8="X",'Apostas - Mata-Mata'!AX7,IF('Apostas - Mata-Mata'!AY8="X",'Apostas - Mata-Mata'!AY7,"Aguardando"))</f>
        <v>Franca</v>
      </c>
      <c r="BG7" s="214" t="str">
        <f>IF('Apostas - Mata-Mata'!AZ8="X",'Apostas - Mata-Mata'!AZ7,IF('Apostas - Mata-Mata'!BA8="X",'Apostas - Mata-Mata'!BA7,"Aguardando"))</f>
        <v>Espanha</v>
      </c>
      <c r="BH7" s="214" t="str">
        <f>IF('Apostas - Mata-Mata'!BB8="X",'Apostas - Mata-Mata'!BB7,IF('Apostas - Mata-Mata'!BC8="X",'Apostas - Mata-Mata'!BC7,"Aguardando"))</f>
        <v>Brasil</v>
      </c>
      <c r="BI7" s="214" t="str">
        <f>IF('Apostas - Mata-Mata'!BD8="X",'Apostas - Mata-Mata'!BD7,IF('Apostas - Mata-Mata'!BE8="X",'Apostas - Mata-Mata'!BE7,"Aguardando"))</f>
        <v>Argentina</v>
      </c>
      <c r="BJ7" s="214" t="str">
        <f>IF('Apostas - Mata-Mata'!BF8="X",'Apostas - Mata-Mata'!BG7,IF('Apostas - Mata-Mata'!BG8="X",'Apostas - Mata-Mata'!BF7,"Aguardando"))</f>
        <v>Franca</v>
      </c>
      <c r="BK7" s="214" t="str">
        <f>IF('Apostas - Mata-Mata'!BH8="X",'Apostas - Mata-Mata'!BI7,IF('Apostas - Mata-Mata'!BI8="X",'Apostas - Mata-Mata'!BH7,"Aguardando"))</f>
        <v>Argentina</v>
      </c>
      <c r="BL7" s="214" t="str">
        <f>IF('Apostas - Mata-Mata'!BF8="X",'Apostas - Mata-Mata'!BF7,IF('Apostas - Mata-Mata'!BG8="X",'Apostas - Mata-Mata'!BG7,"Aguardando"))</f>
        <v>Espanha</v>
      </c>
      <c r="BM7" s="214" t="str">
        <f>IF('Apostas - Mata-Mata'!BH8="X",'Apostas - Mata-Mata'!BH7,IF('Apostas - Mata-Mata'!BI8="X",'Apostas - Mata-Mata'!BI7,"Aguardando"))</f>
        <v>Brasil</v>
      </c>
    </row>
    <row r="8" spans="1:65" ht="24" customHeight="1">
      <c r="A8" s="212" t="s">
        <v>1030</v>
      </c>
      <c r="B8" s="250" t="s">
        <v>1090</v>
      </c>
      <c r="C8" s="250"/>
      <c r="D8" s="250" t="s">
        <v>1090</v>
      </c>
      <c r="E8" s="250"/>
      <c r="F8" s="250" t="s">
        <v>1090</v>
      </c>
      <c r="G8" s="250"/>
      <c r="H8" s="250" t="s">
        <v>1090</v>
      </c>
      <c r="I8" s="250"/>
      <c r="J8" s="250" t="s">
        <v>1090</v>
      </c>
      <c r="K8" s="250"/>
      <c r="L8" s="250"/>
      <c r="M8" s="250" t="s">
        <v>1090</v>
      </c>
      <c r="N8" s="250" t="s">
        <v>1090</v>
      </c>
      <c r="O8" s="250"/>
      <c r="P8" s="250"/>
      <c r="Q8" s="250" t="s">
        <v>1090</v>
      </c>
      <c r="R8" s="250" t="s">
        <v>1090</v>
      </c>
      <c r="S8" s="250"/>
      <c r="T8" s="250"/>
      <c r="U8" s="250" t="s">
        <v>1090</v>
      </c>
      <c r="V8" s="250" t="s">
        <v>1090</v>
      </c>
      <c r="W8" s="250"/>
      <c r="X8" s="250" t="s">
        <v>1090</v>
      </c>
      <c r="Y8" s="250"/>
      <c r="Z8" s="250" t="s">
        <v>1090</v>
      </c>
      <c r="AA8" s="250"/>
      <c r="AB8" s="250" t="s">
        <v>1090</v>
      </c>
      <c r="AC8" s="250"/>
      <c r="AD8" s="250" t="s">
        <v>1090</v>
      </c>
      <c r="AE8" s="250"/>
      <c r="AF8" s="250" t="s">
        <v>1090</v>
      </c>
      <c r="AG8" s="250"/>
      <c r="AH8" s="250"/>
      <c r="AI8" s="250" t="s">
        <v>1090</v>
      </c>
      <c r="AJ8" s="250"/>
      <c r="AK8" s="250" t="s">
        <v>1090</v>
      </c>
      <c r="AL8" s="250" t="s">
        <v>1090</v>
      </c>
      <c r="AM8" s="250"/>
      <c r="AN8" s="250"/>
      <c r="AO8" s="250" t="s">
        <v>1090</v>
      </c>
      <c r="AP8" s="250"/>
      <c r="AQ8" s="250" t="s">
        <v>1090</v>
      </c>
      <c r="AR8" s="250"/>
      <c r="AS8" s="250" t="s">
        <v>1090</v>
      </c>
      <c r="AT8" s="250" t="s">
        <v>1090</v>
      </c>
      <c r="AU8" s="250"/>
      <c r="AV8" s="250"/>
      <c r="AW8" s="250" t="s">
        <v>1090</v>
      </c>
      <c r="AX8" s="250" t="s">
        <v>1090</v>
      </c>
      <c r="AY8" s="250"/>
      <c r="AZ8" s="250" t="s">
        <v>1090</v>
      </c>
      <c r="BA8" s="250"/>
      <c r="BB8" s="250" t="s">
        <v>1090</v>
      </c>
      <c r="BC8" s="250"/>
      <c r="BD8" s="250" t="s">
        <v>1090</v>
      </c>
      <c r="BE8" s="250"/>
      <c r="BF8" s="250"/>
      <c r="BG8" s="250" t="s">
        <v>1090</v>
      </c>
      <c r="BH8" s="250" t="s">
        <v>1090</v>
      </c>
      <c r="BI8" s="250"/>
      <c r="BJ8" s="250" t="s">
        <v>1090</v>
      </c>
      <c r="BK8" s="250"/>
      <c r="BL8" s="250"/>
      <c r="BM8" s="250" t="s">
        <v>1090</v>
      </c>
    </row>
    <row r="9" spans="1:65" ht="22.2" customHeight="1">
      <c r="A9" s="89" t="s">
        <v>263</v>
      </c>
      <c r="B9" s="215" t="str">
        <f>IFERROR(BetClass!C233,"?")</f>
        <v>Coreia do Sul</v>
      </c>
      <c r="C9" s="215" t="str">
        <f>IFERROR(BetClass!C234,"?")</f>
        <v>Qatar</v>
      </c>
      <c r="D9" s="215" t="str">
        <f>IFERROR(BetClass!B237,"?")</f>
        <v>Alemanha</v>
      </c>
      <c r="E9" s="215" t="str">
        <f>IFERROR(IFERROR(INDEX(BetClass!$B$246:$B$257,MATCH(MID(IFERROR(VLOOKUP(BetClass!B268,'T495'!$A$2:$I$496,5,FALSE),""),2,1),BetClass!$A$246:$A$257,0)),"Aguardando"),"Aguardando")</f>
        <v>Turquia</v>
      </c>
      <c r="F9" s="215" t="str">
        <f>IFERROR(BetClass!B238,"?")</f>
        <v>Holanda</v>
      </c>
      <c r="G9" s="215" t="str">
        <f>IFERROR(BetClass!C235,"?")</f>
        <v>Marrocos</v>
      </c>
      <c r="H9" s="215" t="str">
        <f>IFERROR(BetClass!B235,"?")</f>
        <v>Brasil</v>
      </c>
      <c r="I9" s="215" t="str">
        <f>IFERROR(BetClass!C238,"?")</f>
        <v>Japao</v>
      </c>
      <c r="J9" s="215" t="str">
        <f>IFERROR(BetClass!B241,"?")</f>
        <v>Franca</v>
      </c>
      <c r="K9" s="215" t="str">
        <f>IFERROR(IFERROR(INDEX(BetClass!$B$246:$B$257,MATCH(MID(IFERROR(VLOOKUP(BetClass!B268,'T495'!$A$2:$I$496,7,FALSE),""),2,1),BetClass!$A$246:$A$257,0)),"Aguardando"),"Aguardando")</f>
        <v>Suecia</v>
      </c>
      <c r="L9" s="215" t="str">
        <f>IFERROR(BetClass!C237,"?")</f>
        <v>Equador</v>
      </c>
      <c r="M9" s="215" t="str">
        <f>IFERROR(BetClass!C241,"?")</f>
        <v>Senegal</v>
      </c>
      <c r="N9" s="215" t="str">
        <f>IFERROR(BetClass!B233,"?")</f>
        <v>Mexico</v>
      </c>
      <c r="O9" s="215" t="str">
        <f>IFERROR(IFERROR(INDEX(BetClass!$B$246:$B$257,MATCH(MID(IFERROR(VLOOKUP(BetClass!B268,'T495'!$A$2:$I$496,2,FALSE),""),2,1),BetClass!$A$246:$A$257,0)),"Aguardando"),"Aguardando")</f>
        <v>Escocia</v>
      </c>
      <c r="P9" s="215" t="str">
        <f>IFERROR(BetClass!B244,"?")</f>
        <v>Inglaterra</v>
      </c>
      <c r="Q9" s="215" t="str">
        <f>IFERROR(IFERROR(INDEX(BetClass!$B$246:$B$257,MATCH(MID(IFERROR(VLOOKUP(BetClass!B268,'T495'!$A$2:$I$496,9,FALSE),""),2,1),BetClass!$A$246:$A$257,0)),"Aguardando"),"Aguardando")</f>
        <v>Noruega</v>
      </c>
      <c r="R9" s="215" t="str">
        <f>IFERROR(BetClass!B236,"?")</f>
        <v>Estados Unidos</v>
      </c>
      <c r="S9" s="215" t="str">
        <f>IFERROR(IFERROR(INDEX(BetClass!$B$246:$B$257,MATCH(MID(IFERROR(VLOOKUP(BetClass!B268,'T495'!$A$2:$I$496,4,FALSE),""),2,1),BetClass!$A$246:$A$257,0)),"Aguardando"),"Aguardando")</f>
        <v>Argelia</v>
      </c>
      <c r="T9" s="215" t="str">
        <f>IFERROR(BetClass!B239,"?")</f>
        <v>Belgica</v>
      </c>
      <c r="U9" s="215" t="str">
        <f>IFERROR(IFERROR(INDEX(BetClass!$B$246:$B$257,MATCH(MID(IFERROR(VLOOKUP(BetClass!B268,'T495'!$A$2:$I$496,6,FALSE),""),2,1),BetClass!$A$246:$A$257,0)),"Aguardando"),"Aguardando")</f>
        <v>Tchequia</v>
      </c>
      <c r="V9" s="215" t="str">
        <f>IFERROR(BetClass!C243,"?")</f>
        <v>Colombia</v>
      </c>
      <c r="W9" s="215" t="str">
        <f>IFERROR(BetClass!C244,"?")</f>
        <v>Croacia</v>
      </c>
      <c r="X9" s="215" t="str">
        <f>IFERROR(BetClass!B240,"?")</f>
        <v>Espanha</v>
      </c>
      <c r="Y9" s="215" t="str">
        <f>IFERROR(BetClass!C242,"?")</f>
        <v>Austria</v>
      </c>
      <c r="Z9" s="215" t="str">
        <f>IFERROR(BetClass!B234,"?")</f>
        <v>Suica</v>
      </c>
      <c r="AA9" s="215" t="str">
        <f>IFERROR(IFERROR(INDEX(BetClass!$B$246:$B$257,MATCH(MID(IFERROR(VLOOKUP(BetClass!B268,'T495'!$A$2:$I$496,3,FALSE),""),2,1),BetClass!$A$246:$A$257,0)),"Aguardando"),"Aguardando")</f>
        <v>Egito</v>
      </c>
      <c r="AB9" s="215" t="str">
        <f>IFERROR(BetClass!B242,"?")</f>
        <v>Argentina</v>
      </c>
      <c r="AC9" s="215" t="str">
        <f>IFERROR(BetClass!C240,"?")</f>
        <v>Uruguai</v>
      </c>
      <c r="AD9" s="215" t="str">
        <f>IFERROR(BetClass!B243,"?")</f>
        <v>Portugal</v>
      </c>
      <c r="AE9" s="215" t="str">
        <f>IFERROR(IFERROR(INDEX(BetClass!$B$246:$B$257,MATCH(MID(IFERROR(VLOOKUP(BetClass!B268,'T495'!$A$2:$I$496,8,FALSE),""),2,1),BetClass!$A$246:$A$257,0)),"Aguardando"),"Aguardando")</f>
        <v>Costa do Marfim</v>
      </c>
      <c r="AF9" s="215" t="str">
        <f>IFERROR(BetClass!C236,"?")</f>
        <v>Australia</v>
      </c>
      <c r="AG9" s="215" t="str">
        <f>IFERROR(BetClass!C239,"?")</f>
        <v>Ira</v>
      </c>
      <c r="AH9" s="215" t="str">
        <f>IF('Apostas - Mata-Mata'!D10="X",'Apostas - Mata-Mata'!D9,IF('Apostas - Mata-Mata'!E10="X",'Apostas - Mata-Mata'!E9,"Aguardando"))</f>
        <v>Aguardando</v>
      </c>
      <c r="AI9" s="215" t="str">
        <f>IF('Apostas - Mata-Mata'!J10="X",'Apostas - Mata-Mata'!J9,IF('Apostas - Mata-Mata'!K10="X",'Apostas - Mata-Mata'!K9,"Aguardando"))</f>
        <v>Aguardando</v>
      </c>
      <c r="AJ9" s="215" t="str">
        <f>IF('Apostas - Mata-Mata'!B10="X",'Apostas - Mata-Mata'!B9,IF('Apostas - Mata-Mata'!C10="X",'Apostas - Mata-Mata'!C9,"Aguardando"))</f>
        <v>Aguardando</v>
      </c>
      <c r="AK9" s="215" t="str">
        <f>IF('Apostas - Mata-Mata'!F10="X",'Apostas - Mata-Mata'!F9,IF('Apostas - Mata-Mata'!G10="X",'Apostas - Mata-Mata'!G9,"Aguardando"))</f>
        <v>Aguardando</v>
      </c>
      <c r="AL9" s="215" t="str">
        <f>IF('Apostas - Mata-Mata'!H10="X",'Apostas - Mata-Mata'!H9,IF('Apostas - Mata-Mata'!I10="X",'Apostas - Mata-Mata'!I9,"Aguardando"))</f>
        <v>Aguardando</v>
      </c>
      <c r="AM9" s="215" t="str">
        <f>IF('Apostas - Mata-Mata'!L10="X",'Apostas - Mata-Mata'!L9,IF('Apostas - Mata-Mata'!M10="X",'Apostas - Mata-Mata'!M9,"Aguardando"))</f>
        <v>Aguardando</v>
      </c>
      <c r="AN9" s="215" t="str">
        <f>IF('Apostas - Mata-Mata'!N10="X",'Apostas - Mata-Mata'!N9,IF('Apostas - Mata-Mata'!O10="X",'Apostas - Mata-Mata'!O9,"Aguardando"))</f>
        <v>Aguardando</v>
      </c>
      <c r="AO9" s="215" t="str">
        <f>IF('Apostas - Mata-Mata'!P10="X",'Apostas - Mata-Mata'!P9,IF('Apostas - Mata-Mata'!Q10="X",'Apostas - Mata-Mata'!Q9,"Aguardando"))</f>
        <v>Aguardando</v>
      </c>
      <c r="AP9" s="215" t="str">
        <f>IF('Apostas - Mata-Mata'!V10="X",'Apostas - Mata-Mata'!V9,IF('Apostas - Mata-Mata'!W10="X",'Apostas - Mata-Mata'!W9,"Aguardando"))</f>
        <v>Aguardando</v>
      </c>
      <c r="AQ9" s="215" t="str">
        <f>IF('Apostas - Mata-Mata'!X10="X",'Apostas - Mata-Mata'!X9,IF('Apostas - Mata-Mata'!Y10="X",'Apostas - Mata-Mata'!Y9,"Aguardando"))</f>
        <v>Aguardando</v>
      </c>
      <c r="AR9" s="215" t="str">
        <f>IF('Apostas - Mata-Mata'!R10="X",'Apostas - Mata-Mata'!R9,IF('Apostas - Mata-Mata'!S10="X",'Apostas - Mata-Mata'!S9,"Aguardando"))</f>
        <v>Aguardando</v>
      </c>
      <c r="AS9" s="215" t="str">
        <f>IF('Apostas - Mata-Mata'!T10="X",'Apostas - Mata-Mata'!T9,IF('Apostas - Mata-Mata'!U10="X",'Apostas - Mata-Mata'!U9,"Aguardando"))</f>
        <v>Aguardando</v>
      </c>
      <c r="AT9" s="215" t="str">
        <f>IF('Apostas - Mata-Mata'!AB10="X",'Apostas - Mata-Mata'!AB9,IF('Apostas - Mata-Mata'!AC10="X",'Apostas - Mata-Mata'!AC9,"Aguardando"))</f>
        <v>Aguardando</v>
      </c>
      <c r="AU9" s="215" t="str">
        <f>IF('Apostas - Mata-Mata'!AF10="X",'Apostas - Mata-Mata'!AF9,IF('Apostas - Mata-Mata'!AG10="X",'Apostas - Mata-Mata'!AG9,"Aguardando"))</f>
        <v>Aguardando</v>
      </c>
      <c r="AV9" s="215" t="str">
        <f>IF('Apostas - Mata-Mata'!Z10="X",'Apostas - Mata-Mata'!Z9,IF('Apostas - Mata-Mata'!AA10="X",'Apostas - Mata-Mata'!AA9,"Aguardando"))</f>
        <v>Aguardando</v>
      </c>
      <c r="AW9" s="215" t="str">
        <f>IF('Apostas - Mata-Mata'!AD10="X",'Apostas - Mata-Mata'!AD9,IF('Apostas - Mata-Mata'!AE10="X",'Apostas - Mata-Mata'!AE9,"Aguardando"))</f>
        <v>Aguardando</v>
      </c>
      <c r="AX9" s="215" t="str">
        <f>IF('Apostas - Mata-Mata'!AH10="X",'Apostas - Mata-Mata'!AH9,IF('Apostas - Mata-Mata'!AI10="X",'Apostas - Mata-Mata'!AI9,"Aguardando"))</f>
        <v>Aguardando</v>
      </c>
      <c r="AY9" s="215" t="str">
        <f>IF('Apostas - Mata-Mata'!AJ10="X",'Apostas - Mata-Mata'!AJ9,IF('Apostas - Mata-Mata'!AK10="X",'Apostas - Mata-Mata'!AK9,"Aguardando"))</f>
        <v>Aguardando</v>
      </c>
      <c r="AZ9" s="215" t="str">
        <f>IF('Apostas - Mata-Mata'!AP10="X",'Apostas - Mata-Mata'!AP9,IF('Apostas - Mata-Mata'!AQ10="X",'Apostas - Mata-Mata'!AQ9,"Aguardando"))</f>
        <v>Aguardando</v>
      </c>
      <c r="BA9" s="215" t="str">
        <f>IF('Apostas - Mata-Mata'!AR10="X",'Apostas - Mata-Mata'!AR9,IF('Apostas - Mata-Mata'!AS10="X",'Apostas - Mata-Mata'!AS9,"Aguardando"))</f>
        <v>Aguardando</v>
      </c>
      <c r="BB9" s="215" t="str">
        <f>IF('Apostas - Mata-Mata'!AL10="X",'Apostas - Mata-Mata'!AL9,IF('Apostas - Mata-Mata'!AM10="X",'Apostas - Mata-Mata'!AM9,"Aguardando"))</f>
        <v>Aguardando</v>
      </c>
      <c r="BC9" s="215" t="str">
        <f>IF('Apostas - Mata-Mata'!AN10="X",'Apostas - Mata-Mata'!AN9,IF('Apostas - Mata-Mata'!AO10="X",'Apostas - Mata-Mata'!AO9,"Aguardando"))</f>
        <v>Aguardando</v>
      </c>
      <c r="BD9" s="215" t="str">
        <f>IF('Apostas - Mata-Mata'!AT10="X",'Apostas - Mata-Mata'!AT9,IF('Apostas - Mata-Mata'!AU10="X",'Apostas - Mata-Mata'!AU9,"Aguardando"))</f>
        <v>Aguardando</v>
      </c>
      <c r="BE9" s="215" t="str">
        <f>IF('Apostas - Mata-Mata'!AV10="X",'Apostas - Mata-Mata'!AV9,IF('Apostas - Mata-Mata'!AW10="X",'Apostas - Mata-Mata'!AW9,"Aguardando"))</f>
        <v>Aguardando</v>
      </c>
      <c r="BF9" s="215" t="str">
        <f>IF('Apostas - Mata-Mata'!AX10="X",'Apostas - Mata-Mata'!AX9,IF('Apostas - Mata-Mata'!AY10="X",'Apostas - Mata-Mata'!AY9,"Aguardando"))</f>
        <v>Aguardando</v>
      </c>
      <c r="BG9" s="215" t="str">
        <f>IF('Apostas - Mata-Mata'!AZ10="X",'Apostas - Mata-Mata'!AZ9,IF('Apostas - Mata-Mata'!BA10="X",'Apostas - Mata-Mata'!BA9,"Aguardando"))</f>
        <v>Aguardando</v>
      </c>
      <c r="BH9" s="215" t="str">
        <f>IF('Apostas - Mata-Mata'!BB10="X",'Apostas - Mata-Mata'!BB9,IF('Apostas - Mata-Mata'!BC10="X",'Apostas - Mata-Mata'!BC9,"Aguardando"))</f>
        <v>Aguardando</v>
      </c>
      <c r="BI9" s="215" t="str">
        <f>IF('Apostas - Mata-Mata'!BD10="X",'Apostas - Mata-Mata'!BD9,IF('Apostas - Mata-Mata'!BE10="X",'Apostas - Mata-Mata'!BE9,"Aguardando"))</f>
        <v>Aguardando</v>
      </c>
      <c r="BJ9" s="215" t="str">
        <f>IF('Apostas - Mata-Mata'!BF10="X",'Apostas - Mata-Mata'!BG9,IF('Apostas - Mata-Mata'!BG10="X",'Apostas - Mata-Mata'!BF9,"Aguardando"))</f>
        <v>Aguardando</v>
      </c>
      <c r="BK9" s="215" t="str">
        <f>IF('Apostas - Mata-Mata'!BH10="X",'Apostas - Mata-Mata'!BI9,IF('Apostas - Mata-Mata'!BI10="X",'Apostas - Mata-Mata'!BH9,"Aguardando"))</f>
        <v>Aguardando</v>
      </c>
      <c r="BL9" s="215" t="str">
        <f>IF('Apostas - Mata-Mata'!BF10="X",'Apostas - Mata-Mata'!BF9,IF('Apostas - Mata-Mata'!BG10="X",'Apostas - Mata-Mata'!BG9,"Aguardando"))</f>
        <v>Aguardando</v>
      </c>
      <c r="BM9" s="215" t="str">
        <f>IF('Apostas - Mata-Mata'!BH10="X",'Apostas - Mata-Mata'!BH9,IF('Apostas - Mata-Mata'!BI10="X",'Apostas - Mata-Mata'!BI9,"Aguardando"))</f>
        <v>Aguardando</v>
      </c>
    </row>
    <row r="10" spans="1:65" ht="24" customHeight="1">
      <c r="A10" s="212" t="s">
        <v>1030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</row>
    <row r="11" spans="1:65" ht="22.2" customHeight="1">
      <c r="A11" s="90" t="s">
        <v>264</v>
      </c>
      <c r="B11" s="216" t="str">
        <f>IFERROR(BetClass!C323,"?")</f>
        <v>Coreia do Sul</v>
      </c>
      <c r="C11" s="216" t="str">
        <f>IFERROR(BetClass!C324,"?")</f>
        <v>Qatar</v>
      </c>
      <c r="D11" s="216" t="str">
        <f>IFERROR(BetClass!B327,"?")</f>
        <v>Alemanha</v>
      </c>
      <c r="E11" s="216" t="str">
        <f>IFERROR(IFERROR(INDEX(BetClass!$B$336:$B$347,MATCH(MID(IFERROR(VLOOKUP(BetClass!B358,'T495'!$A$2:$I$496,5,FALSE),""),2,1),BetClass!$A$336:$A$347,0)),"Aguardando"),"Aguardando")</f>
        <v>Turquia</v>
      </c>
      <c r="F11" s="216" t="str">
        <f>IFERROR(BetClass!B328,"?")</f>
        <v>Holanda</v>
      </c>
      <c r="G11" s="216" t="str">
        <f>IFERROR(BetClass!C325,"?")</f>
        <v>Marrocos</v>
      </c>
      <c r="H11" s="216" t="str">
        <f>IFERROR(BetClass!B325,"?")</f>
        <v>Brasil</v>
      </c>
      <c r="I11" s="216" t="str">
        <f>IFERROR(BetClass!C328,"?")</f>
        <v>Japao</v>
      </c>
      <c r="J11" s="216" t="str">
        <f>IFERROR(BetClass!B331,"?")</f>
        <v>Franca</v>
      </c>
      <c r="K11" s="216" t="str">
        <f>IFERROR(IFERROR(INDEX(BetClass!$B$336:$B$347,MATCH(MID(IFERROR(VLOOKUP(BetClass!B358,'T495'!$A$2:$I$496,7,FALSE),""),2,1),BetClass!$A$336:$A$347,0)),"Aguardando"),"Aguardando")</f>
        <v>Suecia</v>
      </c>
      <c r="L11" s="216" t="str">
        <f>IFERROR(BetClass!C327,"?")</f>
        <v>Equador</v>
      </c>
      <c r="M11" s="216" t="str">
        <f>IFERROR(BetClass!C331,"?")</f>
        <v>Senegal</v>
      </c>
      <c r="N11" s="216" t="str">
        <f>IFERROR(BetClass!B323,"?")</f>
        <v>Mexico</v>
      </c>
      <c r="O11" s="216" t="str">
        <f>IFERROR(IFERROR(INDEX(BetClass!$B$336:$B$347,MATCH(MID(IFERROR(VLOOKUP(BetClass!B358,'T495'!$A$2:$I$496,2,FALSE),""),2,1),BetClass!$A$336:$A$347,0)),"Aguardando"),"Aguardando")</f>
        <v>Escocia</v>
      </c>
      <c r="P11" s="216" t="str">
        <f>IFERROR(BetClass!B334,"?")</f>
        <v>Inglaterra</v>
      </c>
      <c r="Q11" s="216" t="str">
        <f>IFERROR(IFERROR(INDEX(BetClass!$B$336:$B$347,MATCH(MID(IFERROR(VLOOKUP(BetClass!B358,'T495'!$A$2:$I$496,9,FALSE),""),2,1),BetClass!$A$336:$A$347,0)),"Aguardando"),"Aguardando")</f>
        <v>Noruega</v>
      </c>
      <c r="R11" s="216" t="str">
        <f>IFERROR(BetClass!B326,"?")</f>
        <v>Estados Unidos</v>
      </c>
      <c r="S11" s="216" t="str">
        <f>IFERROR(IFERROR(INDEX(BetClass!$B$336:$B$347,MATCH(MID(IFERROR(VLOOKUP(BetClass!B358,'T495'!$A$2:$I$496,4,FALSE),""),2,1),BetClass!$A$336:$A$347,0)),"Aguardando"),"Aguardando")</f>
        <v>Argelia</v>
      </c>
      <c r="T11" s="216" t="str">
        <f>IFERROR(BetClass!B329,"?")</f>
        <v>Belgica</v>
      </c>
      <c r="U11" s="216" t="str">
        <f>IFERROR(IFERROR(INDEX(BetClass!$B$336:$B$347,MATCH(MID(IFERROR(VLOOKUP(BetClass!B358,'T495'!$A$2:$I$496,6,FALSE),""),2,1),BetClass!$A$336:$A$347,0)),"Aguardando"),"Aguardando")</f>
        <v>Tchequia</v>
      </c>
      <c r="V11" s="216" t="str">
        <f>IFERROR(BetClass!C333,"?")</f>
        <v>Colombia</v>
      </c>
      <c r="W11" s="216" t="str">
        <f>IFERROR(BetClass!C334,"?")</f>
        <v>Croacia</v>
      </c>
      <c r="X11" s="216" t="str">
        <f>IFERROR(BetClass!B330,"?")</f>
        <v>Espanha</v>
      </c>
      <c r="Y11" s="216" t="str">
        <f>IFERROR(BetClass!C332,"?")</f>
        <v>Austria</v>
      </c>
      <c r="Z11" s="216" t="str">
        <f>IFERROR(BetClass!B324,"?")</f>
        <v>Suica</v>
      </c>
      <c r="AA11" s="216" t="str">
        <f>IFERROR(IFERROR(INDEX(BetClass!$B$336:$B$347,MATCH(MID(IFERROR(VLOOKUP(BetClass!B358,'T495'!$A$2:$I$496,3,FALSE),""),2,1),BetClass!$A$336:$A$347,0)),"Aguardando"),"Aguardando")</f>
        <v>Egito</v>
      </c>
      <c r="AB11" s="216" t="str">
        <f>IFERROR(BetClass!B332,"?")</f>
        <v>Argentina</v>
      </c>
      <c r="AC11" s="216" t="str">
        <f>IFERROR(BetClass!C330,"?")</f>
        <v>Uruguai</v>
      </c>
      <c r="AD11" s="216" t="str">
        <f>IFERROR(BetClass!B333,"?")</f>
        <v>Portugal</v>
      </c>
      <c r="AE11" s="216" t="str">
        <f>IFERROR(IFERROR(INDEX(BetClass!$B$336:$B$347,MATCH(MID(IFERROR(VLOOKUP(BetClass!B358,'T495'!$A$2:$I$496,8,FALSE),""),2,1),BetClass!$A$336:$A$347,0)),"Aguardando"),"Aguardando")</f>
        <v>Costa do Marfim</v>
      </c>
      <c r="AF11" s="216" t="str">
        <f>IFERROR(BetClass!C326,"?")</f>
        <v>Australia</v>
      </c>
      <c r="AG11" s="216" t="str">
        <f>IFERROR(BetClass!C329,"?")</f>
        <v>Ira</v>
      </c>
      <c r="AH11" s="216" t="str">
        <f>IF('Apostas - Mata-Mata'!D12="X",'Apostas - Mata-Mata'!D11,IF('Apostas - Mata-Mata'!E12="X",'Apostas - Mata-Mata'!E11,"Aguardando"))</f>
        <v>Aguardando</v>
      </c>
      <c r="AI11" s="216" t="str">
        <f>IF('Apostas - Mata-Mata'!J12="X",'Apostas - Mata-Mata'!J11,IF('Apostas - Mata-Mata'!K12="X",'Apostas - Mata-Mata'!K11,"Aguardando"))</f>
        <v>Aguardando</v>
      </c>
      <c r="AJ11" s="216" t="str">
        <f>IF('Apostas - Mata-Mata'!B12="X",'Apostas - Mata-Mata'!B11,IF('Apostas - Mata-Mata'!C12="X",'Apostas - Mata-Mata'!C11,"Aguardando"))</f>
        <v>Aguardando</v>
      </c>
      <c r="AK11" s="216" t="str">
        <f>IF('Apostas - Mata-Mata'!F12="X",'Apostas - Mata-Mata'!F11,IF('Apostas - Mata-Mata'!G12="X",'Apostas - Mata-Mata'!G11,"Aguardando"))</f>
        <v>Aguardando</v>
      </c>
      <c r="AL11" s="216" t="str">
        <f>IF('Apostas - Mata-Mata'!H12="X",'Apostas - Mata-Mata'!H11,IF('Apostas - Mata-Mata'!I12="X",'Apostas - Mata-Mata'!I11,"Aguardando"))</f>
        <v>Aguardando</v>
      </c>
      <c r="AM11" s="216" t="str">
        <f>IF('Apostas - Mata-Mata'!L12="X",'Apostas - Mata-Mata'!L11,IF('Apostas - Mata-Mata'!M12="X",'Apostas - Mata-Mata'!M11,"Aguardando"))</f>
        <v>Aguardando</v>
      </c>
      <c r="AN11" s="216" t="str">
        <f>IF('Apostas - Mata-Mata'!N12="X",'Apostas - Mata-Mata'!N11,IF('Apostas - Mata-Mata'!O12="X",'Apostas - Mata-Mata'!O11,"Aguardando"))</f>
        <v>Aguardando</v>
      </c>
      <c r="AO11" s="216" t="str">
        <f>IF('Apostas - Mata-Mata'!P12="X",'Apostas - Mata-Mata'!P11,IF('Apostas - Mata-Mata'!Q12="X",'Apostas - Mata-Mata'!Q11,"Aguardando"))</f>
        <v>Aguardando</v>
      </c>
      <c r="AP11" s="216" t="str">
        <f>IF('Apostas - Mata-Mata'!V12="X",'Apostas - Mata-Mata'!V11,IF('Apostas - Mata-Mata'!W12="X",'Apostas - Mata-Mata'!W11,"Aguardando"))</f>
        <v>Aguardando</v>
      </c>
      <c r="AQ11" s="216" t="str">
        <f>IF('Apostas - Mata-Mata'!X12="X",'Apostas - Mata-Mata'!X11,IF('Apostas - Mata-Mata'!Y12="X",'Apostas - Mata-Mata'!Y11,"Aguardando"))</f>
        <v>Aguardando</v>
      </c>
      <c r="AR11" s="216" t="str">
        <f>IF('Apostas - Mata-Mata'!R12="X",'Apostas - Mata-Mata'!R11,IF('Apostas - Mata-Mata'!S12="X",'Apostas - Mata-Mata'!S11,"Aguardando"))</f>
        <v>Aguardando</v>
      </c>
      <c r="AS11" s="216" t="str">
        <f>IF('Apostas - Mata-Mata'!T12="X",'Apostas - Mata-Mata'!T11,IF('Apostas - Mata-Mata'!U12="X",'Apostas - Mata-Mata'!U11,"Aguardando"))</f>
        <v>Aguardando</v>
      </c>
      <c r="AT11" s="216" t="str">
        <f>IF('Apostas - Mata-Mata'!AB12="X",'Apostas - Mata-Mata'!AB11,IF('Apostas - Mata-Mata'!AC12="X",'Apostas - Mata-Mata'!AC11,"Aguardando"))</f>
        <v>Aguardando</v>
      </c>
      <c r="AU11" s="216" t="str">
        <f>IF('Apostas - Mata-Mata'!AF12="X",'Apostas - Mata-Mata'!AF11,IF('Apostas - Mata-Mata'!AG12="X",'Apostas - Mata-Mata'!AG11,"Aguardando"))</f>
        <v>Aguardando</v>
      </c>
      <c r="AV11" s="216" t="str">
        <f>IF('Apostas - Mata-Mata'!Z12="X",'Apostas - Mata-Mata'!Z11,IF('Apostas - Mata-Mata'!AA12="X",'Apostas - Mata-Mata'!AA11,"Aguardando"))</f>
        <v>Aguardando</v>
      </c>
      <c r="AW11" s="216" t="str">
        <f>IF('Apostas - Mata-Mata'!AD12="X",'Apostas - Mata-Mata'!AD11,IF('Apostas - Mata-Mata'!AE12="X",'Apostas - Mata-Mata'!AE11,"Aguardando"))</f>
        <v>Aguardando</v>
      </c>
      <c r="AX11" s="216" t="str">
        <f>IF('Apostas - Mata-Mata'!AH12="X",'Apostas - Mata-Mata'!AH11,IF('Apostas - Mata-Mata'!AI12="X",'Apostas - Mata-Mata'!AI11,"Aguardando"))</f>
        <v>Aguardando</v>
      </c>
      <c r="AY11" s="216" t="str">
        <f>IF('Apostas - Mata-Mata'!AJ12="X",'Apostas - Mata-Mata'!AJ11,IF('Apostas - Mata-Mata'!AK12="X",'Apostas - Mata-Mata'!AK11,"Aguardando"))</f>
        <v>Aguardando</v>
      </c>
      <c r="AZ11" s="216" t="str">
        <f>IF('Apostas - Mata-Mata'!AP12="X",'Apostas - Mata-Mata'!AP11,IF('Apostas - Mata-Mata'!AQ12="X",'Apostas - Mata-Mata'!AQ11,"Aguardando"))</f>
        <v>Aguardando</v>
      </c>
      <c r="BA11" s="216" t="str">
        <f>IF('Apostas - Mata-Mata'!AR12="X",'Apostas - Mata-Mata'!AR11,IF('Apostas - Mata-Mata'!AS12="X",'Apostas - Mata-Mata'!AS11,"Aguardando"))</f>
        <v>Aguardando</v>
      </c>
      <c r="BB11" s="216" t="str">
        <f>IF('Apostas - Mata-Mata'!AL12="X",'Apostas - Mata-Mata'!AL11,IF('Apostas - Mata-Mata'!AM12="X",'Apostas - Mata-Mata'!AM11,"Aguardando"))</f>
        <v>Aguardando</v>
      </c>
      <c r="BC11" s="216" t="str">
        <f>IF('Apostas - Mata-Mata'!AN12="X",'Apostas - Mata-Mata'!AN11,IF('Apostas - Mata-Mata'!AO12="X",'Apostas - Mata-Mata'!AO11,"Aguardando"))</f>
        <v>Aguardando</v>
      </c>
      <c r="BD11" s="216" t="str">
        <f>IF('Apostas - Mata-Mata'!AT12="X",'Apostas - Mata-Mata'!AT11,IF('Apostas - Mata-Mata'!AU12="X",'Apostas - Mata-Mata'!AU11,"Aguardando"))</f>
        <v>Aguardando</v>
      </c>
      <c r="BE11" s="216" t="str">
        <f>IF('Apostas - Mata-Mata'!AV12="X",'Apostas - Mata-Mata'!AV11,IF('Apostas - Mata-Mata'!AW12="X",'Apostas - Mata-Mata'!AW11,"Aguardando"))</f>
        <v>Aguardando</v>
      </c>
      <c r="BF11" s="216" t="str">
        <f>IF('Apostas - Mata-Mata'!AX12="X",'Apostas - Mata-Mata'!AX11,IF('Apostas - Mata-Mata'!AY12="X",'Apostas - Mata-Mata'!AY11,"Aguardando"))</f>
        <v>Aguardando</v>
      </c>
      <c r="BG11" s="216" t="str">
        <f>IF('Apostas - Mata-Mata'!AZ12="X",'Apostas - Mata-Mata'!AZ11,IF('Apostas - Mata-Mata'!BA12="X",'Apostas - Mata-Mata'!BA11,"Aguardando"))</f>
        <v>Aguardando</v>
      </c>
      <c r="BH11" s="216" t="str">
        <f>IF('Apostas - Mata-Mata'!BB12="X",'Apostas - Mata-Mata'!BB11,IF('Apostas - Mata-Mata'!BC12="X",'Apostas - Mata-Mata'!BC11,"Aguardando"))</f>
        <v>Aguardando</v>
      </c>
      <c r="BI11" s="216" t="str">
        <f>IF('Apostas - Mata-Mata'!BD12="X",'Apostas - Mata-Mata'!BD11,IF('Apostas - Mata-Mata'!BE12="X",'Apostas - Mata-Mata'!BE11,"Aguardando"))</f>
        <v>Aguardando</v>
      </c>
      <c r="BJ11" s="216" t="str">
        <f>IF('Apostas - Mata-Mata'!BF12="X",'Apostas - Mata-Mata'!BG11,IF('Apostas - Mata-Mata'!BG12="X",'Apostas - Mata-Mata'!BF11,"Aguardando"))</f>
        <v>Aguardando</v>
      </c>
      <c r="BK11" s="216" t="str">
        <f>IF('Apostas - Mata-Mata'!BH12="X",'Apostas - Mata-Mata'!BI11,IF('Apostas - Mata-Mata'!BI12="X",'Apostas - Mata-Mata'!BH11,"Aguardando"))</f>
        <v>Aguardando</v>
      </c>
      <c r="BL11" s="216" t="str">
        <f>IF('Apostas - Mata-Mata'!BF12="X",'Apostas - Mata-Mata'!BF11,IF('Apostas - Mata-Mata'!BG12="X",'Apostas - Mata-Mata'!BG11,"Aguardando"))</f>
        <v>Aguardando</v>
      </c>
      <c r="BM11" s="216" t="str">
        <f>IF('Apostas - Mata-Mata'!BH12="X",'Apostas - Mata-Mata'!BH11,IF('Apostas - Mata-Mata'!BI12="X",'Apostas - Mata-Mata'!BI11,"Aguardando"))</f>
        <v>Aguardando</v>
      </c>
    </row>
    <row r="12" spans="1:65" ht="24" customHeight="1">
      <c r="A12" s="212" t="s">
        <v>1030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</row>
  </sheetData>
  <mergeCells count="66"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B3:C3"/>
    <mergeCell ref="AP3:AQ3"/>
    <mergeCell ref="BB3:BC3"/>
    <mergeCell ref="BJ4:BK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BH4:BI4"/>
    <mergeCell ref="AF4:AG4"/>
    <mergeCell ref="AH4:AI4"/>
    <mergeCell ref="AN4:AO4"/>
    <mergeCell ref="AP4:AQ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A2:BM2"/>
    <mergeCell ref="AR3:AS3"/>
    <mergeCell ref="T3:U3"/>
    <mergeCell ref="AD4:AE4"/>
    <mergeCell ref="B4:C4"/>
    <mergeCell ref="V3:W3"/>
    <mergeCell ref="AB3:AC3"/>
    <mergeCell ref="BJ3:BK3"/>
    <mergeCell ref="AZ3:BA3"/>
    <mergeCell ref="Z4:AA4"/>
    <mergeCell ref="BL3:BM3"/>
    <mergeCell ref="AJ4:AK4"/>
    <mergeCell ref="AL4:AM4"/>
    <mergeCell ref="BF3:BG3"/>
    <mergeCell ref="BH3:BI3"/>
    <mergeCell ref="V4:W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35400"/>
  </sheetPr>
  <dimension ref="A1:AH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H4" sqref="AH4"/>
    </sheetView>
  </sheetViews>
  <sheetFormatPr defaultRowHeight="14.4"/>
  <cols>
    <col min="1" max="1" width="22" customWidth="1"/>
    <col min="2" max="33" width="4.33203125" customWidth="1"/>
    <col min="34" max="34" width="11" customWidth="1"/>
  </cols>
  <sheetData>
    <row r="1" spans="1:34" ht="43.95" customHeight="1">
      <c r="A1" s="255" t="s">
        <v>1031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34" ht="19.95" customHeight="1">
      <c r="A2" s="261" t="s">
        <v>1032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</row>
    <row r="3" spans="1:34" ht="28.2" customHeight="1">
      <c r="A3" s="5" t="s">
        <v>187</v>
      </c>
      <c r="B3" s="204" t="s">
        <v>1033</v>
      </c>
      <c r="C3" s="204" t="s">
        <v>1034</v>
      </c>
      <c r="D3" s="204" t="s">
        <v>1035</v>
      </c>
      <c r="E3" s="204" t="s">
        <v>1036</v>
      </c>
      <c r="F3" s="204" t="s">
        <v>1037</v>
      </c>
      <c r="G3" s="204" t="s">
        <v>1038</v>
      </c>
      <c r="H3" s="204" t="s">
        <v>1039</v>
      </c>
      <c r="I3" s="204" t="s">
        <v>1040</v>
      </c>
      <c r="J3" s="204" t="s">
        <v>1041</v>
      </c>
      <c r="K3" s="204" t="s">
        <v>1042</v>
      </c>
      <c r="L3" s="204" t="s">
        <v>1043</v>
      </c>
      <c r="M3" s="204" t="s">
        <v>1044</v>
      </c>
      <c r="N3" s="204" t="s">
        <v>1045</v>
      </c>
      <c r="O3" s="204" t="s">
        <v>1046</v>
      </c>
      <c r="P3" s="204" t="s">
        <v>1047</v>
      </c>
      <c r="Q3" s="204" t="s">
        <v>1048</v>
      </c>
      <c r="R3" s="205" t="s">
        <v>1049</v>
      </c>
      <c r="S3" s="205" t="s">
        <v>1050</v>
      </c>
      <c r="T3" s="205" t="s">
        <v>1051</v>
      </c>
      <c r="U3" s="205" t="s">
        <v>1052</v>
      </c>
      <c r="V3" s="205" t="s">
        <v>1053</v>
      </c>
      <c r="W3" s="205" t="s">
        <v>1054</v>
      </c>
      <c r="X3" s="205" t="s">
        <v>1055</v>
      </c>
      <c r="Y3" s="205" t="s">
        <v>1056</v>
      </c>
      <c r="Z3" s="206" t="s">
        <v>1057</v>
      </c>
      <c r="AA3" s="206" t="s">
        <v>1058</v>
      </c>
      <c r="AB3" s="206" t="s">
        <v>1059</v>
      </c>
      <c r="AC3" s="206" t="s">
        <v>1060</v>
      </c>
      <c r="AD3" s="207" t="s">
        <v>1061</v>
      </c>
      <c r="AE3" s="207" t="s">
        <v>1062</v>
      </c>
      <c r="AF3" s="208" t="s">
        <v>1063</v>
      </c>
      <c r="AG3" s="209" t="s">
        <v>1064</v>
      </c>
      <c r="AH3" s="83" t="s">
        <v>344</v>
      </c>
    </row>
    <row r="4" spans="1:34" ht="15.6">
      <c r="A4" s="81" t="s">
        <v>261</v>
      </c>
      <c r="B4" s="106">
        <f>IF(AND('Apostas - Mata-Mata'!B6&lt;&gt;"X",'Apostas - Mata-Mata'!C6&lt;&gt;"X"),"-",IF(NOT(COUNTA('Mata-Mata - Jogos'!$J$4:$J$19)&gt;0),"-",IF(COUNTIF('Mata-Mata - Jogos'!$J$4:$J$19,IF('Apostas - Mata-Mata'!B6="X",'Apostas - Mata-Mata'!B5,IF('Apostas - Mata-Mata'!C6="X",'Apostas - Mata-Mata'!C5,"")))&gt;0,3,0)))</f>
        <v>0</v>
      </c>
      <c r="C4" s="106">
        <f>IF(AND('Apostas - Mata-Mata'!D6&lt;&gt;"X",'Apostas - Mata-Mata'!E6&lt;&gt;"X"),"-",IF(NOT(COUNTA('Mata-Mata - Jogos'!$J$4:$J$19)&gt;0),"-",IF(COUNTIF('Mata-Mata - Jogos'!$J$4:$J$19,IF('Apostas - Mata-Mata'!D6="X",'Apostas - Mata-Mata'!D5,IF('Apostas - Mata-Mata'!E6="X",'Apostas - Mata-Mata'!E5,"")))&gt;0,3,0)))</f>
        <v>0</v>
      </c>
      <c r="D4" s="106">
        <f>IF(AND('Apostas - Mata-Mata'!F6&lt;&gt;"X",'Apostas - Mata-Mata'!G6&lt;&gt;"X"),"-",IF(NOT(COUNTA('Mata-Mata - Jogos'!$J$4:$J$19)&gt;0),"-",IF(COUNTIF('Mata-Mata - Jogos'!$J$4:$J$19,IF('Apostas - Mata-Mata'!F6="X",'Apostas - Mata-Mata'!F5,IF('Apostas - Mata-Mata'!G6="X",'Apostas - Mata-Mata'!G5,"")))&gt;0,3,0)))</f>
        <v>0</v>
      </c>
      <c r="E4" s="106">
        <f>IF(AND('Apostas - Mata-Mata'!H6&lt;&gt;"X",'Apostas - Mata-Mata'!I6&lt;&gt;"X"),"-",IF(NOT(COUNTA('Mata-Mata - Jogos'!$J$4:$J$19)&gt;0),"-",IF(COUNTIF('Mata-Mata - Jogos'!$J$4:$J$19,IF('Apostas - Mata-Mata'!H6="X",'Apostas - Mata-Mata'!H5,IF('Apostas - Mata-Mata'!I6="X",'Apostas - Mata-Mata'!I5,"")))&gt;0,3,0)))</f>
        <v>0</v>
      </c>
      <c r="F4" s="106">
        <f>IF(AND('Apostas - Mata-Mata'!J6&lt;&gt;"X",'Apostas - Mata-Mata'!K6&lt;&gt;"X"),"-",IF(NOT(COUNTA('Mata-Mata - Jogos'!$J$4:$J$19)&gt;0),"-",IF(COUNTIF('Mata-Mata - Jogos'!$J$4:$J$19,IF('Apostas - Mata-Mata'!J6="X",'Apostas - Mata-Mata'!J5,IF('Apostas - Mata-Mata'!K6="X",'Apostas - Mata-Mata'!K5,"")))&gt;0,3,0)))</f>
        <v>0</v>
      </c>
      <c r="G4" s="106">
        <f>IF(AND('Apostas - Mata-Mata'!L6&lt;&gt;"X",'Apostas - Mata-Mata'!M6&lt;&gt;"X"),"-",IF(NOT(COUNTA('Mata-Mata - Jogos'!$J$4:$J$19)&gt;0),"-",IF(COUNTIF('Mata-Mata - Jogos'!$J$4:$J$19,IF('Apostas - Mata-Mata'!L6="X",'Apostas - Mata-Mata'!L5,IF('Apostas - Mata-Mata'!M6="X",'Apostas - Mata-Mata'!M5,"")))&gt;0,3,0)))</f>
        <v>0</v>
      </c>
      <c r="H4" s="106">
        <f>IF(AND('Apostas - Mata-Mata'!N6&lt;&gt;"X",'Apostas - Mata-Mata'!O6&lt;&gt;"X"),"-",IF(NOT(COUNTA('Mata-Mata - Jogos'!$J$4:$J$19)&gt;0),"-",IF(COUNTIF('Mata-Mata - Jogos'!$J$4:$J$19,IF('Apostas - Mata-Mata'!N6="X",'Apostas - Mata-Mata'!N5,IF('Apostas - Mata-Mata'!O6="X",'Apostas - Mata-Mata'!O5,"")))&gt;0,3,0)))</f>
        <v>0</v>
      </c>
      <c r="I4" s="106">
        <f>IF(AND('Apostas - Mata-Mata'!P6&lt;&gt;"X",'Apostas - Mata-Mata'!Q6&lt;&gt;"X"),"-",IF(NOT(COUNTA('Mata-Mata - Jogos'!$J$4:$J$19)&gt;0),"-",IF(COUNTIF('Mata-Mata - Jogos'!$J$4:$J$19,IF('Apostas - Mata-Mata'!P6="X",'Apostas - Mata-Mata'!P5,IF('Apostas - Mata-Mata'!Q6="X",'Apostas - Mata-Mata'!Q5,"")))&gt;0,3,0)))</f>
        <v>0</v>
      </c>
      <c r="J4" s="106">
        <f>IF(AND('Apostas - Mata-Mata'!R6&lt;&gt;"X",'Apostas - Mata-Mata'!S6&lt;&gt;"X"),"-",IF(NOT(COUNTA('Mata-Mata - Jogos'!$J$4:$J$19)&gt;0),"-",IF(COUNTIF('Mata-Mata - Jogos'!$J$4:$J$19,IF('Apostas - Mata-Mata'!R6="X",'Apostas - Mata-Mata'!R5,IF('Apostas - Mata-Mata'!S6="X",'Apostas - Mata-Mata'!S5,"")))&gt;0,3,0)))</f>
        <v>0</v>
      </c>
      <c r="K4" s="106">
        <f>IF(AND('Apostas - Mata-Mata'!T6&lt;&gt;"X",'Apostas - Mata-Mata'!U6&lt;&gt;"X"),"-",IF(NOT(COUNTA('Mata-Mata - Jogos'!$J$4:$J$19)&gt;0),"-",IF(COUNTIF('Mata-Mata - Jogos'!$J$4:$J$19,IF('Apostas - Mata-Mata'!T6="X",'Apostas - Mata-Mata'!T5,IF('Apostas - Mata-Mata'!U6="X",'Apostas - Mata-Mata'!U5,"")))&gt;0,3,0)))</f>
        <v>0</v>
      </c>
      <c r="L4" s="106">
        <f>IF(AND('Apostas - Mata-Mata'!V6&lt;&gt;"X",'Apostas - Mata-Mata'!W6&lt;&gt;"X"),"-",IF(NOT(COUNTA('Mata-Mata - Jogos'!$J$4:$J$19)&gt;0),"-",IF(COUNTIF('Mata-Mata - Jogos'!$J$4:$J$19,IF('Apostas - Mata-Mata'!V6="X",'Apostas - Mata-Mata'!V5,IF('Apostas - Mata-Mata'!W6="X",'Apostas - Mata-Mata'!W5,"")))&gt;0,3,0)))</f>
        <v>0</v>
      </c>
      <c r="M4" s="106">
        <f>IF(AND('Apostas - Mata-Mata'!X6&lt;&gt;"X",'Apostas - Mata-Mata'!Y6&lt;&gt;"X"),"-",IF(NOT(COUNTA('Mata-Mata - Jogos'!$J$4:$J$19)&gt;0),"-",IF(COUNTIF('Mata-Mata - Jogos'!$J$4:$J$19,IF('Apostas - Mata-Mata'!X6="X",'Apostas - Mata-Mata'!X5,IF('Apostas - Mata-Mata'!Y6="X",'Apostas - Mata-Mata'!Y5,"")))&gt;0,3,0)))</f>
        <v>0</v>
      </c>
      <c r="N4" s="106">
        <f>IF(AND('Apostas - Mata-Mata'!Z6&lt;&gt;"X",'Apostas - Mata-Mata'!AA6&lt;&gt;"X"),"-",IF(NOT(COUNTA('Mata-Mata - Jogos'!$J$4:$J$19)&gt;0),"-",IF(COUNTIF('Mata-Mata - Jogos'!$J$4:$J$19,IF('Apostas - Mata-Mata'!Z6="X",'Apostas - Mata-Mata'!Z5,IF('Apostas - Mata-Mata'!AA6="X",'Apostas - Mata-Mata'!AA5,"")))&gt;0,3,0)))</f>
        <v>0</v>
      </c>
      <c r="O4" s="106">
        <f>IF(AND('Apostas - Mata-Mata'!AB6&lt;&gt;"X",'Apostas - Mata-Mata'!AC6&lt;&gt;"X"),"-",IF(NOT(COUNTA('Mata-Mata - Jogos'!$J$4:$J$19)&gt;0),"-",IF(COUNTIF('Mata-Mata - Jogos'!$J$4:$J$19,IF('Apostas - Mata-Mata'!AB6="X",'Apostas - Mata-Mata'!AB5,IF('Apostas - Mata-Mata'!AC6="X",'Apostas - Mata-Mata'!AC5,"")))&gt;0,3,0)))</f>
        <v>0</v>
      </c>
      <c r="P4" s="106">
        <f>IF(AND('Apostas - Mata-Mata'!AD6&lt;&gt;"X",'Apostas - Mata-Mata'!AE6&lt;&gt;"X"),"-",IF(NOT(COUNTA('Mata-Mata - Jogos'!$J$4:$J$19)&gt;0),"-",IF(COUNTIF('Mata-Mata - Jogos'!$J$4:$J$19,IF('Apostas - Mata-Mata'!AD6="X",'Apostas - Mata-Mata'!AD5,IF('Apostas - Mata-Mata'!AE6="X",'Apostas - Mata-Mata'!AE5,"")))&gt;0,3,0)))</f>
        <v>0</v>
      </c>
      <c r="Q4" s="106">
        <f>IF(AND('Apostas - Mata-Mata'!AF6&lt;&gt;"X",'Apostas - Mata-Mata'!AG6&lt;&gt;"X"),"-",IF(NOT(COUNTA('Mata-Mata - Jogos'!$J$4:$J$19)&gt;0),"-",IF(COUNTIF('Mata-Mata - Jogos'!$J$4:$J$19,IF('Apostas - Mata-Mata'!AF6="X",'Apostas - Mata-Mata'!AF5,IF('Apostas - Mata-Mata'!AG6="X",'Apostas - Mata-Mata'!AG5,"")))&gt;0,3,0)))</f>
        <v>0</v>
      </c>
      <c r="R4" s="106">
        <f>IF(AND('Apostas - Mata-Mata'!AH6&lt;&gt;"X",'Apostas - Mata-Mata'!AI6&lt;&gt;"X"),"-",IF(NOT(COUNTA('Mata-Mata - Jogos'!$J$20:$J$27)&gt;0),"-",IF(COUNTIF('Mata-Mata - Jogos'!$J$20:$J$27,IF('Apostas - Mata-Mata'!AH6="X",'Apostas - Mata-Mata'!AH5,IF('Apostas - Mata-Mata'!AI6="X",'Apostas - Mata-Mata'!AI5,"")))&gt;0,5,0)))</f>
        <v>0</v>
      </c>
      <c r="S4" s="106">
        <f>IF(AND('Apostas - Mata-Mata'!AJ6&lt;&gt;"X",'Apostas - Mata-Mata'!AK6&lt;&gt;"X"),"-",IF(NOT(COUNTA('Mata-Mata - Jogos'!$J$20:$J$27)&gt;0),"-",IF(COUNTIF('Mata-Mata - Jogos'!$J$20:$J$27,IF('Apostas - Mata-Mata'!AJ6="X",'Apostas - Mata-Mata'!AJ5,IF('Apostas - Mata-Mata'!AK6="X",'Apostas - Mata-Mata'!AK5,"")))&gt;0,5,0)))</f>
        <v>0</v>
      </c>
      <c r="T4" s="106">
        <f>IF(AND('Apostas - Mata-Mata'!AL6&lt;&gt;"X",'Apostas - Mata-Mata'!AM6&lt;&gt;"X"),"-",IF(NOT(COUNTA('Mata-Mata - Jogos'!$J$20:$J$27)&gt;0),"-",IF(COUNTIF('Mata-Mata - Jogos'!$J$20:$J$27,IF('Apostas - Mata-Mata'!AL6="X",'Apostas - Mata-Mata'!AL5,IF('Apostas - Mata-Mata'!AM6="X",'Apostas - Mata-Mata'!AM5,"")))&gt;0,5,0)))</f>
        <v>0</v>
      </c>
      <c r="U4" s="106">
        <f>IF(AND('Apostas - Mata-Mata'!AN6&lt;&gt;"X",'Apostas - Mata-Mata'!AO6&lt;&gt;"X"),"-",IF(NOT(COUNTA('Mata-Mata - Jogos'!$J$20:$J$27)&gt;0),"-",IF(COUNTIF('Mata-Mata - Jogos'!$J$20:$J$27,IF('Apostas - Mata-Mata'!AN6="X",'Apostas - Mata-Mata'!AN5,IF('Apostas - Mata-Mata'!AO6="X",'Apostas - Mata-Mata'!AO5,"")))&gt;0,5,0)))</f>
        <v>0</v>
      </c>
      <c r="V4" s="106">
        <f>IF(AND('Apostas - Mata-Mata'!AP6&lt;&gt;"X",'Apostas - Mata-Mata'!AQ6&lt;&gt;"X"),"-",IF(NOT(COUNTA('Mata-Mata - Jogos'!$J$20:$J$27)&gt;0),"-",IF(COUNTIF('Mata-Mata - Jogos'!$J$20:$J$27,IF('Apostas - Mata-Mata'!AP6="X",'Apostas - Mata-Mata'!AP5,IF('Apostas - Mata-Mata'!AQ6="X",'Apostas - Mata-Mata'!AQ5,"")))&gt;0,5,0)))</f>
        <v>0</v>
      </c>
      <c r="W4" s="106">
        <f>IF(AND('Apostas - Mata-Mata'!AR6&lt;&gt;"X",'Apostas - Mata-Mata'!AS6&lt;&gt;"X"),"-",IF(NOT(COUNTA('Mata-Mata - Jogos'!$J$20:$J$27)&gt;0),"-",IF(COUNTIF('Mata-Mata - Jogos'!$J$20:$J$27,IF('Apostas - Mata-Mata'!AR6="X",'Apostas - Mata-Mata'!AR5,IF('Apostas - Mata-Mata'!AS6="X",'Apostas - Mata-Mata'!AS5,"")))&gt;0,5,0)))</f>
        <v>0</v>
      </c>
      <c r="X4" s="106">
        <f>IF(AND('Apostas - Mata-Mata'!AT6&lt;&gt;"X",'Apostas - Mata-Mata'!AU6&lt;&gt;"X"),"-",IF(NOT(COUNTA('Mata-Mata - Jogos'!$J$20:$J$27)&gt;0),"-",IF(COUNTIF('Mata-Mata - Jogos'!$J$20:$J$27,IF('Apostas - Mata-Mata'!AT6="X",'Apostas - Mata-Mata'!AT5,IF('Apostas - Mata-Mata'!AU6="X",'Apostas - Mata-Mata'!AU5,"")))&gt;0,5,0)))</f>
        <v>0</v>
      </c>
      <c r="Y4" s="106">
        <f>IF(AND('Apostas - Mata-Mata'!AV6&lt;&gt;"X",'Apostas - Mata-Mata'!AW6&lt;&gt;"X"),"-",IF(NOT(COUNTA('Mata-Mata - Jogos'!$J$20:$J$27)&gt;0),"-",IF(COUNTIF('Mata-Mata - Jogos'!$J$20:$J$27,IF('Apostas - Mata-Mata'!AV6="X",'Apostas - Mata-Mata'!AV5,IF('Apostas - Mata-Mata'!AW6="X",'Apostas - Mata-Mata'!AW5,"")))&gt;0,5,0)))</f>
        <v>0</v>
      </c>
      <c r="Z4" s="106">
        <f>IF(AND('Apostas - Mata-Mata'!AX6&lt;&gt;"X",'Apostas - Mata-Mata'!AY6&lt;&gt;"X"),"-",IF(NOT(COUNTA('Mata-Mata - Jogos'!$J$28:$J$31)&gt;0),"-",IF(COUNTIF('Mata-Mata - Jogos'!$J$28:$J$31,IF('Apostas - Mata-Mata'!AX6="X",'Apostas - Mata-Mata'!AX5,IF('Apostas - Mata-Mata'!AY6="X",'Apostas - Mata-Mata'!AY5,"")))&gt;0,8,0)))</f>
        <v>0</v>
      </c>
      <c r="AA4" s="106">
        <f>IF(AND('Apostas - Mata-Mata'!AZ6&lt;&gt;"X",'Apostas - Mata-Mata'!BA6&lt;&gt;"X"),"-",IF(NOT(COUNTA('Mata-Mata - Jogos'!$J$28:$J$31)&gt;0),"-",IF(COUNTIF('Mata-Mata - Jogos'!$J$28:$J$31,IF('Apostas - Mata-Mata'!AZ6="X",'Apostas - Mata-Mata'!AZ5,IF('Apostas - Mata-Mata'!BA6="X",'Apostas - Mata-Mata'!BA5,"")))&gt;0,8,0)))</f>
        <v>0</v>
      </c>
      <c r="AB4" s="106">
        <f>IF(AND('Apostas - Mata-Mata'!BB6&lt;&gt;"X",'Apostas - Mata-Mata'!BC6&lt;&gt;"X"),"-",IF(NOT(COUNTA('Mata-Mata - Jogos'!$J$28:$J$31)&gt;0),"-",IF(COUNTIF('Mata-Mata - Jogos'!$J$28:$J$31,IF('Apostas - Mata-Mata'!BB6="X",'Apostas - Mata-Mata'!BB5,IF('Apostas - Mata-Mata'!BC6="X",'Apostas - Mata-Mata'!BC5,"")))&gt;0,8,0)))</f>
        <v>0</v>
      </c>
      <c r="AC4" s="106">
        <f>IF(AND('Apostas - Mata-Mata'!BD6&lt;&gt;"X",'Apostas - Mata-Mata'!BE6&lt;&gt;"X"),"-",IF(NOT(COUNTA('Mata-Mata - Jogos'!$J$28:$J$31)&gt;0),"-",IF(COUNTIF('Mata-Mata - Jogos'!$J$28:$J$31,IF('Apostas - Mata-Mata'!BD6="X",'Apostas - Mata-Mata'!BD5,IF('Apostas - Mata-Mata'!BE6="X",'Apostas - Mata-Mata'!BE5,"")))&gt;0,8,0)))</f>
        <v>0</v>
      </c>
      <c r="AD4" s="106">
        <f>IF(AND('Apostas - Mata-Mata'!BF6&lt;&gt;"X",'Apostas - Mata-Mata'!BG6&lt;&gt;"X"),"-",IF(NOT(COUNTA('Mata-Mata - Jogos'!$J$32:$J$33)&gt;0),"-",IF(COUNTIF('Mata-Mata - Jogos'!$J$32:$J$33,IF('Apostas - Mata-Mata'!BF6="X",'Apostas - Mata-Mata'!BF5,IF('Apostas - Mata-Mata'!BG6="X",'Apostas - Mata-Mata'!BG5,"")))&gt;0,12,0)))</f>
        <v>0</v>
      </c>
      <c r="AE4" s="106">
        <f>IF(AND('Apostas - Mata-Mata'!BH6&lt;&gt;"X",'Apostas - Mata-Mata'!BI6&lt;&gt;"X"),"-",IF(NOT(COUNTA('Mata-Mata - Jogos'!$J$32:$J$33)&gt;0),"-",IF(COUNTIF('Mata-Mata - Jogos'!$J$32:$J$33,IF('Apostas - Mata-Mata'!BH6="X",'Apostas - Mata-Mata'!BH5,IF('Apostas - Mata-Mata'!BI6="X",'Apostas - Mata-Mata'!BI5,"")))&gt;0,12,0)))</f>
        <v>0</v>
      </c>
      <c r="AF4" s="106">
        <f>IF(AND('Apostas - Mata-Mata'!BJ6&lt;&gt;"X",'Apostas - Mata-Mata'!BK6&lt;&gt;"X"),"-",IF(NOT(COUNTA('Mata-Mata - Jogos'!$J$34:$J$34)&gt;0),"-",IF(COUNTIF('Mata-Mata - Jogos'!$J$34:$J$34,IF('Apostas - Mata-Mata'!BJ6="X",'Apostas - Mata-Mata'!BJ5,IF('Apostas - Mata-Mata'!BK6="X",'Apostas - Mata-Mata'!BK5,"")))&gt;0,10,0)))</f>
        <v>0</v>
      </c>
      <c r="AG4" s="106">
        <f>IF(AND('Apostas - Mata-Mata'!BL6&lt;&gt;"X",'Apostas - Mata-Mata'!BM6&lt;&gt;"X"),"-",IF(NOT(COUNTA('Mata-Mata - Jogos'!$J$35:$J$35)&gt;0),"-",IF(COUNTIF('Mata-Mata - Jogos'!$J$35:$J$35,IF('Apostas - Mata-Mata'!BL6="X",'Apostas - Mata-Mata'!BL5,IF('Apostas - Mata-Mata'!BM6="X",'Apostas - Mata-Mata'!BM5,"")))&gt;0,25,0)))</f>
        <v>0</v>
      </c>
      <c r="AH4" s="107">
        <f>SUM(B4:AG4)</f>
        <v>0</v>
      </c>
    </row>
    <row r="5" spans="1:34" ht="15.6">
      <c r="A5" s="82" t="s">
        <v>262</v>
      </c>
      <c r="B5" s="108">
        <f>IF(AND('Apostas - Mata-Mata'!B8&lt;&gt;"X",'Apostas - Mata-Mata'!C8&lt;&gt;"X"),"-",IF(NOT(COUNTA('Mata-Mata - Jogos'!$J$4:$J$19)&gt;0),"-",IF(COUNTIF('Mata-Mata - Jogos'!$J$4:$J$19,IF('Apostas - Mata-Mata'!B8="X",'Apostas - Mata-Mata'!B7,IF('Apostas - Mata-Mata'!C8="X",'Apostas - Mata-Mata'!C7,"")))&gt;0,3,0)))</f>
        <v>0</v>
      </c>
      <c r="C5" s="108">
        <f>IF(AND('Apostas - Mata-Mata'!D8&lt;&gt;"X",'Apostas - Mata-Mata'!E8&lt;&gt;"X"),"-",IF(NOT(COUNTA('Mata-Mata - Jogos'!$J$4:$J$19)&gt;0),"-",IF(COUNTIF('Mata-Mata - Jogos'!$J$4:$J$19,IF('Apostas - Mata-Mata'!D8="X",'Apostas - Mata-Mata'!D7,IF('Apostas - Mata-Mata'!E8="X",'Apostas - Mata-Mata'!E7,"")))&gt;0,3,0)))</f>
        <v>0</v>
      </c>
      <c r="D5" s="108">
        <f>IF(AND('Apostas - Mata-Mata'!F8&lt;&gt;"X",'Apostas - Mata-Mata'!G8&lt;&gt;"X"),"-",IF(NOT(COUNTA('Mata-Mata - Jogos'!$J$4:$J$19)&gt;0),"-",IF(COUNTIF('Mata-Mata - Jogos'!$J$4:$J$19,IF('Apostas - Mata-Mata'!F8="X",'Apostas - Mata-Mata'!F7,IF('Apostas - Mata-Mata'!G8="X",'Apostas - Mata-Mata'!G7,"")))&gt;0,3,0)))</f>
        <v>0</v>
      </c>
      <c r="E5" s="108">
        <f>IF(AND('Apostas - Mata-Mata'!H8&lt;&gt;"X",'Apostas - Mata-Mata'!I8&lt;&gt;"X"),"-",IF(NOT(COUNTA('Mata-Mata - Jogos'!$J$4:$J$19)&gt;0),"-",IF(COUNTIF('Mata-Mata - Jogos'!$J$4:$J$19,IF('Apostas - Mata-Mata'!H8="X",'Apostas - Mata-Mata'!H7,IF('Apostas - Mata-Mata'!I8="X",'Apostas - Mata-Mata'!I7,"")))&gt;0,3,0)))</f>
        <v>0</v>
      </c>
      <c r="F5" s="108">
        <f>IF(AND('Apostas - Mata-Mata'!J8&lt;&gt;"X",'Apostas - Mata-Mata'!K8&lt;&gt;"X"),"-",IF(NOT(COUNTA('Mata-Mata - Jogos'!$J$4:$J$19)&gt;0),"-",IF(COUNTIF('Mata-Mata - Jogos'!$J$4:$J$19,IF('Apostas - Mata-Mata'!J8="X",'Apostas - Mata-Mata'!J7,IF('Apostas - Mata-Mata'!K8="X",'Apostas - Mata-Mata'!K7,"")))&gt;0,3,0)))</f>
        <v>0</v>
      </c>
      <c r="G5" s="108">
        <f>IF(AND('Apostas - Mata-Mata'!L8&lt;&gt;"X",'Apostas - Mata-Mata'!M8&lt;&gt;"X"),"-",IF(NOT(COUNTA('Mata-Mata - Jogos'!$J$4:$J$19)&gt;0),"-",IF(COUNTIF('Mata-Mata - Jogos'!$J$4:$J$19,IF('Apostas - Mata-Mata'!L8="X",'Apostas - Mata-Mata'!L7,IF('Apostas - Mata-Mata'!M8="X",'Apostas - Mata-Mata'!M7,"")))&gt;0,3,0)))</f>
        <v>0</v>
      </c>
      <c r="H5" s="108">
        <f>IF(AND('Apostas - Mata-Mata'!N8&lt;&gt;"X",'Apostas - Mata-Mata'!O8&lt;&gt;"X"),"-",IF(NOT(COUNTA('Mata-Mata - Jogos'!$J$4:$J$19)&gt;0),"-",IF(COUNTIF('Mata-Mata - Jogos'!$J$4:$J$19,IF('Apostas - Mata-Mata'!N8="X",'Apostas - Mata-Mata'!N7,IF('Apostas - Mata-Mata'!O8="X",'Apostas - Mata-Mata'!O7,"")))&gt;0,3,0)))</f>
        <v>0</v>
      </c>
      <c r="I5" s="108">
        <f>IF(AND('Apostas - Mata-Mata'!P8&lt;&gt;"X",'Apostas - Mata-Mata'!Q8&lt;&gt;"X"),"-",IF(NOT(COUNTA('Mata-Mata - Jogos'!$J$4:$J$19)&gt;0),"-",IF(COUNTIF('Mata-Mata - Jogos'!$J$4:$J$19,IF('Apostas - Mata-Mata'!P8="X",'Apostas - Mata-Mata'!P7,IF('Apostas - Mata-Mata'!Q8="X",'Apostas - Mata-Mata'!Q7,"")))&gt;0,3,0)))</f>
        <v>0</v>
      </c>
      <c r="J5" s="108">
        <f>IF(AND('Apostas - Mata-Mata'!R8&lt;&gt;"X",'Apostas - Mata-Mata'!S8&lt;&gt;"X"),"-",IF(NOT(COUNTA('Mata-Mata - Jogos'!$J$4:$J$19)&gt;0),"-",IF(COUNTIF('Mata-Mata - Jogos'!$J$4:$J$19,IF('Apostas - Mata-Mata'!R8="X",'Apostas - Mata-Mata'!R7,IF('Apostas - Mata-Mata'!S8="X",'Apostas - Mata-Mata'!S7,"")))&gt;0,3,0)))</f>
        <v>0</v>
      </c>
      <c r="K5" s="108">
        <f>IF(AND('Apostas - Mata-Mata'!T8&lt;&gt;"X",'Apostas - Mata-Mata'!U8&lt;&gt;"X"),"-",IF(NOT(COUNTA('Mata-Mata - Jogos'!$J$4:$J$19)&gt;0),"-",IF(COUNTIF('Mata-Mata - Jogos'!$J$4:$J$19,IF('Apostas - Mata-Mata'!T8="X",'Apostas - Mata-Mata'!T7,IF('Apostas - Mata-Mata'!U8="X",'Apostas - Mata-Mata'!U7,"")))&gt;0,3,0)))</f>
        <v>0</v>
      </c>
      <c r="L5" s="108">
        <f>IF(AND('Apostas - Mata-Mata'!V8&lt;&gt;"X",'Apostas - Mata-Mata'!W8&lt;&gt;"X"),"-",IF(NOT(COUNTA('Mata-Mata - Jogos'!$J$4:$J$19)&gt;0),"-",IF(COUNTIF('Mata-Mata - Jogos'!$J$4:$J$19,IF('Apostas - Mata-Mata'!V8="X",'Apostas - Mata-Mata'!V7,IF('Apostas - Mata-Mata'!W8="X",'Apostas - Mata-Mata'!W7,"")))&gt;0,3,0)))</f>
        <v>0</v>
      </c>
      <c r="M5" s="108">
        <f>IF(AND('Apostas - Mata-Mata'!X8&lt;&gt;"X",'Apostas - Mata-Mata'!Y8&lt;&gt;"X"),"-",IF(NOT(COUNTA('Mata-Mata - Jogos'!$J$4:$J$19)&gt;0),"-",IF(COUNTIF('Mata-Mata - Jogos'!$J$4:$J$19,IF('Apostas - Mata-Mata'!X8="X",'Apostas - Mata-Mata'!X7,IF('Apostas - Mata-Mata'!Y8="X",'Apostas - Mata-Mata'!Y7,"")))&gt;0,3,0)))</f>
        <v>0</v>
      </c>
      <c r="N5" s="108">
        <f>IF(AND('Apostas - Mata-Mata'!Z8&lt;&gt;"X",'Apostas - Mata-Mata'!AA8&lt;&gt;"X"),"-",IF(NOT(COUNTA('Mata-Mata - Jogos'!$J$4:$J$19)&gt;0),"-",IF(COUNTIF('Mata-Mata - Jogos'!$J$4:$J$19,IF('Apostas - Mata-Mata'!Z8="X",'Apostas - Mata-Mata'!Z7,IF('Apostas - Mata-Mata'!AA8="X",'Apostas - Mata-Mata'!AA7,"")))&gt;0,3,0)))</f>
        <v>0</v>
      </c>
      <c r="O5" s="108">
        <f>IF(AND('Apostas - Mata-Mata'!AB8&lt;&gt;"X",'Apostas - Mata-Mata'!AC8&lt;&gt;"X"),"-",IF(NOT(COUNTA('Mata-Mata - Jogos'!$J$4:$J$19)&gt;0),"-",IF(COUNTIF('Mata-Mata - Jogos'!$J$4:$J$19,IF('Apostas - Mata-Mata'!AB8="X",'Apostas - Mata-Mata'!AB7,IF('Apostas - Mata-Mata'!AC8="X",'Apostas - Mata-Mata'!AC7,"")))&gt;0,3,0)))</f>
        <v>0</v>
      </c>
      <c r="P5" s="108">
        <f>IF(AND('Apostas - Mata-Mata'!AD8&lt;&gt;"X",'Apostas - Mata-Mata'!AE8&lt;&gt;"X"),"-",IF(NOT(COUNTA('Mata-Mata - Jogos'!$J$4:$J$19)&gt;0),"-",IF(COUNTIF('Mata-Mata - Jogos'!$J$4:$J$19,IF('Apostas - Mata-Mata'!AD8="X",'Apostas - Mata-Mata'!AD7,IF('Apostas - Mata-Mata'!AE8="X",'Apostas - Mata-Mata'!AE7,"")))&gt;0,3,0)))</f>
        <v>0</v>
      </c>
      <c r="Q5" s="108">
        <f>IF(AND('Apostas - Mata-Mata'!AF8&lt;&gt;"X",'Apostas - Mata-Mata'!AG8&lt;&gt;"X"),"-",IF(NOT(COUNTA('Mata-Mata - Jogos'!$J$4:$J$19)&gt;0),"-",IF(COUNTIF('Mata-Mata - Jogos'!$J$4:$J$19,IF('Apostas - Mata-Mata'!AF8="X",'Apostas - Mata-Mata'!AF7,IF('Apostas - Mata-Mata'!AG8="X",'Apostas - Mata-Mata'!AG7,"")))&gt;0,3,0)))</f>
        <v>0</v>
      </c>
      <c r="R5" s="108">
        <f>IF(AND('Apostas - Mata-Mata'!AH8&lt;&gt;"X",'Apostas - Mata-Mata'!AI8&lt;&gt;"X"),"-",IF(NOT(COUNTA('Mata-Mata - Jogos'!$J$20:$J$27)&gt;0),"-",IF(COUNTIF('Mata-Mata - Jogos'!$J$20:$J$27,IF('Apostas - Mata-Mata'!AH8="X",'Apostas - Mata-Mata'!AH7,IF('Apostas - Mata-Mata'!AI8="X",'Apostas - Mata-Mata'!AI7,"")))&gt;0,5,0)))</f>
        <v>0</v>
      </c>
      <c r="S5" s="108">
        <f>IF(AND('Apostas - Mata-Mata'!AJ8&lt;&gt;"X",'Apostas - Mata-Mata'!AK8&lt;&gt;"X"),"-",IF(NOT(COUNTA('Mata-Mata - Jogos'!$J$20:$J$27)&gt;0),"-",IF(COUNTIF('Mata-Mata - Jogos'!$J$20:$J$27,IF('Apostas - Mata-Mata'!AJ8="X",'Apostas - Mata-Mata'!AJ7,IF('Apostas - Mata-Mata'!AK8="X",'Apostas - Mata-Mata'!AK7,"")))&gt;0,5,0)))</f>
        <v>0</v>
      </c>
      <c r="T5" s="108">
        <f>IF(AND('Apostas - Mata-Mata'!AL8&lt;&gt;"X",'Apostas - Mata-Mata'!AM8&lt;&gt;"X"),"-",IF(NOT(COUNTA('Mata-Mata - Jogos'!$J$20:$J$27)&gt;0),"-",IF(COUNTIF('Mata-Mata - Jogos'!$J$20:$J$27,IF('Apostas - Mata-Mata'!AL8="X",'Apostas - Mata-Mata'!AL7,IF('Apostas - Mata-Mata'!AM8="X",'Apostas - Mata-Mata'!AM7,"")))&gt;0,5,0)))</f>
        <v>0</v>
      </c>
      <c r="U5" s="108">
        <f>IF(AND('Apostas - Mata-Mata'!AN8&lt;&gt;"X",'Apostas - Mata-Mata'!AO8&lt;&gt;"X"),"-",IF(NOT(COUNTA('Mata-Mata - Jogos'!$J$20:$J$27)&gt;0),"-",IF(COUNTIF('Mata-Mata - Jogos'!$J$20:$J$27,IF('Apostas - Mata-Mata'!AN8="X",'Apostas - Mata-Mata'!AN7,IF('Apostas - Mata-Mata'!AO8="X",'Apostas - Mata-Mata'!AO7,"")))&gt;0,5,0)))</f>
        <v>0</v>
      </c>
      <c r="V5" s="108">
        <f>IF(AND('Apostas - Mata-Mata'!AP8&lt;&gt;"X",'Apostas - Mata-Mata'!AQ8&lt;&gt;"X"),"-",IF(NOT(COUNTA('Mata-Mata - Jogos'!$J$20:$J$27)&gt;0),"-",IF(COUNTIF('Mata-Mata - Jogos'!$J$20:$J$27,IF('Apostas - Mata-Mata'!AP8="X",'Apostas - Mata-Mata'!AP7,IF('Apostas - Mata-Mata'!AQ8="X",'Apostas - Mata-Mata'!AQ7,"")))&gt;0,5,0)))</f>
        <v>0</v>
      </c>
      <c r="W5" s="108">
        <f>IF(AND('Apostas - Mata-Mata'!AR8&lt;&gt;"X",'Apostas - Mata-Mata'!AS8&lt;&gt;"X"),"-",IF(NOT(COUNTA('Mata-Mata - Jogos'!$J$20:$J$27)&gt;0),"-",IF(COUNTIF('Mata-Mata - Jogos'!$J$20:$J$27,IF('Apostas - Mata-Mata'!AR8="X",'Apostas - Mata-Mata'!AR7,IF('Apostas - Mata-Mata'!AS8="X",'Apostas - Mata-Mata'!AS7,"")))&gt;0,5,0)))</f>
        <v>0</v>
      </c>
      <c r="X5" s="108">
        <f>IF(AND('Apostas - Mata-Mata'!AT8&lt;&gt;"X",'Apostas - Mata-Mata'!AU8&lt;&gt;"X"),"-",IF(NOT(COUNTA('Mata-Mata - Jogos'!$J$20:$J$27)&gt;0),"-",IF(COUNTIF('Mata-Mata - Jogos'!$J$20:$J$27,IF('Apostas - Mata-Mata'!AT8="X",'Apostas - Mata-Mata'!AT7,IF('Apostas - Mata-Mata'!AU8="X",'Apostas - Mata-Mata'!AU7,"")))&gt;0,5,0)))</f>
        <v>0</v>
      </c>
      <c r="Y5" s="108">
        <f>IF(AND('Apostas - Mata-Mata'!AV8&lt;&gt;"X",'Apostas - Mata-Mata'!AW8&lt;&gt;"X"),"-",IF(NOT(COUNTA('Mata-Mata - Jogos'!$J$20:$J$27)&gt;0),"-",IF(COUNTIF('Mata-Mata - Jogos'!$J$20:$J$27,IF('Apostas - Mata-Mata'!AV8="X",'Apostas - Mata-Mata'!AV7,IF('Apostas - Mata-Mata'!AW8="X",'Apostas - Mata-Mata'!AW7,"")))&gt;0,5,0)))</f>
        <v>0</v>
      </c>
      <c r="Z5" s="108">
        <f>IF(AND('Apostas - Mata-Mata'!AX8&lt;&gt;"X",'Apostas - Mata-Mata'!AY8&lt;&gt;"X"),"-",IF(NOT(COUNTA('Mata-Mata - Jogos'!$J$28:$J$31)&gt;0),"-",IF(COUNTIF('Mata-Mata - Jogos'!$J$28:$J$31,IF('Apostas - Mata-Mata'!AX8="X",'Apostas - Mata-Mata'!AX7,IF('Apostas - Mata-Mata'!AY8="X",'Apostas - Mata-Mata'!AY7,"")))&gt;0,8,0)))</f>
        <v>0</v>
      </c>
      <c r="AA5" s="108">
        <f>IF(AND('Apostas - Mata-Mata'!AZ8&lt;&gt;"X",'Apostas - Mata-Mata'!BA8&lt;&gt;"X"),"-",IF(NOT(COUNTA('Mata-Mata - Jogos'!$J$28:$J$31)&gt;0),"-",IF(COUNTIF('Mata-Mata - Jogos'!$J$28:$J$31,IF('Apostas - Mata-Mata'!AZ8="X",'Apostas - Mata-Mata'!AZ7,IF('Apostas - Mata-Mata'!BA8="X",'Apostas - Mata-Mata'!BA7,"")))&gt;0,8,0)))</f>
        <v>0</v>
      </c>
      <c r="AB5" s="108">
        <f>IF(AND('Apostas - Mata-Mata'!BB8&lt;&gt;"X",'Apostas - Mata-Mata'!BC8&lt;&gt;"X"),"-",IF(NOT(COUNTA('Mata-Mata - Jogos'!$J$28:$J$31)&gt;0),"-",IF(COUNTIF('Mata-Mata - Jogos'!$J$28:$J$31,IF('Apostas - Mata-Mata'!BB8="X",'Apostas - Mata-Mata'!BB7,IF('Apostas - Mata-Mata'!BC8="X",'Apostas - Mata-Mata'!BC7,"")))&gt;0,8,0)))</f>
        <v>0</v>
      </c>
      <c r="AC5" s="108">
        <f>IF(AND('Apostas - Mata-Mata'!BD8&lt;&gt;"X",'Apostas - Mata-Mata'!BE8&lt;&gt;"X"),"-",IF(NOT(COUNTA('Mata-Mata - Jogos'!$J$28:$J$31)&gt;0),"-",IF(COUNTIF('Mata-Mata - Jogos'!$J$28:$J$31,IF('Apostas - Mata-Mata'!BD8="X",'Apostas - Mata-Mata'!BD7,IF('Apostas - Mata-Mata'!BE8="X",'Apostas - Mata-Mata'!BE7,"")))&gt;0,8,0)))</f>
        <v>0</v>
      </c>
      <c r="AD5" s="108">
        <f>IF(AND('Apostas - Mata-Mata'!BF8&lt;&gt;"X",'Apostas - Mata-Mata'!BG8&lt;&gt;"X"),"-",IF(NOT(COUNTA('Mata-Mata - Jogos'!$J$32:$J$33)&gt;0),"-",IF(COUNTIF('Mata-Mata - Jogos'!$J$32:$J$33,IF('Apostas - Mata-Mata'!BF8="X",'Apostas - Mata-Mata'!BF7,IF('Apostas - Mata-Mata'!BG8="X",'Apostas - Mata-Mata'!BG7,"")))&gt;0,12,0)))</f>
        <v>0</v>
      </c>
      <c r="AE5" s="108">
        <f>IF(AND('Apostas - Mata-Mata'!BH8&lt;&gt;"X",'Apostas - Mata-Mata'!BI8&lt;&gt;"X"),"-",IF(NOT(COUNTA('Mata-Mata - Jogos'!$J$32:$J$33)&gt;0),"-",IF(COUNTIF('Mata-Mata - Jogos'!$J$32:$J$33,IF('Apostas - Mata-Mata'!BH8="X",'Apostas - Mata-Mata'!BH7,IF('Apostas - Mata-Mata'!BI8="X",'Apostas - Mata-Mata'!BI7,"")))&gt;0,12,0)))</f>
        <v>0</v>
      </c>
      <c r="AF5" s="108">
        <f>IF(AND('Apostas - Mata-Mata'!BJ8&lt;&gt;"X",'Apostas - Mata-Mata'!BK8&lt;&gt;"X"),"-",IF(NOT(COUNTA('Mata-Mata - Jogos'!$J$34:$J$34)&gt;0),"-",IF(COUNTIF('Mata-Mata - Jogos'!$J$34:$J$34,IF('Apostas - Mata-Mata'!BJ8="X",'Apostas - Mata-Mata'!BJ7,IF('Apostas - Mata-Mata'!BK8="X",'Apostas - Mata-Mata'!BK7,"")))&gt;0,10,0)))</f>
        <v>0</v>
      </c>
      <c r="AG5" s="108">
        <f>IF(AND('Apostas - Mata-Mata'!BL8&lt;&gt;"X",'Apostas - Mata-Mata'!BM8&lt;&gt;"X"),"-",IF(NOT(COUNTA('Mata-Mata - Jogos'!$J$35:$J$35)&gt;0),"-",IF(COUNTIF('Mata-Mata - Jogos'!$J$35:$J$35,IF('Apostas - Mata-Mata'!BL8="X",'Apostas - Mata-Mata'!BL7,IF('Apostas - Mata-Mata'!BM8="X",'Apostas - Mata-Mata'!BM7,"")))&gt;0,25,0)))</f>
        <v>0</v>
      </c>
      <c r="AH5" s="107">
        <f t="shared" ref="AH5:AH7" si="0">SUM(B5:AG5)</f>
        <v>0</v>
      </c>
    </row>
    <row r="6" spans="1:34" ht="15.6">
      <c r="A6" s="81" t="s">
        <v>263</v>
      </c>
      <c r="B6" s="106" t="str">
        <f>IF(AND('Apostas - Mata-Mata'!B10&lt;&gt;"X",'Apostas - Mata-Mata'!C10&lt;&gt;"X"),"-",IF(NOT(COUNTA('Mata-Mata - Jogos'!$J$4:$J$19)&gt;0),"-",IF(COUNTIF('Mata-Mata - Jogos'!$J$4:$J$19,IF('Apostas - Mata-Mata'!B10="X",'Apostas - Mata-Mata'!B9,IF('Apostas - Mata-Mata'!C10="X",'Apostas - Mata-Mata'!C9,"")))&gt;0,3,0)))</f>
        <v>-</v>
      </c>
      <c r="C6" s="106" t="str">
        <f>IF(AND('Apostas - Mata-Mata'!D10&lt;&gt;"X",'Apostas - Mata-Mata'!E10&lt;&gt;"X"),"-",IF(NOT(COUNTA('Mata-Mata - Jogos'!$J$4:$J$19)&gt;0),"-",IF(COUNTIF('Mata-Mata - Jogos'!$J$4:$J$19,IF('Apostas - Mata-Mata'!D10="X",'Apostas - Mata-Mata'!D9,IF('Apostas - Mata-Mata'!E10="X",'Apostas - Mata-Mata'!E9,"")))&gt;0,3,0)))</f>
        <v>-</v>
      </c>
      <c r="D6" s="106" t="str">
        <f>IF(AND('Apostas - Mata-Mata'!F10&lt;&gt;"X",'Apostas - Mata-Mata'!G10&lt;&gt;"X"),"-",IF(NOT(COUNTA('Mata-Mata - Jogos'!$J$4:$J$19)&gt;0),"-",IF(COUNTIF('Mata-Mata - Jogos'!$J$4:$J$19,IF('Apostas - Mata-Mata'!F10="X",'Apostas - Mata-Mata'!F9,IF('Apostas - Mata-Mata'!G10="X",'Apostas - Mata-Mata'!G9,"")))&gt;0,3,0)))</f>
        <v>-</v>
      </c>
      <c r="E6" s="106" t="str">
        <f>IF(AND('Apostas - Mata-Mata'!H10&lt;&gt;"X",'Apostas - Mata-Mata'!I10&lt;&gt;"X"),"-",IF(NOT(COUNTA('Mata-Mata - Jogos'!$J$4:$J$19)&gt;0),"-",IF(COUNTIF('Mata-Mata - Jogos'!$J$4:$J$19,IF('Apostas - Mata-Mata'!H10="X",'Apostas - Mata-Mata'!H9,IF('Apostas - Mata-Mata'!I10="X",'Apostas - Mata-Mata'!I9,"")))&gt;0,3,0)))</f>
        <v>-</v>
      </c>
      <c r="F6" s="106" t="str">
        <f>IF(AND('Apostas - Mata-Mata'!J10&lt;&gt;"X",'Apostas - Mata-Mata'!K10&lt;&gt;"X"),"-",IF(NOT(COUNTA('Mata-Mata - Jogos'!$J$4:$J$19)&gt;0),"-",IF(COUNTIF('Mata-Mata - Jogos'!$J$4:$J$19,IF('Apostas - Mata-Mata'!J10="X",'Apostas - Mata-Mata'!J9,IF('Apostas - Mata-Mata'!K10="X",'Apostas - Mata-Mata'!K9,"")))&gt;0,3,0)))</f>
        <v>-</v>
      </c>
      <c r="G6" s="106" t="str">
        <f>IF(AND('Apostas - Mata-Mata'!L10&lt;&gt;"X",'Apostas - Mata-Mata'!M10&lt;&gt;"X"),"-",IF(NOT(COUNTA('Mata-Mata - Jogos'!$J$4:$J$19)&gt;0),"-",IF(COUNTIF('Mata-Mata - Jogos'!$J$4:$J$19,IF('Apostas - Mata-Mata'!L10="X",'Apostas - Mata-Mata'!L9,IF('Apostas - Mata-Mata'!M10="X",'Apostas - Mata-Mata'!M9,"")))&gt;0,3,0)))</f>
        <v>-</v>
      </c>
      <c r="H6" s="106" t="str">
        <f>IF(AND('Apostas - Mata-Mata'!N10&lt;&gt;"X",'Apostas - Mata-Mata'!O10&lt;&gt;"X"),"-",IF(NOT(COUNTA('Mata-Mata - Jogos'!$J$4:$J$19)&gt;0),"-",IF(COUNTIF('Mata-Mata - Jogos'!$J$4:$J$19,IF('Apostas - Mata-Mata'!N10="X",'Apostas - Mata-Mata'!N9,IF('Apostas - Mata-Mata'!O10="X",'Apostas - Mata-Mata'!O9,"")))&gt;0,3,0)))</f>
        <v>-</v>
      </c>
      <c r="I6" s="106" t="str">
        <f>IF(AND('Apostas - Mata-Mata'!P10&lt;&gt;"X",'Apostas - Mata-Mata'!Q10&lt;&gt;"X"),"-",IF(NOT(COUNTA('Mata-Mata - Jogos'!$J$4:$J$19)&gt;0),"-",IF(COUNTIF('Mata-Mata - Jogos'!$J$4:$J$19,IF('Apostas - Mata-Mata'!P10="X",'Apostas - Mata-Mata'!P9,IF('Apostas - Mata-Mata'!Q10="X",'Apostas - Mata-Mata'!Q9,"")))&gt;0,3,0)))</f>
        <v>-</v>
      </c>
      <c r="J6" s="106" t="str">
        <f>IF(AND('Apostas - Mata-Mata'!R10&lt;&gt;"X",'Apostas - Mata-Mata'!S10&lt;&gt;"X"),"-",IF(NOT(COUNTA('Mata-Mata - Jogos'!$J$4:$J$19)&gt;0),"-",IF(COUNTIF('Mata-Mata - Jogos'!$J$4:$J$19,IF('Apostas - Mata-Mata'!R10="X",'Apostas - Mata-Mata'!R9,IF('Apostas - Mata-Mata'!S10="X",'Apostas - Mata-Mata'!S9,"")))&gt;0,3,0)))</f>
        <v>-</v>
      </c>
      <c r="K6" s="106" t="str">
        <f>IF(AND('Apostas - Mata-Mata'!T10&lt;&gt;"X",'Apostas - Mata-Mata'!U10&lt;&gt;"X"),"-",IF(NOT(COUNTA('Mata-Mata - Jogos'!$J$4:$J$19)&gt;0),"-",IF(COUNTIF('Mata-Mata - Jogos'!$J$4:$J$19,IF('Apostas - Mata-Mata'!T10="X",'Apostas - Mata-Mata'!T9,IF('Apostas - Mata-Mata'!U10="X",'Apostas - Mata-Mata'!U9,"")))&gt;0,3,0)))</f>
        <v>-</v>
      </c>
      <c r="L6" s="106" t="str">
        <f>IF(AND('Apostas - Mata-Mata'!V10&lt;&gt;"X",'Apostas - Mata-Mata'!W10&lt;&gt;"X"),"-",IF(NOT(COUNTA('Mata-Mata - Jogos'!$J$4:$J$19)&gt;0),"-",IF(COUNTIF('Mata-Mata - Jogos'!$J$4:$J$19,IF('Apostas - Mata-Mata'!V10="X",'Apostas - Mata-Mata'!V9,IF('Apostas - Mata-Mata'!W10="X",'Apostas - Mata-Mata'!W9,"")))&gt;0,3,0)))</f>
        <v>-</v>
      </c>
      <c r="M6" s="106" t="str">
        <f>IF(AND('Apostas - Mata-Mata'!X10&lt;&gt;"X",'Apostas - Mata-Mata'!Y10&lt;&gt;"X"),"-",IF(NOT(COUNTA('Mata-Mata - Jogos'!$J$4:$J$19)&gt;0),"-",IF(COUNTIF('Mata-Mata - Jogos'!$J$4:$J$19,IF('Apostas - Mata-Mata'!X10="X",'Apostas - Mata-Mata'!X9,IF('Apostas - Mata-Mata'!Y10="X",'Apostas - Mata-Mata'!Y9,"")))&gt;0,3,0)))</f>
        <v>-</v>
      </c>
      <c r="N6" s="106" t="str">
        <f>IF(AND('Apostas - Mata-Mata'!Z10&lt;&gt;"X",'Apostas - Mata-Mata'!AA10&lt;&gt;"X"),"-",IF(NOT(COUNTA('Mata-Mata - Jogos'!$J$4:$J$19)&gt;0),"-",IF(COUNTIF('Mata-Mata - Jogos'!$J$4:$J$19,IF('Apostas - Mata-Mata'!Z10="X",'Apostas - Mata-Mata'!Z9,IF('Apostas - Mata-Mata'!AA10="X",'Apostas - Mata-Mata'!AA9,"")))&gt;0,3,0)))</f>
        <v>-</v>
      </c>
      <c r="O6" s="106" t="str">
        <f>IF(AND('Apostas - Mata-Mata'!AB10&lt;&gt;"X",'Apostas - Mata-Mata'!AC10&lt;&gt;"X"),"-",IF(NOT(COUNTA('Mata-Mata - Jogos'!$J$4:$J$19)&gt;0),"-",IF(COUNTIF('Mata-Mata - Jogos'!$J$4:$J$19,IF('Apostas - Mata-Mata'!AB10="X",'Apostas - Mata-Mata'!AB9,IF('Apostas - Mata-Mata'!AC10="X",'Apostas - Mata-Mata'!AC9,"")))&gt;0,3,0)))</f>
        <v>-</v>
      </c>
      <c r="P6" s="106" t="str">
        <f>IF(AND('Apostas - Mata-Mata'!AD10&lt;&gt;"X",'Apostas - Mata-Mata'!AE10&lt;&gt;"X"),"-",IF(NOT(COUNTA('Mata-Mata - Jogos'!$J$4:$J$19)&gt;0),"-",IF(COUNTIF('Mata-Mata - Jogos'!$J$4:$J$19,IF('Apostas - Mata-Mata'!AD10="X",'Apostas - Mata-Mata'!AD9,IF('Apostas - Mata-Mata'!AE10="X",'Apostas - Mata-Mata'!AE9,"")))&gt;0,3,0)))</f>
        <v>-</v>
      </c>
      <c r="Q6" s="106" t="str">
        <f>IF(AND('Apostas - Mata-Mata'!AF10&lt;&gt;"X",'Apostas - Mata-Mata'!AG10&lt;&gt;"X"),"-",IF(NOT(COUNTA('Mata-Mata - Jogos'!$J$4:$J$19)&gt;0),"-",IF(COUNTIF('Mata-Mata - Jogos'!$J$4:$J$19,IF('Apostas - Mata-Mata'!AF10="X",'Apostas - Mata-Mata'!AF9,IF('Apostas - Mata-Mata'!AG10="X",'Apostas - Mata-Mata'!AG9,"")))&gt;0,3,0)))</f>
        <v>-</v>
      </c>
      <c r="R6" s="106" t="str">
        <f>IF(AND('Apostas - Mata-Mata'!AH10&lt;&gt;"X",'Apostas - Mata-Mata'!AI10&lt;&gt;"X"),"-",IF(NOT(COUNTA('Mata-Mata - Jogos'!$J$20:$J$27)&gt;0),"-",IF(COUNTIF('Mata-Mata - Jogos'!$J$20:$J$27,IF('Apostas - Mata-Mata'!AH10="X",'Apostas - Mata-Mata'!AH9,IF('Apostas - Mata-Mata'!AI10="X",'Apostas - Mata-Mata'!AI9,"")))&gt;0,5,0)))</f>
        <v>-</v>
      </c>
      <c r="S6" s="106" t="str">
        <f>IF(AND('Apostas - Mata-Mata'!AJ10&lt;&gt;"X",'Apostas - Mata-Mata'!AK10&lt;&gt;"X"),"-",IF(NOT(COUNTA('Mata-Mata - Jogos'!$J$20:$J$27)&gt;0),"-",IF(COUNTIF('Mata-Mata - Jogos'!$J$20:$J$27,IF('Apostas - Mata-Mata'!AJ10="X",'Apostas - Mata-Mata'!AJ9,IF('Apostas - Mata-Mata'!AK10="X",'Apostas - Mata-Mata'!AK9,"")))&gt;0,5,0)))</f>
        <v>-</v>
      </c>
      <c r="T6" s="106" t="str">
        <f>IF(AND('Apostas - Mata-Mata'!AL10&lt;&gt;"X",'Apostas - Mata-Mata'!AM10&lt;&gt;"X"),"-",IF(NOT(COUNTA('Mata-Mata - Jogos'!$J$20:$J$27)&gt;0),"-",IF(COUNTIF('Mata-Mata - Jogos'!$J$20:$J$27,IF('Apostas - Mata-Mata'!AL10="X",'Apostas - Mata-Mata'!AL9,IF('Apostas - Mata-Mata'!AM10="X",'Apostas - Mata-Mata'!AM9,"")))&gt;0,5,0)))</f>
        <v>-</v>
      </c>
      <c r="U6" s="106" t="str">
        <f>IF(AND('Apostas - Mata-Mata'!AN10&lt;&gt;"X",'Apostas - Mata-Mata'!AO10&lt;&gt;"X"),"-",IF(NOT(COUNTA('Mata-Mata - Jogos'!$J$20:$J$27)&gt;0),"-",IF(COUNTIF('Mata-Mata - Jogos'!$J$20:$J$27,IF('Apostas - Mata-Mata'!AN10="X",'Apostas - Mata-Mata'!AN9,IF('Apostas - Mata-Mata'!AO10="X",'Apostas - Mata-Mata'!AO9,"")))&gt;0,5,0)))</f>
        <v>-</v>
      </c>
      <c r="V6" s="106" t="str">
        <f>IF(AND('Apostas - Mata-Mata'!AP10&lt;&gt;"X",'Apostas - Mata-Mata'!AQ10&lt;&gt;"X"),"-",IF(NOT(COUNTA('Mata-Mata - Jogos'!$J$20:$J$27)&gt;0),"-",IF(COUNTIF('Mata-Mata - Jogos'!$J$20:$J$27,IF('Apostas - Mata-Mata'!AP10="X",'Apostas - Mata-Mata'!AP9,IF('Apostas - Mata-Mata'!AQ10="X",'Apostas - Mata-Mata'!AQ9,"")))&gt;0,5,0)))</f>
        <v>-</v>
      </c>
      <c r="W6" s="106" t="str">
        <f>IF(AND('Apostas - Mata-Mata'!AR10&lt;&gt;"X",'Apostas - Mata-Mata'!AS10&lt;&gt;"X"),"-",IF(NOT(COUNTA('Mata-Mata - Jogos'!$J$20:$J$27)&gt;0),"-",IF(COUNTIF('Mata-Mata - Jogos'!$J$20:$J$27,IF('Apostas - Mata-Mata'!AR10="X",'Apostas - Mata-Mata'!AR9,IF('Apostas - Mata-Mata'!AS10="X",'Apostas - Mata-Mata'!AS9,"")))&gt;0,5,0)))</f>
        <v>-</v>
      </c>
      <c r="X6" s="106" t="str">
        <f>IF(AND('Apostas - Mata-Mata'!AT10&lt;&gt;"X",'Apostas - Mata-Mata'!AU10&lt;&gt;"X"),"-",IF(NOT(COUNTA('Mata-Mata - Jogos'!$J$20:$J$27)&gt;0),"-",IF(COUNTIF('Mata-Mata - Jogos'!$J$20:$J$27,IF('Apostas - Mata-Mata'!AT10="X",'Apostas - Mata-Mata'!AT9,IF('Apostas - Mata-Mata'!AU10="X",'Apostas - Mata-Mata'!AU9,"")))&gt;0,5,0)))</f>
        <v>-</v>
      </c>
      <c r="Y6" s="106" t="str">
        <f>IF(AND('Apostas - Mata-Mata'!AV10&lt;&gt;"X",'Apostas - Mata-Mata'!AW10&lt;&gt;"X"),"-",IF(NOT(COUNTA('Mata-Mata - Jogos'!$J$20:$J$27)&gt;0),"-",IF(COUNTIF('Mata-Mata - Jogos'!$J$20:$J$27,IF('Apostas - Mata-Mata'!AV10="X",'Apostas - Mata-Mata'!AV9,IF('Apostas - Mata-Mata'!AW10="X",'Apostas - Mata-Mata'!AW9,"")))&gt;0,5,0)))</f>
        <v>-</v>
      </c>
      <c r="Z6" s="106" t="str">
        <f>IF(AND('Apostas - Mata-Mata'!AX10&lt;&gt;"X",'Apostas - Mata-Mata'!AY10&lt;&gt;"X"),"-",IF(NOT(COUNTA('Mata-Mata - Jogos'!$J$28:$J$31)&gt;0),"-",IF(COUNTIF('Mata-Mata - Jogos'!$J$28:$J$31,IF('Apostas - Mata-Mata'!AX10="X",'Apostas - Mata-Mata'!AX9,IF('Apostas - Mata-Mata'!AY10="X",'Apostas - Mata-Mata'!AY9,"")))&gt;0,8,0)))</f>
        <v>-</v>
      </c>
      <c r="AA6" s="106" t="str">
        <f>IF(AND('Apostas - Mata-Mata'!AZ10&lt;&gt;"X",'Apostas - Mata-Mata'!BA10&lt;&gt;"X"),"-",IF(NOT(COUNTA('Mata-Mata - Jogos'!$J$28:$J$31)&gt;0),"-",IF(COUNTIF('Mata-Mata - Jogos'!$J$28:$J$31,IF('Apostas - Mata-Mata'!AZ10="X",'Apostas - Mata-Mata'!AZ9,IF('Apostas - Mata-Mata'!BA10="X",'Apostas - Mata-Mata'!BA9,"")))&gt;0,8,0)))</f>
        <v>-</v>
      </c>
      <c r="AB6" s="106" t="str">
        <f>IF(AND('Apostas - Mata-Mata'!BB10&lt;&gt;"X",'Apostas - Mata-Mata'!BC10&lt;&gt;"X"),"-",IF(NOT(COUNTA('Mata-Mata - Jogos'!$J$28:$J$31)&gt;0),"-",IF(COUNTIF('Mata-Mata - Jogos'!$J$28:$J$31,IF('Apostas - Mata-Mata'!BB10="X",'Apostas - Mata-Mata'!BB9,IF('Apostas - Mata-Mata'!BC10="X",'Apostas - Mata-Mata'!BC9,"")))&gt;0,8,0)))</f>
        <v>-</v>
      </c>
      <c r="AC6" s="106" t="str">
        <f>IF(AND('Apostas - Mata-Mata'!BD10&lt;&gt;"X",'Apostas - Mata-Mata'!BE10&lt;&gt;"X"),"-",IF(NOT(COUNTA('Mata-Mata - Jogos'!$J$28:$J$31)&gt;0),"-",IF(COUNTIF('Mata-Mata - Jogos'!$J$28:$J$31,IF('Apostas - Mata-Mata'!BD10="X",'Apostas - Mata-Mata'!BD9,IF('Apostas - Mata-Mata'!BE10="X",'Apostas - Mata-Mata'!BE9,"")))&gt;0,8,0)))</f>
        <v>-</v>
      </c>
      <c r="AD6" s="106" t="str">
        <f>IF(AND('Apostas - Mata-Mata'!BF10&lt;&gt;"X",'Apostas - Mata-Mata'!BG10&lt;&gt;"X"),"-",IF(NOT(COUNTA('Mata-Mata - Jogos'!$J$32:$J$33)&gt;0),"-",IF(COUNTIF('Mata-Mata - Jogos'!$J$32:$J$33,IF('Apostas - Mata-Mata'!BF10="X",'Apostas - Mata-Mata'!BF9,IF('Apostas - Mata-Mata'!BG10="X",'Apostas - Mata-Mata'!BG9,"")))&gt;0,12,0)))</f>
        <v>-</v>
      </c>
      <c r="AE6" s="106" t="str">
        <f>IF(AND('Apostas - Mata-Mata'!BH10&lt;&gt;"X",'Apostas - Mata-Mata'!BI10&lt;&gt;"X"),"-",IF(NOT(COUNTA('Mata-Mata - Jogos'!$J$32:$J$33)&gt;0),"-",IF(COUNTIF('Mata-Mata - Jogos'!$J$32:$J$33,IF('Apostas - Mata-Mata'!BH10="X",'Apostas - Mata-Mata'!BH9,IF('Apostas - Mata-Mata'!BI10="X",'Apostas - Mata-Mata'!BI9,"")))&gt;0,12,0)))</f>
        <v>-</v>
      </c>
      <c r="AF6" s="106" t="str">
        <f>IF(AND('Apostas - Mata-Mata'!BJ10&lt;&gt;"X",'Apostas - Mata-Mata'!BK10&lt;&gt;"X"),"-",IF(NOT(COUNTA('Mata-Mata - Jogos'!$J$34:$J$34)&gt;0),"-",IF(COUNTIF('Mata-Mata - Jogos'!$J$34:$J$34,IF('Apostas - Mata-Mata'!BJ10="X",'Apostas - Mata-Mata'!BJ9,IF('Apostas - Mata-Mata'!BK10="X",'Apostas - Mata-Mata'!BK9,"")))&gt;0,10,0)))</f>
        <v>-</v>
      </c>
      <c r="AG6" s="106" t="str">
        <f>IF(AND('Apostas - Mata-Mata'!BL10&lt;&gt;"X",'Apostas - Mata-Mata'!BM10&lt;&gt;"X"),"-",IF(NOT(COUNTA('Mata-Mata - Jogos'!$J$35:$J$35)&gt;0),"-",IF(COUNTIF('Mata-Mata - Jogos'!$J$35:$J$35,IF('Apostas - Mata-Mata'!BL10="X",'Apostas - Mata-Mata'!BL9,IF('Apostas - Mata-Mata'!BM10="X",'Apostas - Mata-Mata'!BM9,"")))&gt;0,25,0)))</f>
        <v>-</v>
      </c>
      <c r="AH6" s="107">
        <f t="shared" si="0"/>
        <v>0</v>
      </c>
    </row>
    <row r="7" spans="1:34" ht="15.6">
      <c r="A7" s="82" t="s">
        <v>264</v>
      </c>
      <c r="B7" s="108" t="str">
        <f>IF(AND('Apostas - Mata-Mata'!B12&lt;&gt;"X",'Apostas - Mata-Mata'!C12&lt;&gt;"X"),"-",IF(NOT(COUNTA('Mata-Mata - Jogos'!$J$4:$J$19)&gt;0),"-",IF(COUNTIF('Mata-Mata - Jogos'!$J$4:$J$19,IF('Apostas - Mata-Mata'!B12="X",'Apostas - Mata-Mata'!B11,IF('Apostas - Mata-Mata'!C12="X",'Apostas - Mata-Mata'!C11,"")))&gt;0,3,0)))</f>
        <v>-</v>
      </c>
      <c r="C7" s="108" t="str">
        <f>IF(AND('Apostas - Mata-Mata'!D12&lt;&gt;"X",'Apostas - Mata-Mata'!E12&lt;&gt;"X"),"-",IF(NOT(COUNTA('Mata-Mata - Jogos'!$J$4:$J$19)&gt;0),"-",IF(COUNTIF('Mata-Mata - Jogos'!$J$4:$J$19,IF('Apostas - Mata-Mata'!D12="X",'Apostas - Mata-Mata'!D11,IF('Apostas - Mata-Mata'!E12="X",'Apostas - Mata-Mata'!E11,"")))&gt;0,3,0)))</f>
        <v>-</v>
      </c>
      <c r="D7" s="108" t="str">
        <f>IF(AND('Apostas - Mata-Mata'!F12&lt;&gt;"X",'Apostas - Mata-Mata'!G12&lt;&gt;"X"),"-",IF(NOT(COUNTA('Mata-Mata - Jogos'!$J$4:$J$19)&gt;0),"-",IF(COUNTIF('Mata-Mata - Jogos'!$J$4:$J$19,IF('Apostas - Mata-Mata'!F12="X",'Apostas - Mata-Mata'!F11,IF('Apostas - Mata-Mata'!G12="X",'Apostas - Mata-Mata'!G11,"")))&gt;0,3,0)))</f>
        <v>-</v>
      </c>
      <c r="E7" s="108" t="str">
        <f>IF(AND('Apostas - Mata-Mata'!H12&lt;&gt;"X",'Apostas - Mata-Mata'!I12&lt;&gt;"X"),"-",IF(NOT(COUNTA('Mata-Mata - Jogos'!$J$4:$J$19)&gt;0),"-",IF(COUNTIF('Mata-Mata - Jogos'!$J$4:$J$19,IF('Apostas - Mata-Mata'!H12="X",'Apostas - Mata-Mata'!H11,IF('Apostas - Mata-Mata'!I12="X",'Apostas - Mata-Mata'!I11,"")))&gt;0,3,0)))</f>
        <v>-</v>
      </c>
      <c r="F7" s="108" t="str">
        <f>IF(AND('Apostas - Mata-Mata'!J12&lt;&gt;"X",'Apostas - Mata-Mata'!K12&lt;&gt;"X"),"-",IF(NOT(COUNTA('Mata-Mata - Jogos'!$J$4:$J$19)&gt;0),"-",IF(COUNTIF('Mata-Mata - Jogos'!$J$4:$J$19,IF('Apostas - Mata-Mata'!J12="X",'Apostas - Mata-Mata'!J11,IF('Apostas - Mata-Mata'!K12="X",'Apostas - Mata-Mata'!K11,"")))&gt;0,3,0)))</f>
        <v>-</v>
      </c>
      <c r="G7" s="108" t="str">
        <f>IF(AND('Apostas - Mata-Mata'!L12&lt;&gt;"X",'Apostas - Mata-Mata'!M12&lt;&gt;"X"),"-",IF(NOT(COUNTA('Mata-Mata - Jogos'!$J$4:$J$19)&gt;0),"-",IF(COUNTIF('Mata-Mata - Jogos'!$J$4:$J$19,IF('Apostas - Mata-Mata'!L12="X",'Apostas - Mata-Mata'!L11,IF('Apostas - Mata-Mata'!M12="X",'Apostas - Mata-Mata'!M11,"")))&gt;0,3,0)))</f>
        <v>-</v>
      </c>
      <c r="H7" s="108" t="str">
        <f>IF(AND('Apostas - Mata-Mata'!N12&lt;&gt;"X",'Apostas - Mata-Mata'!O12&lt;&gt;"X"),"-",IF(NOT(COUNTA('Mata-Mata - Jogos'!$J$4:$J$19)&gt;0),"-",IF(COUNTIF('Mata-Mata - Jogos'!$J$4:$J$19,IF('Apostas - Mata-Mata'!N12="X",'Apostas - Mata-Mata'!N11,IF('Apostas - Mata-Mata'!O12="X",'Apostas - Mata-Mata'!O11,"")))&gt;0,3,0)))</f>
        <v>-</v>
      </c>
      <c r="I7" s="108" t="str">
        <f>IF(AND('Apostas - Mata-Mata'!P12&lt;&gt;"X",'Apostas - Mata-Mata'!Q12&lt;&gt;"X"),"-",IF(NOT(COUNTA('Mata-Mata - Jogos'!$J$4:$J$19)&gt;0),"-",IF(COUNTIF('Mata-Mata - Jogos'!$J$4:$J$19,IF('Apostas - Mata-Mata'!P12="X",'Apostas - Mata-Mata'!P11,IF('Apostas - Mata-Mata'!Q12="X",'Apostas - Mata-Mata'!Q11,"")))&gt;0,3,0)))</f>
        <v>-</v>
      </c>
      <c r="J7" s="108" t="str">
        <f>IF(AND('Apostas - Mata-Mata'!R12&lt;&gt;"X",'Apostas - Mata-Mata'!S12&lt;&gt;"X"),"-",IF(NOT(COUNTA('Mata-Mata - Jogos'!$J$4:$J$19)&gt;0),"-",IF(COUNTIF('Mata-Mata - Jogos'!$J$4:$J$19,IF('Apostas - Mata-Mata'!R12="X",'Apostas - Mata-Mata'!R11,IF('Apostas - Mata-Mata'!S12="X",'Apostas - Mata-Mata'!S11,"")))&gt;0,3,0)))</f>
        <v>-</v>
      </c>
      <c r="K7" s="108" t="str">
        <f>IF(AND('Apostas - Mata-Mata'!T12&lt;&gt;"X",'Apostas - Mata-Mata'!U12&lt;&gt;"X"),"-",IF(NOT(COUNTA('Mata-Mata - Jogos'!$J$4:$J$19)&gt;0),"-",IF(COUNTIF('Mata-Mata - Jogos'!$J$4:$J$19,IF('Apostas - Mata-Mata'!T12="X",'Apostas - Mata-Mata'!T11,IF('Apostas - Mata-Mata'!U12="X",'Apostas - Mata-Mata'!U11,"")))&gt;0,3,0)))</f>
        <v>-</v>
      </c>
      <c r="L7" s="108" t="str">
        <f>IF(AND('Apostas - Mata-Mata'!V12&lt;&gt;"X",'Apostas - Mata-Mata'!W12&lt;&gt;"X"),"-",IF(NOT(COUNTA('Mata-Mata - Jogos'!$J$4:$J$19)&gt;0),"-",IF(COUNTIF('Mata-Mata - Jogos'!$J$4:$J$19,IF('Apostas - Mata-Mata'!V12="X",'Apostas - Mata-Mata'!V11,IF('Apostas - Mata-Mata'!W12="X",'Apostas - Mata-Mata'!W11,"")))&gt;0,3,0)))</f>
        <v>-</v>
      </c>
      <c r="M7" s="108" t="str">
        <f>IF(AND('Apostas - Mata-Mata'!X12&lt;&gt;"X",'Apostas - Mata-Mata'!Y12&lt;&gt;"X"),"-",IF(NOT(COUNTA('Mata-Mata - Jogos'!$J$4:$J$19)&gt;0),"-",IF(COUNTIF('Mata-Mata - Jogos'!$J$4:$J$19,IF('Apostas - Mata-Mata'!X12="X",'Apostas - Mata-Mata'!X11,IF('Apostas - Mata-Mata'!Y12="X",'Apostas - Mata-Mata'!Y11,"")))&gt;0,3,0)))</f>
        <v>-</v>
      </c>
      <c r="N7" s="108" t="str">
        <f>IF(AND('Apostas - Mata-Mata'!Z12&lt;&gt;"X",'Apostas - Mata-Mata'!AA12&lt;&gt;"X"),"-",IF(NOT(COUNTA('Mata-Mata - Jogos'!$J$4:$J$19)&gt;0),"-",IF(COUNTIF('Mata-Mata - Jogos'!$J$4:$J$19,IF('Apostas - Mata-Mata'!Z12="X",'Apostas - Mata-Mata'!Z11,IF('Apostas - Mata-Mata'!AA12="X",'Apostas - Mata-Mata'!AA11,"")))&gt;0,3,0)))</f>
        <v>-</v>
      </c>
      <c r="O7" s="108" t="str">
        <f>IF(AND('Apostas - Mata-Mata'!AB12&lt;&gt;"X",'Apostas - Mata-Mata'!AC12&lt;&gt;"X"),"-",IF(NOT(COUNTA('Mata-Mata - Jogos'!$J$4:$J$19)&gt;0),"-",IF(COUNTIF('Mata-Mata - Jogos'!$J$4:$J$19,IF('Apostas - Mata-Mata'!AB12="X",'Apostas - Mata-Mata'!AB11,IF('Apostas - Mata-Mata'!AC12="X",'Apostas - Mata-Mata'!AC11,"")))&gt;0,3,0)))</f>
        <v>-</v>
      </c>
      <c r="P7" s="108" t="str">
        <f>IF(AND('Apostas - Mata-Mata'!AD12&lt;&gt;"X",'Apostas - Mata-Mata'!AE12&lt;&gt;"X"),"-",IF(NOT(COUNTA('Mata-Mata - Jogos'!$J$4:$J$19)&gt;0),"-",IF(COUNTIF('Mata-Mata - Jogos'!$J$4:$J$19,IF('Apostas - Mata-Mata'!AD12="X",'Apostas - Mata-Mata'!AD11,IF('Apostas - Mata-Mata'!AE12="X",'Apostas - Mata-Mata'!AE11,"")))&gt;0,3,0)))</f>
        <v>-</v>
      </c>
      <c r="Q7" s="108" t="str">
        <f>IF(AND('Apostas - Mata-Mata'!AF12&lt;&gt;"X",'Apostas - Mata-Mata'!AG12&lt;&gt;"X"),"-",IF(NOT(COUNTA('Mata-Mata - Jogos'!$J$4:$J$19)&gt;0),"-",IF(COUNTIF('Mata-Mata - Jogos'!$J$4:$J$19,IF('Apostas - Mata-Mata'!AF12="X",'Apostas - Mata-Mata'!AF11,IF('Apostas - Mata-Mata'!AG12="X",'Apostas - Mata-Mata'!AG11,"")))&gt;0,3,0)))</f>
        <v>-</v>
      </c>
      <c r="R7" s="108" t="str">
        <f>IF(AND('Apostas - Mata-Mata'!AH12&lt;&gt;"X",'Apostas - Mata-Mata'!AI12&lt;&gt;"X"),"-",IF(NOT(COUNTA('Mata-Mata - Jogos'!$J$20:$J$27)&gt;0),"-",IF(COUNTIF('Mata-Mata - Jogos'!$J$20:$J$27,IF('Apostas - Mata-Mata'!AH12="X",'Apostas - Mata-Mata'!AH11,IF('Apostas - Mata-Mata'!AI12="X",'Apostas - Mata-Mata'!AI11,"")))&gt;0,5,0)))</f>
        <v>-</v>
      </c>
      <c r="S7" s="108" t="str">
        <f>IF(AND('Apostas - Mata-Mata'!AJ12&lt;&gt;"X",'Apostas - Mata-Mata'!AK12&lt;&gt;"X"),"-",IF(NOT(COUNTA('Mata-Mata - Jogos'!$J$20:$J$27)&gt;0),"-",IF(COUNTIF('Mata-Mata - Jogos'!$J$20:$J$27,IF('Apostas - Mata-Mata'!AJ12="X",'Apostas - Mata-Mata'!AJ11,IF('Apostas - Mata-Mata'!AK12="X",'Apostas - Mata-Mata'!AK11,"")))&gt;0,5,0)))</f>
        <v>-</v>
      </c>
      <c r="T7" s="108" t="str">
        <f>IF(AND('Apostas - Mata-Mata'!AL12&lt;&gt;"X",'Apostas - Mata-Mata'!AM12&lt;&gt;"X"),"-",IF(NOT(COUNTA('Mata-Mata - Jogos'!$J$20:$J$27)&gt;0),"-",IF(COUNTIF('Mata-Mata - Jogos'!$J$20:$J$27,IF('Apostas - Mata-Mata'!AL12="X",'Apostas - Mata-Mata'!AL11,IF('Apostas - Mata-Mata'!AM12="X",'Apostas - Mata-Mata'!AM11,"")))&gt;0,5,0)))</f>
        <v>-</v>
      </c>
      <c r="U7" s="108" t="str">
        <f>IF(AND('Apostas - Mata-Mata'!AN12&lt;&gt;"X",'Apostas - Mata-Mata'!AO12&lt;&gt;"X"),"-",IF(NOT(COUNTA('Mata-Mata - Jogos'!$J$20:$J$27)&gt;0),"-",IF(COUNTIF('Mata-Mata - Jogos'!$J$20:$J$27,IF('Apostas - Mata-Mata'!AN12="X",'Apostas - Mata-Mata'!AN11,IF('Apostas - Mata-Mata'!AO12="X",'Apostas - Mata-Mata'!AO11,"")))&gt;0,5,0)))</f>
        <v>-</v>
      </c>
      <c r="V7" s="108" t="str">
        <f>IF(AND('Apostas - Mata-Mata'!AP12&lt;&gt;"X",'Apostas - Mata-Mata'!AQ12&lt;&gt;"X"),"-",IF(NOT(COUNTA('Mata-Mata - Jogos'!$J$20:$J$27)&gt;0),"-",IF(COUNTIF('Mata-Mata - Jogos'!$J$20:$J$27,IF('Apostas - Mata-Mata'!AP12="X",'Apostas - Mata-Mata'!AP11,IF('Apostas - Mata-Mata'!AQ12="X",'Apostas - Mata-Mata'!AQ11,"")))&gt;0,5,0)))</f>
        <v>-</v>
      </c>
      <c r="W7" s="108" t="str">
        <f>IF(AND('Apostas - Mata-Mata'!AR12&lt;&gt;"X",'Apostas - Mata-Mata'!AS12&lt;&gt;"X"),"-",IF(NOT(COUNTA('Mata-Mata - Jogos'!$J$20:$J$27)&gt;0),"-",IF(COUNTIF('Mata-Mata - Jogos'!$J$20:$J$27,IF('Apostas - Mata-Mata'!AR12="X",'Apostas - Mata-Mata'!AR11,IF('Apostas - Mata-Mata'!AS12="X",'Apostas - Mata-Mata'!AS11,"")))&gt;0,5,0)))</f>
        <v>-</v>
      </c>
      <c r="X7" s="108" t="str">
        <f>IF(AND('Apostas - Mata-Mata'!AT12&lt;&gt;"X",'Apostas - Mata-Mata'!AU12&lt;&gt;"X"),"-",IF(NOT(COUNTA('Mata-Mata - Jogos'!$J$20:$J$27)&gt;0),"-",IF(COUNTIF('Mata-Mata - Jogos'!$J$20:$J$27,IF('Apostas - Mata-Mata'!AT12="X",'Apostas - Mata-Mata'!AT11,IF('Apostas - Mata-Mata'!AU12="X",'Apostas - Mata-Mata'!AU11,"")))&gt;0,5,0)))</f>
        <v>-</v>
      </c>
      <c r="Y7" s="108" t="str">
        <f>IF(AND('Apostas - Mata-Mata'!AV12&lt;&gt;"X",'Apostas - Mata-Mata'!AW12&lt;&gt;"X"),"-",IF(NOT(COUNTA('Mata-Mata - Jogos'!$J$20:$J$27)&gt;0),"-",IF(COUNTIF('Mata-Mata - Jogos'!$J$20:$J$27,IF('Apostas - Mata-Mata'!AV12="X",'Apostas - Mata-Mata'!AV11,IF('Apostas - Mata-Mata'!AW12="X",'Apostas - Mata-Mata'!AW11,"")))&gt;0,5,0)))</f>
        <v>-</v>
      </c>
      <c r="Z7" s="108" t="str">
        <f>IF(AND('Apostas - Mata-Mata'!AX12&lt;&gt;"X",'Apostas - Mata-Mata'!AY12&lt;&gt;"X"),"-",IF(NOT(COUNTA('Mata-Mata - Jogos'!$J$28:$J$31)&gt;0),"-",IF(COUNTIF('Mata-Mata - Jogos'!$J$28:$J$31,IF('Apostas - Mata-Mata'!AX12="X",'Apostas - Mata-Mata'!AX11,IF('Apostas - Mata-Mata'!AY12="X",'Apostas - Mata-Mata'!AY11,"")))&gt;0,8,0)))</f>
        <v>-</v>
      </c>
      <c r="AA7" s="108" t="str">
        <f>IF(AND('Apostas - Mata-Mata'!AZ12&lt;&gt;"X",'Apostas - Mata-Mata'!BA12&lt;&gt;"X"),"-",IF(NOT(COUNTA('Mata-Mata - Jogos'!$J$28:$J$31)&gt;0),"-",IF(COUNTIF('Mata-Mata - Jogos'!$J$28:$J$31,IF('Apostas - Mata-Mata'!AZ12="X",'Apostas - Mata-Mata'!AZ11,IF('Apostas - Mata-Mata'!BA12="X",'Apostas - Mata-Mata'!BA11,"")))&gt;0,8,0)))</f>
        <v>-</v>
      </c>
      <c r="AB7" s="108" t="str">
        <f>IF(AND('Apostas - Mata-Mata'!BB12&lt;&gt;"X",'Apostas - Mata-Mata'!BC12&lt;&gt;"X"),"-",IF(NOT(COUNTA('Mata-Mata - Jogos'!$J$28:$J$31)&gt;0),"-",IF(COUNTIF('Mata-Mata - Jogos'!$J$28:$J$31,IF('Apostas - Mata-Mata'!BB12="X",'Apostas - Mata-Mata'!BB11,IF('Apostas - Mata-Mata'!BC12="X",'Apostas - Mata-Mata'!BC11,"")))&gt;0,8,0)))</f>
        <v>-</v>
      </c>
      <c r="AC7" s="108" t="str">
        <f>IF(AND('Apostas - Mata-Mata'!BD12&lt;&gt;"X",'Apostas - Mata-Mata'!BE12&lt;&gt;"X"),"-",IF(NOT(COUNTA('Mata-Mata - Jogos'!$J$28:$J$31)&gt;0),"-",IF(COUNTIF('Mata-Mata - Jogos'!$J$28:$J$31,IF('Apostas - Mata-Mata'!BD12="X",'Apostas - Mata-Mata'!BD11,IF('Apostas - Mata-Mata'!BE12="X",'Apostas - Mata-Mata'!BE11,"")))&gt;0,8,0)))</f>
        <v>-</v>
      </c>
      <c r="AD7" s="108" t="str">
        <f>IF(AND('Apostas - Mata-Mata'!BF12&lt;&gt;"X",'Apostas - Mata-Mata'!BG12&lt;&gt;"X"),"-",IF(NOT(COUNTA('Mata-Mata - Jogos'!$J$32:$J$33)&gt;0),"-",IF(COUNTIF('Mata-Mata - Jogos'!$J$32:$J$33,IF('Apostas - Mata-Mata'!BF12="X",'Apostas - Mata-Mata'!BF11,IF('Apostas - Mata-Mata'!BG12="X",'Apostas - Mata-Mata'!BG11,"")))&gt;0,12,0)))</f>
        <v>-</v>
      </c>
      <c r="AE7" s="108" t="str">
        <f>IF(AND('Apostas - Mata-Mata'!BH12&lt;&gt;"X",'Apostas - Mata-Mata'!BI12&lt;&gt;"X"),"-",IF(NOT(COUNTA('Mata-Mata - Jogos'!$J$32:$J$33)&gt;0),"-",IF(COUNTIF('Mata-Mata - Jogos'!$J$32:$J$33,IF('Apostas - Mata-Mata'!BH12="X",'Apostas - Mata-Mata'!BH11,IF('Apostas - Mata-Mata'!BI12="X",'Apostas - Mata-Mata'!BI11,"")))&gt;0,12,0)))</f>
        <v>-</v>
      </c>
      <c r="AF7" s="108" t="str">
        <f>IF(AND('Apostas - Mata-Mata'!BJ12&lt;&gt;"X",'Apostas - Mata-Mata'!BK12&lt;&gt;"X"),"-",IF(NOT(COUNTA('Mata-Mata - Jogos'!$J$34:$J$34)&gt;0),"-",IF(COUNTIF('Mata-Mata - Jogos'!$J$34:$J$34,IF('Apostas - Mata-Mata'!BJ12="X",'Apostas - Mata-Mata'!BJ11,IF('Apostas - Mata-Mata'!BK12="X",'Apostas - Mata-Mata'!BK11,"")))&gt;0,10,0)))</f>
        <v>-</v>
      </c>
      <c r="AG7" s="108" t="str">
        <f>IF(AND('Apostas - Mata-Mata'!BL12&lt;&gt;"X",'Apostas - Mata-Mata'!BM12&lt;&gt;"X"),"-",IF(NOT(COUNTA('Mata-Mata - Jogos'!$J$35:$J$35)&gt;0),"-",IF(COUNTIF('Mata-Mata - Jogos'!$J$35:$J$35,IF('Apostas - Mata-Mata'!BL12="X",'Apostas - Mata-Mata'!BL11,IF('Apostas - Mata-Mata'!BM12="X",'Apostas - Mata-Mata'!BM11,"")))&gt;0,25,0)))</f>
        <v>-</v>
      </c>
      <c r="AH7" s="107">
        <f t="shared" si="0"/>
        <v>0</v>
      </c>
    </row>
  </sheetData>
  <mergeCells count="2">
    <mergeCell ref="A2:AH2"/>
    <mergeCell ref="A1:AH1"/>
  </mergeCells>
  <conditionalFormatting sqref="B4:AG7">
    <cfRule type="cellIs" dxfId="6" priority="1" operator="equal">
      <formula>25</formula>
    </cfRule>
    <cfRule type="cellIs" dxfId="5" priority="2" operator="equal">
      <formula>12</formula>
    </cfRule>
    <cfRule type="cellIs" dxfId="4" priority="3" operator="equal">
      <formula>10</formula>
    </cfRule>
    <cfRule type="cellIs" dxfId="3" priority="4" operator="equal">
      <formula>8</formula>
    </cfRule>
    <cfRule type="cellIs" dxfId="2" priority="5" operator="equal">
      <formula>5</formula>
    </cfRule>
    <cfRule type="cellIs" dxfId="1" priority="6" operator="equal">
      <formula>3</formula>
    </cfRule>
    <cfRule type="cellIs" dxfId="0" priority="7" operator="equal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897B"/>
  </sheetPr>
  <dimension ref="A1:D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5" sqref="D5"/>
    </sheetView>
  </sheetViews>
  <sheetFormatPr defaultRowHeight="14.4"/>
  <cols>
    <col min="1" max="1" width="22" customWidth="1"/>
    <col min="2" max="4" width="16" customWidth="1"/>
  </cols>
  <sheetData>
    <row r="1" spans="1:4" ht="43.95" customHeight="1">
      <c r="A1" s="255" t="s">
        <v>1065</v>
      </c>
      <c r="B1" s="253"/>
      <c r="C1" s="253"/>
      <c r="D1" s="253"/>
    </row>
    <row r="2" spans="1:4" ht="28.2" customHeight="1">
      <c r="A2" s="83" t="s">
        <v>187</v>
      </c>
      <c r="B2" s="84" t="s">
        <v>1066</v>
      </c>
      <c r="C2" s="84" t="s">
        <v>1067</v>
      </c>
      <c r="D2" s="83" t="s">
        <v>1068</v>
      </c>
    </row>
    <row r="4" spans="1:4" ht="28.2" customHeight="1">
      <c r="A4" s="81" t="s">
        <v>261</v>
      </c>
      <c r="B4" s="217" t="str">
        <f>IFERROR(IF(AND('Apostas - Bonus'!B5&lt;&gt;"",'Apostas - Bonus'!B4&lt;&gt;""),IF('Apostas - Bonus'!B5='Apostas - Bonus'!B4,10,0),"-"),"-")</f>
        <v>-</v>
      </c>
      <c r="C4" s="217" t="str">
        <f>IFERROR(IF(AND('Apostas - Bonus'!C5&lt;&gt;"",'Apostas - Bonus'!C4&lt;&gt;""),IF('Apostas - Bonus'!C5='Apostas - Bonus'!C4,5,0),"-"),"-")</f>
        <v>-</v>
      </c>
      <c r="D4" s="218">
        <f>SUM(B4:C4)</f>
        <v>0</v>
      </c>
    </row>
    <row r="5" spans="1:4" ht="28.2" customHeight="1">
      <c r="A5" s="219" t="s">
        <v>262</v>
      </c>
      <c r="B5" s="220" t="str">
        <f>IFERROR(IF(AND('Apostas - Bonus'!B6&lt;&gt;"",'Apostas - Bonus'!B4&lt;&gt;""),IF('Apostas - Bonus'!B6='Apostas - Bonus'!B4,10,0),"-"),"-")</f>
        <v>-</v>
      </c>
      <c r="C5" s="220" t="str">
        <f>IFERROR(IF(AND('Apostas - Bonus'!C6&lt;&gt;"",'Apostas - Bonus'!C4&lt;&gt;""),IF('Apostas - Bonus'!C6='Apostas - Bonus'!C4,5,0),"-"),"-")</f>
        <v>-</v>
      </c>
      <c r="D5" s="218">
        <f t="shared" ref="D5:D7" si="0">SUM(B5:C5)</f>
        <v>0</v>
      </c>
    </row>
    <row r="6" spans="1:4" ht="28.2" customHeight="1">
      <c r="A6" s="221" t="s">
        <v>263</v>
      </c>
      <c r="B6" s="217" t="str">
        <f>IFERROR(IF(AND('Apostas - Bonus'!B7&lt;&gt;"",'Apostas - Bonus'!B4&lt;&gt;""),IF('Apostas - Bonus'!B7='Apostas - Bonus'!B4,10,0),"-"),"-")</f>
        <v>-</v>
      </c>
      <c r="C6" s="217" t="str">
        <f>IFERROR(IF(AND('Apostas - Bonus'!C7&lt;&gt;"",'Apostas - Bonus'!C4&lt;&gt;""),IF('Apostas - Bonus'!C7='Apostas - Bonus'!C4,5,0),"-"),"-")</f>
        <v>-</v>
      </c>
      <c r="D6" s="218">
        <f t="shared" si="0"/>
        <v>0</v>
      </c>
    </row>
    <row r="7" spans="1:4" ht="28.2" customHeight="1">
      <c r="A7" s="222" t="s">
        <v>264</v>
      </c>
      <c r="B7" s="220" t="str">
        <f>IFERROR(IF(AND('Apostas - Bonus'!B8&lt;&gt;"",'Apostas - Bonus'!B4&lt;&gt;""),IF('Apostas - Bonus'!B8='Apostas - Bonus'!B4,10,0),"-"),"-")</f>
        <v>-</v>
      </c>
      <c r="C7" s="220" t="str">
        <f>IFERROR(IF(AND('Apostas - Bonus'!C8&lt;&gt;"",'Apostas - Bonus'!C4&lt;&gt;""),IF('Apostas - Bonus'!C8='Apostas - Bonus'!C4,5,0),"-"),"-")</f>
        <v>-</v>
      </c>
      <c r="D7" s="218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AA520"/>
  </sheetPr>
  <dimension ref="A1:P7"/>
  <sheetViews>
    <sheetView showGridLines="0" workbookViewId="0">
      <pane ySplit="3" topLeftCell="A4" activePane="bottomLeft" state="frozen"/>
      <selection pane="bottomLeft" activeCell="E4" sqref="E4"/>
    </sheetView>
  </sheetViews>
  <sheetFormatPr defaultRowHeight="14.4"/>
  <cols>
    <col min="1" max="1" width="8" customWidth="1"/>
    <col min="2" max="2" width="26" customWidth="1"/>
    <col min="3" max="3" width="14" customWidth="1"/>
    <col min="4" max="6" width="12" customWidth="1"/>
    <col min="7" max="7" width="14" customWidth="1"/>
  </cols>
  <sheetData>
    <row r="1" spans="1:16" ht="43.95" customHeight="1">
      <c r="A1" s="283" t="s">
        <v>1069</v>
      </c>
      <c r="B1" s="253"/>
      <c r="C1" s="253"/>
      <c r="D1" s="253"/>
      <c r="E1" s="253"/>
      <c r="F1" s="253"/>
      <c r="G1" s="253"/>
    </row>
    <row r="2" spans="1:16" ht="22.2" customHeight="1">
      <c r="A2" s="282" t="s">
        <v>1070</v>
      </c>
      <c r="B2" s="253"/>
      <c r="C2" s="253"/>
      <c r="D2" s="253"/>
      <c r="E2" s="253"/>
      <c r="F2" s="253"/>
      <c r="G2" s="253"/>
    </row>
    <row r="3" spans="1:16" ht="30" customHeight="1">
      <c r="A3" s="84" t="s">
        <v>1071</v>
      </c>
      <c r="B3" s="84" t="s">
        <v>187</v>
      </c>
      <c r="C3" s="84" t="s">
        <v>1072</v>
      </c>
      <c r="D3" s="84" t="s">
        <v>1073</v>
      </c>
      <c r="E3" s="84" t="s">
        <v>1074</v>
      </c>
      <c r="F3" s="84" t="s">
        <v>1075</v>
      </c>
      <c r="G3" s="84" t="s">
        <v>1076</v>
      </c>
    </row>
    <row r="4" spans="1:16" ht="34.200000000000003" customHeight="1">
      <c r="A4" s="223" t="s">
        <v>427</v>
      </c>
      <c r="B4" s="224" t="str">
        <f>IFERROR(INDEX($I$4:$I$7,MATCH(1,$P$4:$P$7,0)),"—")</f>
        <v>Pedro Brandao</v>
      </c>
      <c r="C4" s="223">
        <f>IFERROR(INDEX($M$4:$M$7,MATCH(1,$P$4:$P$7,0)),0)</f>
        <v>0</v>
      </c>
      <c r="D4" s="225">
        <f>IFERROR(INDEX($J$4:$J$7,MATCH(1,$P$4:$P$7,0)),0)</f>
        <v>0</v>
      </c>
      <c r="E4" s="225">
        <f>IFERROR(INDEX($K$4:$K$7,MATCH(1,$P$4:$P$7,0)),0)</f>
        <v>0</v>
      </c>
      <c r="F4" s="225">
        <f>IFERROR(INDEX($L$4:$L$7,MATCH(1,$P$4:$P$7,0)),0)</f>
        <v>0</v>
      </c>
      <c r="G4" s="225">
        <f>IFERROR(INDEX($N$4:$N$7,MATCH(1,$P$4:$P$7,0)),0)</f>
        <v>0</v>
      </c>
      <c r="I4" s="226" t="s">
        <v>261</v>
      </c>
      <c r="J4" s="226">
        <f>'Pontuacao - Grupos'!BV5</f>
        <v>0</v>
      </c>
      <c r="K4" s="226">
        <f>'Pontuacao - Mata-Mata'!AH4</f>
        <v>0</v>
      </c>
      <c r="L4" s="226">
        <f>'Pontuacao - Bonus'!D4</f>
        <v>0</v>
      </c>
      <c r="M4" s="150">
        <f>J4+K4+L4</f>
        <v>0</v>
      </c>
      <c r="N4" s="226">
        <f>COUNTIF('Pontuacao - Grupos'!B5:BU5,5)</f>
        <v>0</v>
      </c>
      <c r="O4" s="227">
        <f>M4+K4/1000+N4/1000000+J4/1000000000</f>
        <v>0</v>
      </c>
      <c r="P4" s="150">
        <f>RANK(O4,$O$4:$O$7,0)+COUNTIF($O$4:O4,O4)-1</f>
        <v>1</v>
      </c>
    </row>
    <row r="5" spans="1:16" ht="34.200000000000003" customHeight="1">
      <c r="A5" s="228" t="s">
        <v>428</v>
      </c>
      <c r="B5" s="229" t="str">
        <f>IFERROR(INDEX($I$4:$I$7,MATCH(2,$P$4:$P$7,0)),"—")</f>
        <v>Joao Mello</v>
      </c>
      <c r="C5" s="228">
        <f>IFERROR(INDEX($M$4:$M$7,MATCH(2,$P$4:$P$7,0)),0)</f>
        <v>0</v>
      </c>
      <c r="D5" s="230">
        <f>IFERROR(INDEX($J$4:$J$7,MATCH(2,$P$4:$P$7,0)),0)</f>
        <v>0</v>
      </c>
      <c r="E5" s="230">
        <f>IFERROR(INDEX($K$4:$K$7,MATCH(2,$P$4:$P$7,0)),0)</f>
        <v>0</v>
      </c>
      <c r="F5" s="230">
        <f>IFERROR(INDEX($L$4:$L$7,MATCH(2,$P$4:$P$7,0)),0)</f>
        <v>0</v>
      </c>
      <c r="G5" s="230">
        <f>IFERROR(INDEX($N$4:$N$7,MATCH(2,$P$4:$P$7,0)),0)</f>
        <v>0</v>
      </c>
      <c r="I5" s="226" t="s">
        <v>262</v>
      </c>
      <c r="J5" s="226">
        <f>'Pontuacao - Grupos'!BV6</f>
        <v>0</v>
      </c>
      <c r="K5" s="226">
        <f>'Pontuacao - Mata-Mata'!AH5</f>
        <v>0</v>
      </c>
      <c r="L5" s="226">
        <f>'Pontuacao - Bonus'!D5</f>
        <v>0</v>
      </c>
      <c r="M5" s="150">
        <f>J5+K5+L5</f>
        <v>0</v>
      </c>
      <c r="N5" s="226">
        <f>COUNTIF('Pontuacao - Grupos'!B6:BU6,5)</f>
        <v>0</v>
      </c>
      <c r="O5" s="227">
        <f>M5+K5/1000+N5/1000000+J5/1000000000</f>
        <v>0</v>
      </c>
      <c r="P5" s="150">
        <f>RANK(O5,$O$4:$O$7,0)+COUNTIF($O$4:O5,O5)-1</f>
        <v>2</v>
      </c>
    </row>
    <row r="6" spans="1:16" ht="34.200000000000003" customHeight="1">
      <c r="A6" s="231" t="s">
        <v>429</v>
      </c>
      <c r="B6" s="232" t="str">
        <f>IFERROR(INDEX($I$4:$I$7,MATCH(3,$P$4:$P$7,0)),"—")</f>
        <v>Victor Bethlem</v>
      </c>
      <c r="C6" s="231">
        <f>IFERROR(INDEX($M$4:$M$7,MATCH(3,$P$4:$P$7,0)),0)</f>
        <v>0</v>
      </c>
      <c r="D6" s="233">
        <f>IFERROR(INDEX($J$4:$J$7,MATCH(3,$P$4:$P$7,0)),0)</f>
        <v>0</v>
      </c>
      <c r="E6" s="233">
        <f>IFERROR(INDEX($K$4:$K$7,MATCH(3,$P$4:$P$7,0)),0)</f>
        <v>0</v>
      </c>
      <c r="F6" s="233">
        <f>IFERROR(INDEX($L$4:$L$7,MATCH(3,$P$4:$P$7,0)),0)</f>
        <v>0</v>
      </c>
      <c r="G6" s="233">
        <f>IFERROR(INDEX($N$4:$N$7,MATCH(3,$P$4:$P$7,0)),0)</f>
        <v>0</v>
      </c>
      <c r="I6" s="226" t="s">
        <v>263</v>
      </c>
      <c r="J6" s="226">
        <f>'Pontuacao - Grupos'!BV7</f>
        <v>0</v>
      </c>
      <c r="K6" s="226">
        <f>'Pontuacao - Mata-Mata'!AH6</f>
        <v>0</v>
      </c>
      <c r="L6" s="226">
        <f>'Pontuacao - Bonus'!D6</f>
        <v>0</v>
      </c>
      <c r="M6" s="150">
        <f>J6+K6+L6</f>
        <v>0</v>
      </c>
      <c r="N6" s="226">
        <f>COUNTIF('Pontuacao - Grupos'!B7:BU7,5)</f>
        <v>0</v>
      </c>
      <c r="O6" s="227">
        <f>M6+K6/1000+N6/1000000+J6/1000000000</f>
        <v>0</v>
      </c>
      <c r="P6" s="150">
        <f>RANK(O6,$O$4:$O$7,0)+COUNTIF($O$4:O6,O6)-1</f>
        <v>3</v>
      </c>
    </row>
    <row r="7" spans="1:16" ht="34.200000000000003" customHeight="1">
      <c r="A7" s="234" t="s">
        <v>1077</v>
      </c>
      <c r="B7" s="235" t="str">
        <f>IFERROR(INDEX($I$4:$I$7,MATCH(4,$P$4:$P$7,0)),"—")</f>
        <v>Pedro Herdy</v>
      </c>
      <c r="C7" s="234">
        <f>IFERROR(INDEX($M$4:$M$7,MATCH(4,$P$4:$P$7,0)),0)</f>
        <v>0</v>
      </c>
      <c r="D7" s="220">
        <f>IFERROR(INDEX($J$4:$J$7,MATCH(4,$P$4:$P$7,0)),0)</f>
        <v>0</v>
      </c>
      <c r="E7" s="220">
        <f>IFERROR(INDEX($K$4:$K$7,MATCH(4,$P$4:$P$7,0)),0)</f>
        <v>0</v>
      </c>
      <c r="F7" s="220">
        <f>IFERROR(INDEX($L$4:$L$7,MATCH(4,$P$4:$P$7,0)),0)</f>
        <v>0</v>
      </c>
      <c r="G7" s="220">
        <f>IFERROR(INDEX($N$4:$N$7,MATCH(4,$P$4:$P$7,0)),0)</f>
        <v>0</v>
      </c>
      <c r="I7" s="226" t="s">
        <v>264</v>
      </c>
      <c r="J7" s="226">
        <f>'Pontuacao - Grupos'!BV8</f>
        <v>0</v>
      </c>
      <c r="K7" s="226">
        <f>'Pontuacao - Mata-Mata'!AH7</f>
        <v>0</v>
      </c>
      <c r="L7" s="226">
        <f>'Pontuacao - Bonus'!D7</f>
        <v>0</v>
      </c>
      <c r="M7" s="150">
        <f>J7+K7+L7</f>
        <v>0</v>
      </c>
      <c r="N7" s="226">
        <f>COUNTIF('Pontuacao - Grupos'!B8:BU8,5)</f>
        <v>0</v>
      </c>
      <c r="O7" s="227">
        <f>M7+K7/1000+N7/1000000+J7/1000000000</f>
        <v>0</v>
      </c>
      <c r="P7" s="150">
        <f>RANK(O7,$O$4:$O$7,0)+COUNTIF($O$4:O7,O7)-1</f>
        <v>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B59B6"/>
  </sheetPr>
  <dimension ref="A1:J12"/>
  <sheetViews>
    <sheetView showGridLines="0" workbookViewId="0">
      <selection sqref="A1:J1"/>
    </sheetView>
  </sheetViews>
  <sheetFormatPr defaultRowHeight="14.4"/>
  <cols>
    <col min="1" max="10" width="18" customWidth="1"/>
  </cols>
  <sheetData>
    <row r="1" spans="1:10" ht="43.95" customHeight="1">
      <c r="A1" s="283" t="s">
        <v>1078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19.95" customHeight="1">
      <c r="A2" s="261" t="s">
        <v>1079</v>
      </c>
      <c r="B2" s="253"/>
      <c r="C2" s="253"/>
      <c r="D2" s="253"/>
      <c r="E2" s="253"/>
      <c r="F2" s="253"/>
      <c r="G2" s="253"/>
      <c r="H2" s="253"/>
      <c r="I2" s="253"/>
      <c r="J2" s="253"/>
    </row>
    <row r="4" spans="1:10" ht="24" customHeight="1">
      <c r="A4" s="289" t="s">
        <v>1080</v>
      </c>
      <c r="B4" s="253"/>
      <c r="C4" s="289" t="s">
        <v>1081</v>
      </c>
      <c r="D4" s="253"/>
      <c r="E4" s="289" t="s">
        <v>1082</v>
      </c>
      <c r="F4" s="253"/>
      <c r="G4" s="289" t="s">
        <v>1083</v>
      </c>
      <c r="H4" s="253"/>
      <c r="I4" s="289" t="s">
        <v>1084</v>
      </c>
      <c r="J4" s="253"/>
    </row>
    <row r="5" spans="1:10" ht="42" customHeight="1">
      <c r="A5" s="285" t="str">
        <f>IFERROR(INDEX(Ranking!$I$4:$I$7,MATCH(1,Ranking!$P$4:$P$7,0)),"?")</f>
        <v>Pedro Brandao</v>
      </c>
      <c r="B5" s="253"/>
      <c r="C5" s="284">
        <f>IFERROR(MAX(Ranking!$M$4:$M$7),0)</f>
        <v>0</v>
      </c>
      <c r="D5" s="253"/>
      <c r="E5" s="287">
        <f>COUNTIF('Jogos - Grupos'!H3:H74,"Finalizado")</f>
        <v>2</v>
      </c>
      <c r="F5" s="253"/>
      <c r="G5" s="286">
        <f>COUNTIF('Mata-Mata - Jogos'!I4:I35,"Finalizado")</f>
        <v>0</v>
      </c>
      <c r="H5" s="253"/>
      <c r="I5" s="288" t="s">
        <v>1077</v>
      </c>
      <c r="J5" s="253"/>
    </row>
    <row r="7" spans="1:10" ht="10.199999999999999" customHeight="1"/>
    <row r="8" spans="1:10">
      <c r="A8" s="133" t="s">
        <v>1071</v>
      </c>
      <c r="B8" s="133" t="s">
        <v>187</v>
      </c>
      <c r="C8" s="133" t="s">
        <v>1085</v>
      </c>
      <c r="D8" s="133" t="s">
        <v>1086</v>
      </c>
      <c r="E8" s="133" t="s">
        <v>1087</v>
      </c>
      <c r="F8" s="133" t="s">
        <v>1088</v>
      </c>
      <c r="G8" s="133" t="s">
        <v>1089</v>
      </c>
    </row>
    <row r="9" spans="1:10" ht="28.2" customHeight="1">
      <c r="A9" s="236" t="str">
        <f>Ranking!A4</f>
        <v>1o</v>
      </c>
      <c r="B9" s="237" t="str">
        <f>Ranking!B4</f>
        <v>Pedro Brandao</v>
      </c>
      <c r="C9" s="238">
        <f>Ranking!C4</f>
        <v>0</v>
      </c>
      <c r="D9" s="238">
        <f>Ranking!D4</f>
        <v>0</v>
      </c>
      <c r="E9" s="238">
        <f>Ranking!E4</f>
        <v>0</v>
      </c>
      <c r="F9" s="238">
        <f>Ranking!F4</f>
        <v>0</v>
      </c>
      <c r="G9" s="238">
        <f>Ranking!G4</f>
        <v>0</v>
      </c>
    </row>
    <row r="10" spans="1:10" ht="28.2" customHeight="1">
      <c r="A10" s="239" t="str">
        <f>Ranking!A5</f>
        <v>2o</v>
      </c>
      <c r="B10" s="240" t="str">
        <f>Ranking!B5</f>
        <v>Joao Mello</v>
      </c>
      <c r="C10" s="241">
        <f>Ranking!C5</f>
        <v>0</v>
      </c>
      <c r="D10" s="241">
        <f>Ranking!D5</f>
        <v>0</v>
      </c>
      <c r="E10" s="241">
        <f>Ranking!E5</f>
        <v>0</v>
      </c>
      <c r="F10" s="241">
        <f>Ranking!F5</f>
        <v>0</v>
      </c>
      <c r="G10" s="241">
        <f>Ranking!G5</f>
        <v>0</v>
      </c>
    </row>
    <row r="11" spans="1:10" ht="28.2" customHeight="1">
      <c r="A11" s="242" t="str">
        <f>Ranking!A6</f>
        <v>3o</v>
      </c>
      <c r="B11" s="243" t="str">
        <f>Ranking!B6</f>
        <v>Victor Bethlem</v>
      </c>
      <c r="C11" s="244">
        <f>Ranking!C6</f>
        <v>0</v>
      </c>
      <c r="D11" s="244">
        <f>Ranking!D6</f>
        <v>0</v>
      </c>
      <c r="E11" s="244">
        <f>Ranking!E6</f>
        <v>0</v>
      </c>
      <c r="F11" s="244">
        <f>Ranking!F6</f>
        <v>0</v>
      </c>
      <c r="G11" s="244">
        <f>Ranking!G6</f>
        <v>0</v>
      </c>
    </row>
    <row r="12" spans="1:10" ht="28.2" customHeight="1">
      <c r="A12" s="245" t="str">
        <f>Ranking!A7</f>
        <v>4</v>
      </c>
      <c r="B12" s="246" t="str">
        <f>Ranking!B7</f>
        <v>Pedro Herdy</v>
      </c>
      <c r="C12" s="247">
        <f>Ranking!C7</f>
        <v>0</v>
      </c>
      <c r="D12" s="247">
        <f>Ranking!D7</f>
        <v>0</v>
      </c>
      <c r="E12" s="247">
        <f>Ranking!E7</f>
        <v>0</v>
      </c>
      <c r="F12" s="247">
        <f>Ranking!F7</f>
        <v>0</v>
      </c>
      <c r="G12" s="247">
        <f>Ranking!G7</f>
        <v>0</v>
      </c>
    </row>
  </sheetData>
  <mergeCells count="12">
    <mergeCell ref="A4:B4"/>
    <mergeCell ref="G4:H4"/>
    <mergeCell ref="A1:J1"/>
    <mergeCell ref="E4:F4"/>
    <mergeCell ref="I4:J4"/>
    <mergeCell ref="A2:J2"/>
    <mergeCell ref="C4:D4"/>
    <mergeCell ref="C5:D5"/>
    <mergeCell ref="A5:B5"/>
    <mergeCell ref="G5:H5"/>
    <mergeCell ref="E5:F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Regras</vt:lpstr>
      <vt:lpstr>Jogos - Grupos</vt:lpstr>
      <vt:lpstr>Apostas - Grupos</vt:lpstr>
      <vt:lpstr>Apostas - Bonus</vt:lpstr>
      <vt:lpstr>Pontuacao - Grupos</vt:lpstr>
      <vt:lpstr>Classif - Grupos</vt:lpstr>
      <vt:lpstr>T495</vt:lpstr>
      <vt:lpstr>BetClass</vt:lpstr>
      <vt:lpstr>Mata-Mata - Jogos</vt:lpstr>
      <vt:lpstr>Apostas - Mata-Mata</vt:lpstr>
      <vt:lpstr>Pontuacao - Mata-Mata</vt:lpstr>
      <vt:lpstr>Pontuacao - Bonus</vt:lpstr>
      <vt:lpstr>Ranking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2026-05-17T18:26:00Z</dcterms:created>
  <dcterms:modified xsi:type="dcterms:W3CDTF">2026-06-12T03:58:24Z</dcterms:modified>
</cp:coreProperties>
</file>