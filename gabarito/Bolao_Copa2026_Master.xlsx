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/>
  <mc:AlternateContent xmlns:mc="http://schemas.openxmlformats.org/markup-compatibility/2006">
    <mc:Choice Requires="x15">
      <x15ac:absPath xmlns:x15ac="http://schemas.microsoft.com/office/spreadsheetml/2010/11/ac" url="C:\Users\pedro\projetos\bolao-copa-2026-da-galera\gabarito\"/>
    </mc:Choice>
  </mc:AlternateContent>
  <xr:revisionPtr revIDLastSave="0" documentId="13_ncr:1_{F4CE1469-9561-4A1A-8725-CDC0E81C1176}" xr6:coauthVersionLast="45" xr6:coauthVersionMax="47" xr10:uidLastSave="{00000000-0000-0000-0000-000000000000}"/>
  <bookViews>
    <workbookView xWindow="28680" yWindow="-120" windowWidth="29040" windowHeight="15720" firstSheet="2" activeTab="3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BV8" i="5" l="1"/>
  <c r="BV7" i="5"/>
  <c r="AH7" i="11"/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D4" i="12" s="1"/>
  <c r="L4" i="13" s="1"/>
  <c r="K7" i="13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E27" i="9"/>
  <c r="E31" i="9" s="1"/>
  <c r="D27" i="9"/>
  <c r="I26" i="9"/>
  <c r="E26" i="9"/>
  <c r="D26" i="9"/>
  <c r="J26" i="9" s="1"/>
  <c r="I25" i="9"/>
  <c r="E25" i="9"/>
  <c r="E29" i="9" s="1"/>
  <c r="D25" i="9"/>
  <c r="J25" i="9" s="1"/>
  <c r="I24" i="9"/>
  <c r="E24" i="9"/>
  <c r="J24" i="9" s="1"/>
  <c r="D24" i="9"/>
  <c r="I23" i="9"/>
  <c r="E23" i="9"/>
  <c r="D23" i="9"/>
  <c r="E30" i="9" s="1"/>
  <c r="I22" i="9"/>
  <c r="E22" i="9"/>
  <c r="D22" i="9"/>
  <c r="I21" i="9"/>
  <c r="E21" i="9"/>
  <c r="E28" i="9" s="1"/>
  <c r="D21" i="9"/>
  <c r="I20" i="9"/>
  <c r="E20" i="9"/>
  <c r="D28" i="9" s="1"/>
  <c r="D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H127" i="8" s="1"/>
  <c r="I127" i="8" s="1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H124" i="8" s="1"/>
  <c r="I124" i="8" s="1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G121" i="8" s="1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G118" i="8" s="1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L110" i="8" s="1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H99" i="8" s="1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L96" i="8" s="1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G93" i="8" s="1"/>
  <c r="D93" i="8"/>
  <c r="C93" i="8"/>
  <c r="H93" i="8" s="1"/>
  <c r="I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I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H29" i="8" s="1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H26" i="8" s="1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G23" i="8" s="1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H15" i="8" s="1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I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H9" i="8" s="1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G50" i="6" s="1"/>
  <c r="D50" i="6"/>
  <c r="C50" i="6"/>
  <c r="H50" i="6" s="1"/>
  <c r="I50" i="6" s="1"/>
  <c r="F49" i="6"/>
  <c r="E49" i="6"/>
  <c r="G49" i="6" s="1"/>
  <c r="D49" i="6"/>
  <c r="C49" i="6"/>
  <c r="H49" i="6" s="1"/>
  <c r="I49" i="6" s="1"/>
  <c r="F48" i="6"/>
  <c r="E48" i="6"/>
  <c r="D48" i="6"/>
  <c r="C48" i="6"/>
  <c r="F47" i="6"/>
  <c r="E47" i="6"/>
  <c r="G47" i="6" s="1"/>
  <c r="D47" i="6"/>
  <c r="C47" i="6"/>
  <c r="H47" i="6" s="1"/>
  <c r="I47" i="6" s="1"/>
  <c r="F46" i="6"/>
  <c r="E46" i="6"/>
  <c r="D46" i="6"/>
  <c r="C46" i="6"/>
  <c r="H46" i="6" s="1"/>
  <c r="F45" i="6"/>
  <c r="E45" i="6"/>
  <c r="D45" i="6"/>
  <c r="C45" i="6"/>
  <c r="H45" i="6" s="1"/>
  <c r="F44" i="6"/>
  <c r="E44" i="6"/>
  <c r="G44" i="6" s="1"/>
  <c r="D44" i="6"/>
  <c r="C44" i="6"/>
  <c r="F43" i="6"/>
  <c r="E43" i="6"/>
  <c r="G43" i="6" s="1"/>
  <c r="I43" i="6" s="1"/>
  <c r="D43" i="6"/>
  <c r="C43" i="6"/>
  <c r="H43" i="6" s="1"/>
  <c r="F42" i="6"/>
  <c r="E42" i="6"/>
  <c r="G42" i="6" s="1"/>
  <c r="D42" i="6"/>
  <c r="C42" i="6"/>
  <c r="H42" i="6" s="1"/>
  <c r="I42" i="6" s="1"/>
  <c r="F41" i="6"/>
  <c r="G41" i="6" s="1"/>
  <c r="E41" i="6"/>
  <c r="D41" i="6"/>
  <c r="C41" i="6"/>
  <c r="F40" i="6"/>
  <c r="E40" i="6"/>
  <c r="G40" i="6" s="1"/>
  <c r="D40" i="6"/>
  <c r="C40" i="6"/>
  <c r="H40" i="6" s="1"/>
  <c r="I40" i="6" s="1"/>
  <c r="F39" i="6"/>
  <c r="E39" i="6"/>
  <c r="G39" i="6" s="1"/>
  <c r="I39" i="6" s="1"/>
  <c r="D39" i="6"/>
  <c r="C39" i="6"/>
  <c r="H39" i="6" s="1"/>
  <c r="F38" i="6"/>
  <c r="E38" i="6"/>
  <c r="D38" i="6"/>
  <c r="C38" i="6"/>
  <c r="H38" i="6" s="1"/>
  <c r="F37" i="6"/>
  <c r="E37" i="6"/>
  <c r="G37" i="6" s="1"/>
  <c r="D37" i="6"/>
  <c r="C37" i="6"/>
  <c r="H37" i="6" s="1"/>
  <c r="I37" i="6" s="1"/>
  <c r="F36" i="6"/>
  <c r="E36" i="6"/>
  <c r="G36" i="6" s="1"/>
  <c r="D36" i="6"/>
  <c r="C36" i="6"/>
  <c r="H36" i="6" s="1"/>
  <c r="I36" i="6" s="1"/>
  <c r="F35" i="6"/>
  <c r="E35" i="6"/>
  <c r="G35" i="6" s="1"/>
  <c r="D35" i="6"/>
  <c r="C35" i="6"/>
  <c r="H35" i="6" s="1"/>
  <c r="F34" i="6"/>
  <c r="E34" i="6"/>
  <c r="D34" i="6"/>
  <c r="C34" i="6"/>
  <c r="F33" i="6"/>
  <c r="E33" i="6"/>
  <c r="G33" i="6" s="1"/>
  <c r="D33" i="6"/>
  <c r="C33" i="6"/>
  <c r="H33" i="6" s="1"/>
  <c r="I33" i="6" s="1"/>
  <c r="F32" i="6"/>
  <c r="E32" i="6"/>
  <c r="D32" i="6"/>
  <c r="C32" i="6"/>
  <c r="H32" i="6" s="1"/>
  <c r="F31" i="6"/>
  <c r="E31" i="6"/>
  <c r="G31" i="6" s="1"/>
  <c r="D31" i="6"/>
  <c r="C31" i="6"/>
  <c r="H31" i="6" s="1"/>
  <c r="F30" i="6"/>
  <c r="E30" i="6"/>
  <c r="D30" i="6"/>
  <c r="C30" i="6"/>
  <c r="H30" i="6" s="1"/>
  <c r="F29" i="6"/>
  <c r="E29" i="6"/>
  <c r="G29" i="6" s="1"/>
  <c r="D29" i="6"/>
  <c r="H29" i="6" s="1"/>
  <c r="I29" i="6" s="1"/>
  <c r="C29" i="6"/>
  <c r="F28" i="6"/>
  <c r="E28" i="6"/>
  <c r="G28" i="6" s="1"/>
  <c r="D28" i="6"/>
  <c r="C28" i="6"/>
  <c r="H28" i="6" s="1"/>
  <c r="I28" i="6" s="1"/>
  <c r="F27" i="6"/>
  <c r="E27" i="6"/>
  <c r="G27" i="6" s="1"/>
  <c r="D27" i="6"/>
  <c r="C27" i="6"/>
  <c r="H27" i="6" s="1"/>
  <c r="F26" i="6"/>
  <c r="E26" i="6"/>
  <c r="G26" i="6" s="1"/>
  <c r="D26" i="6"/>
  <c r="C26" i="6"/>
  <c r="H26" i="6" s="1"/>
  <c r="F25" i="6"/>
  <c r="E25" i="6"/>
  <c r="D25" i="6"/>
  <c r="C25" i="6"/>
  <c r="H25" i="6" s="1"/>
  <c r="F24" i="6"/>
  <c r="E24" i="6"/>
  <c r="D24" i="6"/>
  <c r="C24" i="6"/>
  <c r="H24" i="6" s="1"/>
  <c r="F23" i="6"/>
  <c r="E23" i="6"/>
  <c r="D23" i="6"/>
  <c r="H23" i="6" s="1"/>
  <c r="C23" i="6"/>
  <c r="F22" i="6"/>
  <c r="E22" i="6"/>
  <c r="G22" i="6" s="1"/>
  <c r="D22" i="6"/>
  <c r="C22" i="6"/>
  <c r="H22" i="6" s="1"/>
  <c r="I22" i="6" s="1"/>
  <c r="F21" i="6"/>
  <c r="E21" i="6"/>
  <c r="G21" i="6" s="1"/>
  <c r="D21" i="6"/>
  <c r="C21" i="6"/>
  <c r="H21" i="6" s="1"/>
  <c r="I21" i="6" s="1"/>
  <c r="F20" i="6"/>
  <c r="E20" i="6"/>
  <c r="D20" i="6"/>
  <c r="C20" i="6"/>
  <c r="F19" i="6"/>
  <c r="E19" i="6"/>
  <c r="G19" i="6" s="1"/>
  <c r="D19" i="6"/>
  <c r="C19" i="6"/>
  <c r="H19" i="6" s="1"/>
  <c r="F18" i="6"/>
  <c r="E18" i="6"/>
  <c r="D18" i="6"/>
  <c r="C18" i="6"/>
  <c r="F17" i="6"/>
  <c r="E17" i="6"/>
  <c r="G17" i="6" s="1"/>
  <c r="D17" i="6"/>
  <c r="C17" i="6"/>
  <c r="H17" i="6" s="1"/>
  <c r="F16" i="6"/>
  <c r="E16" i="6"/>
  <c r="G16" i="6" s="1"/>
  <c r="D16" i="6"/>
  <c r="C16" i="6"/>
  <c r="H16" i="6" s="1"/>
  <c r="I16" i="6" s="1"/>
  <c r="F15" i="6"/>
  <c r="E15" i="6"/>
  <c r="D15" i="6"/>
  <c r="C15" i="6"/>
  <c r="H15" i="6" s="1"/>
  <c r="F14" i="6"/>
  <c r="E14" i="6"/>
  <c r="G14" i="6" s="1"/>
  <c r="D14" i="6"/>
  <c r="C14" i="6"/>
  <c r="H14" i="6" s="1"/>
  <c r="F13" i="6"/>
  <c r="E13" i="6"/>
  <c r="D13" i="6"/>
  <c r="C13" i="6"/>
  <c r="H13" i="6" s="1"/>
  <c r="F12" i="6"/>
  <c r="E12" i="6"/>
  <c r="G12" i="6" s="1"/>
  <c r="D12" i="6"/>
  <c r="C12" i="6"/>
  <c r="H12" i="6" s="1"/>
  <c r="I12" i="6" s="1"/>
  <c r="F11" i="6"/>
  <c r="E11" i="6"/>
  <c r="D11" i="6"/>
  <c r="C11" i="6"/>
  <c r="H11" i="6" s="1"/>
  <c r="F10" i="6"/>
  <c r="E10" i="6"/>
  <c r="G10" i="6" s="1"/>
  <c r="D10" i="6"/>
  <c r="C10" i="6"/>
  <c r="H10" i="6" s="1"/>
  <c r="F9" i="6"/>
  <c r="E9" i="6"/>
  <c r="G9" i="6" s="1"/>
  <c r="D9" i="6"/>
  <c r="C9" i="6"/>
  <c r="H9" i="6" s="1"/>
  <c r="F8" i="6"/>
  <c r="E8" i="6"/>
  <c r="D8" i="6"/>
  <c r="C8" i="6"/>
  <c r="H8" i="6" s="1"/>
  <c r="F7" i="6"/>
  <c r="E7" i="6"/>
  <c r="G7" i="6" s="1"/>
  <c r="D7" i="6"/>
  <c r="C7" i="6"/>
  <c r="H7" i="6" s="1"/>
  <c r="I7" i="6" s="1"/>
  <c r="F6" i="6"/>
  <c r="E6" i="6"/>
  <c r="G6" i="6" s="1"/>
  <c r="D6" i="6"/>
  <c r="C6" i="6"/>
  <c r="H6" i="6" s="1"/>
  <c r="F5" i="6"/>
  <c r="E5" i="6"/>
  <c r="G5" i="6" s="1"/>
  <c r="D5" i="6"/>
  <c r="C5" i="6"/>
  <c r="F4" i="6"/>
  <c r="E4" i="6"/>
  <c r="D4" i="6"/>
  <c r="C4" i="6"/>
  <c r="H4" i="6" s="1"/>
  <c r="F3" i="6"/>
  <c r="E3" i="6"/>
  <c r="G3" i="6" s="1"/>
  <c r="D3" i="6"/>
  <c r="C3" i="6"/>
  <c r="H3" i="6" s="1"/>
  <c r="I3" i="6" s="1"/>
  <c r="J7" i="13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J6" i="13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L43" i="8" l="1"/>
  <c r="L11" i="8"/>
  <c r="L40" i="8"/>
  <c r="L42" i="8"/>
  <c r="L25" i="8"/>
  <c r="G9" i="8"/>
  <c r="I9" i="8" s="1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I26" i="8" s="1"/>
  <c r="G48" i="8"/>
  <c r="I48" i="8" s="1"/>
  <c r="L133" i="8"/>
  <c r="G101" i="8"/>
  <c r="I101" i="8" s="1"/>
  <c r="H107" i="8"/>
  <c r="I107" i="8" s="1"/>
  <c r="G129" i="8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I129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J27" i="9"/>
  <c r="D29" i="9"/>
  <c r="E32" i="9" s="1"/>
  <c r="D31" i="9"/>
  <c r="E33" i="9" s="1"/>
  <c r="E34" i="9" s="1"/>
  <c r="D30" i="9"/>
  <c r="D33" i="9" s="1"/>
  <c r="J30" i="9"/>
  <c r="D32" i="9"/>
  <c r="D34" i="9" s="1"/>
  <c r="J34" i="9" s="1"/>
  <c r="J28" i="9"/>
  <c r="J20" i="9"/>
  <c r="J21" i="9"/>
  <c r="J22" i="9"/>
  <c r="J23" i="9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37" i="8"/>
  <c r="L31" i="8"/>
  <c r="L107" i="8"/>
  <c r="L103" i="8"/>
  <c r="L113" i="8"/>
  <c r="L122" i="8"/>
  <c r="H108" i="8"/>
  <c r="L8" i="8"/>
  <c r="I23" i="8"/>
  <c r="G98" i="8"/>
  <c r="I98" i="8" s="1"/>
  <c r="G108" i="8"/>
  <c r="I108" i="8" s="1"/>
  <c r="L138" i="8"/>
  <c r="L3" i="8"/>
  <c r="L37" i="8"/>
  <c r="L98" i="8"/>
  <c r="I99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J27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I17" i="6"/>
  <c r="I4" i="6"/>
  <c r="H48" i="6"/>
  <c r="G24" i="6"/>
  <c r="G13" i="6"/>
  <c r="I13" i="6" s="1"/>
  <c r="G11" i="6"/>
  <c r="I11" i="6" s="1"/>
  <c r="I24" i="6"/>
  <c r="G48" i="6"/>
  <c r="I48" i="6" s="1"/>
  <c r="H18" i="6"/>
  <c r="I18" i="6" s="1"/>
  <c r="J18" i="6" s="1"/>
  <c r="I31" i="6"/>
  <c r="G18" i="6"/>
  <c r="G25" i="6"/>
  <c r="H44" i="6"/>
  <c r="I44" i="6" s="1"/>
  <c r="N6" i="13"/>
  <c r="I26" i="6"/>
  <c r="G38" i="6"/>
  <c r="G8" i="6"/>
  <c r="I8" i="6" s="1"/>
  <c r="J7" i="6" s="1"/>
  <c r="G32" i="6"/>
  <c r="H20" i="6"/>
  <c r="G45" i="6"/>
  <c r="I45" i="6" s="1"/>
  <c r="G20" i="6"/>
  <c r="G46" i="6"/>
  <c r="I46" i="6" s="1"/>
  <c r="J46" i="6" s="1"/>
  <c r="G15" i="6"/>
  <c r="H34" i="6"/>
  <c r="G4" i="6"/>
  <c r="G34" i="6"/>
  <c r="I35" i="6"/>
  <c r="J36" i="6" s="1"/>
  <c r="H41" i="6"/>
  <c r="I41" i="6" s="1"/>
  <c r="J41" i="6" s="1"/>
  <c r="H5" i="6"/>
  <c r="I5" i="6" s="1"/>
  <c r="J5" i="6" s="1"/>
  <c r="I19" i="6"/>
  <c r="J18" i="8"/>
  <c r="I10" i="6"/>
  <c r="J219" i="8"/>
  <c r="I121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I25" i="6"/>
  <c r="J229" i="8"/>
  <c r="I279" i="8"/>
  <c r="J279" i="8" s="1"/>
  <c r="I14" i="6"/>
  <c r="I14" i="8"/>
  <c r="J14" i="8" s="1"/>
  <c r="I186" i="8"/>
  <c r="J220" i="8"/>
  <c r="J298" i="8"/>
  <c r="I210" i="8"/>
  <c r="L118" i="8"/>
  <c r="H118" i="8"/>
  <c r="I118" i="8" s="1"/>
  <c r="G285" i="8"/>
  <c r="J17" i="6"/>
  <c r="I6" i="6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I15" i="6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38" i="6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M7" i="13"/>
  <c r="J281" i="8"/>
  <c r="L200" i="8"/>
  <c r="N5" i="13"/>
  <c r="J17" i="8"/>
  <c r="I47" i="8"/>
  <c r="L188" i="8"/>
  <c r="J205" i="8"/>
  <c r="G304" i="8"/>
  <c r="I304" i="8" s="1"/>
  <c r="J304" i="8" s="1"/>
  <c r="L105" i="8"/>
  <c r="H105" i="8"/>
  <c r="I105" i="8" s="1"/>
  <c r="I27" i="6"/>
  <c r="I32" i="6"/>
  <c r="I221" i="8"/>
  <c r="J221" i="8" s="1"/>
  <c r="G5" i="14"/>
  <c r="L320" i="8"/>
  <c r="E5" i="14"/>
  <c r="L34" i="8"/>
  <c r="H138" i="8"/>
  <c r="I138" i="8" s="1"/>
  <c r="L276" i="8"/>
  <c r="I122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J16" i="6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I9" i="6"/>
  <c r="I23" i="6"/>
  <c r="L22" i="8"/>
  <c r="L48" i="8"/>
  <c r="I194" i="8"/>
  <c r="L219" i="8"/>
  <c r="G293" i="8"/>
  <c r="I293" i="8" s="1"/>
  <c r="I15" i="8"/>
  <c r="J15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I30" i="6" s="1"/>
  <c r="J30" i="6" s="1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02" i="8" s="1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I96" i="8" s="1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7" i="8" l="1"/>
  <c r="J8" i="8" s="1"/>
  <c r="J117" i="8"/>
  <c r="J102" i="8"/>
  <c r="J137" i="8"/>
  <c r="J138" i="8"/>
  <c r="BI9" i="10"/>
  <c r="BK9" i="10" s="1"/>
  <c r="AC6" i="11"/>
  <c r="BG9" i="10"/>
  <c r="AA6" i="11"/>
  <c r="J107" i="8"/>
  <c r="I100" i="8"/>
  <c r="J99" i="8" s="1"/>
  <c r="I114" i="8"/>
  <c r="E35" i="9"/>
  <c r="J35" i="9" s="1"/>
  <c r="J33" i="9"/>
  <c r="J32" i="9"/>
  <c r="D35" i="9"/>
  <c r="J29" i="9"/>
  <c r="J31" i="9"/>
  <c r="I130" i="8"/>
  <c r="J132" i="8" s="1"/>
  <c r="J47" i="8"/>
  <c r="J96" i="8"/>
  <c r="J45" i="8"/>
  <c r="J24" i="8"/>
  <c r="J111" i="8"/>
  <c r="J29" i="8"/>
  <c r="J118" i="8"/>
  <c r="J122" i="8"/>
  <c r="J119" i="8"/>
  <c r="J100" i="8"/>
  <c r="I136" i="8"/>
  <c r="J136" i="8" s="1"/>
  <c r="I20" i="8"/>
  <c r="J36" i="8"/>
  <c r="J10" i="8"/>
  <c r="I128" i="8"/>
  <c r="J128" i="8" s="1"/>
  <c r="J105" i="8"/>
  <c r="I116" i="8"/>
  <c r="J116" i="8" s="1"/>
  <c r="J31" i="6"/>
  <c r="C60" i="6" s="1"/>
  <c r="E17" i="9" s="1"/>
  <c r="J48" i="6"/>
  <c r="J50" i="6"/>
  <c r="J13" i="6"/>
  <c r="J45" i="6"/>
  <c r="J44" i="6"/>
  <c r="J32" i="6"/>
  <c r="J29" i="6"/>
  <c r="J33" i="6"/>
  <c r="J19" i="6"/>
  <c r="J23" i="6"/>
  <c r="B58" i="6" s="1"/>
  <c r="D6" i="9" s="1"/>
  <c r="J9" i="6"/>
  <c r="J15" i="6"/>
  <c r="B71" i="6" s="1"/>
  <c r="I34" i="6"/>
  <c r="J34" i="6" s="1"/>
  <c r="I20" i="6"/>
  <c r="J20" i="6" s="1"/>
  <c r="J38" i="6"/>
  <c r="J37" i="6"/>
  <c r="J28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1" i="8"/>
  <c r="J22" i="8"/>
  <c r="J19" i="8"/>
  <c r="B69" i="6"/>
  <c r="D54" i="6"/>
  <c r="C69" i="6"/>
  <c r="E54" i="6"/>
  <c r="B154" i="8"/>
  <c r="P7" i="10" s="1"/>
  <c r="J225" i="8"/>
  <c r="J103" i="8"/>
  <c r="J14" i="6"/>
  <c r="J288" i="8"/>
  <c r="J39" i="8"/>
  <c r="J40" i="8"/>
  <c r="J95" i="8"/>
  <c r="J3" i="6"/>
  <c r="J121" i="8"/>
  <c r="J292" i="8"/>
  <c r="J197" i="8"/>
  <c r="C249" i="8" s="1"/>
  <c r="J101" i="8"/>
  <c r="J24" i="6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B60" i="6"/>
  <c r="D15" i="9" s="1"/>
  <c r="B75" i="6"/>
  <c r="E60" i="6"/>
  <c r="J110" i="8"/>
  <c r="J11" i="6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40" i="6"/>
  <c r="J23" i="8"/>
  <c r="J49" i="8"/>
  <c r="C64" i="8" s="1"/>
  <c r="W5" i="10" s="1"/>
  <c r="J289" i="8"/>
  <c r="J284" i="8"/>
  <c r="B338" i="8" s="1"/>
  <c r="J9" i="8"/>
  <c r="J290" i="8"/>
  <c r="J109" i="8"/>
  <c r="J305" i="8"/>
  <c r="J124" i="8"/>
  <c r="J301" i="8"/>
  <c r="J303" i="8"/>
  <c r="J8" i="6"/>
  <c r="C54" i="6" s="1"/>
  <c r="E4" i="9" s="1"/>
  <c r="J98" i="8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27" i="6"/>
  <c r="J113" i="8"/>
  <c r="J6" i="6"/>
  <c r="J4" i="6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D64" i="8"/>
  <c r="B64" i="8"/>
  <c r="P5" i="10" s="1"/>
  <c r="C77" i="8"/>
  <c r="J186" i="8"/>
  <c r="B236" i="8"/>
  <c r="R9" i="10" s="1"/>
  <c r="E236" i="8"/>
  <c r="J47" i="6"/>
  <c r="J50" i="8"/>
  <c r="E334" i="8"/>
  <c r="C334" i="8"/>
  <c r="W11" i="10" s="1"/>
  <c r="B347" i="8"/>
  <c r="C347" i="8"/>
  <c r="D334" i="8"/>
  <c r="B334" i="8"/>
  <c r="P11" i="10" s="1"/>
  <c r="B162" i="8"/>
  <c r="D149" i="8"/>
  <c r="C162" i="8"/>
  <c r="J311" i="8"/>
  <c r="J6" i="8"/>
  <c r="J26" i="6"/>
  <c r="J25" i="6"/>
  <c r="O7" i="13"/>
  <c r="J42" i="6"/>
  <c r="J306" i="8"/>
  <c r="J94" i="8"/>
  <c r="J104" i="8"/>
  <c r="J42" i="8"/>
  <c r="J93" i="8"/>
  <c r="J12" i="8"/>
  <c r="J39" i="6"/>
  <c r="J183" i="8"/>
  <c r="J11" i="8"/>
  <c r="J190" i="8"/>
  <c r="J7" i="8"/>
  <c r="J30" i="8"/>
  <c r="J106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12" i="6"/>
  <c r="J278" i="8"/>
  <c r="J280" i="8"/>
  <c r="J139" i="8"/>
  <c r="C154" i="8" s="1"/>
  <c r="W7" i="10" s="1"/>
  <c r="J49" i="6"/>
  <c r="B59" i="8"/>
  <c r="T5" i="10" s="1"/>
  <c r="J297" i="8"/>
  <c r="J48" i="8"/>
  <c r="B77" i="8" s="1"/>
  <c r="J310" i="8"/>
  <c r="C345" i="8" s="1"/>
  <c r="J10" i="6"/>
  <c r="B54" i="6" s="1"/>
  <c r="D16" i="9" s="1"/>
  <c r="J287" i="8"/>
  <c r="J218" i="8"/>
  <c r="D244" i="8"/>
  <c r="J285" i="8"/>
  <c r="J38" i="8"/>
  <c r="J35" i="8"/>
  <c r="J299" i="8"/>
  <c r="J25" i="8"/>
  <c r="J43" i="6"/>
  <c r="E56" i="6"/>
  <c r="C56" i="6"/>
  <c r="D19" i="9" s="1"/>
  <c r="C71" i="6"/>
  <c r="D56" i="6"/>
  <c r="B56" i="6"/>
  <c r="D12" i="9" s="1"/>
  <c r="J120" i="8"/>
  <c r="J194" i="8"/>
  <c r="B248" i="8" s="1"/>
  <c r="J16" i="8"/>
  <c r="D56" i="8" s="1"/>
  <c r="J277" i="8"/>
  <c r="J209" i="8"/>
  <c r="E239" i="8" s="1"/>
  <c r="J211" i="8"/>
  <c r="J210" i="8"/>
  <c r="J35" i="6"/>
  <c r="AO5" i="10" l="1"/>
  <c r="I4" i="11"/>
  <c r="E64" i="8"/>
  <c r="AS5" i="10"/>
  <c r="K4" i="11"/>
  <c r="J4" i="11"/>
  <c r="AR5" i="10"/>
  <c r="E56" i="8"/>
  <c r="J131" i="8"/>
  <c r="B146" i="8"/>
  <c r="R7" i="10" s="1"/>
  <c r="B149" i="8"/>
  <c r="T7" i="10" s="1"/>
  <c r="J97" i="8"/>
  <c r="B157" i="8" s="1"/>
  <c r="BL9" i="10"/>
  <c r="AD6" i="11"/>
  <c r="AH6" i="11" s="1"/>
  <c r="K6" i="13" s="1"/>
  <c r="M6" i="13" s="1"/>
  <c r="O6" i="13" s="1"/>
  <c r="AS7" i="10"/>
  <c r="K5" i="11"/>
  <c r="AR7" i="10"/>
  <c r="J5" i="11"/>
  <c r="J114" i="8"/>
  <c r="B148" i="8" s="1"/>
  <c r="F7" i="10" s="1"/>
  <c r="C149" i="8"/>
  <c r="AG7" i="10" s="1"/>
  <c r="J126" i="8"/>
  <c r="C164" i="8" s="1"/>
  <c r="B167" i="8"/>
  <c r="E149" i="8"/>
  <c r="AO7" i="10"/>
  <c r="I5" i="11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E57" i="6"/>
  <c r="B73" i="6"/>
  <c r="B57" i="6"/>
  <c r="D5" i="9" s="1"/>
  <c r="J21" i="6"/>
  <c r="D57" i="6" s="1"/>
  <c r="J22" i="6"/>
  <c r="C75" i="6"/>
  <c r="D60" i="6"/>
  <c r="B243" i="8"/>
  <c r="AD9" i="10" s="1"/>
  <c r="C256" i="8"/>
  <c r="E243" i="8"/>
  <c r="B256" i="8"/>
  <c r="D243" i="8"/>
  <c r="C243" i="8"/>
  <c r="V9" i="10" s="1"/>
  <c r="E146" i="8"/>
  <c r="D58" i="6"/>
  <c r="C72" i="8"/>
  <c r="C73" i="6"/>
  <c r="D150" i="8"/>
  <c r="E150" i="8"/>
  <c r="C150" i="8"/>
  <c r="AC7" i="10" s="1"/>
  <c r="C163" i="8"/>
  <c r="B150" i="8"/>
  <c r="X7" i="10" s="1"/>
  <c r="B163" i="8"/>
  <c r="E58" i="6"/>
  <c r="C332" i="8"/>
  <c r="Y11" i="10" s="1"/>
  <c r="C161" i="8"/>
  <c r="B161" i="8"/>
  <c r="D148" i="8"/>
  <c r="B72" i="8"/>
  <c r="D62" i="6"/>
  <c r="E62" i="6"/>
  <c r="C62" i="6"/>
  <c r="E15" i="9" s="1"/>
  <c r="B62" i="6"/>
  <c r="D17" i="9" s="1"/>
  <c r="C77" i="6"/>
  <c r="B77" i="6"/>
  <c r="B74" i="6"/>
  <c r="B59" i="6"/>
  <c r="D13" i="9" s="1"/>
  <c r="C74" i="6"/>
  <c r="E59" i="6"/>
  <c r="D59" i="6"/>
  <c r="C59" i="6"/>
  <c r="E19" i="9" s="1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8" i="6"/>
  <c r="E7" i="9" s="1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78" i="6"/>
  <c r="E63" i="6"/>
  <c r="C63" i="6"/>
  <c r="D14" i="9" s="1"/>
  <c r="B63" i="6"/>
  <c r="D18" i="9" s="1"/>
  <c r="D63" i="6"/>
  <c r="B78" i="6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D144" i="8"/>
  <c r="B144" i="8"/>
  <c r="Z7" i="10" s="1"/>
  <c r="C157" i="8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C76" i="6"/>
  <c r="B76" i="6"/>
  <c r="D61" i="6"/>
  <c r="B61" i="6"/>
  <c r="D8" i="9" s="1"/>
  <c r="E61" i="6"/>
  <c r="C61" i="6"/>
  <c r="E9" i="9" s="1"/>
  <c r="E59" i="8"/>
  <c r="D55" i="8"/>
  <c r="B68" i="8"/>
  <c r="C68" i="8"/>
  <c r="B55" i="8"/>
  <c r="H5" i="10" s="1"/>
  <c r="E55" i="8"/>
  <c r="C55" i="8"/>
  <c r="G5" i="10" s="1"/>
  <c r="D55" i="6"/>
  <c r="B70" i="6"/>
  <c r="C55" i="6"/>
  <c r="E6" i="9" s="1"/>
  <c r="E55" i="6"/>
  <c r="C70" i="6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D64" i="6"/>
  <c r="C64" i="6"/>
  <c r="E14" i="9" s="1"/>
  <c r="B64" i="6"/>
  <c r="D11" i="9" s="1"/>
  <c r="E64" i="6"/>
  <c r="C79" i="6"/>
  <c r="B79" i="6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AJ5" i="10" l="1"/>
  <c r="B4" i="11"/>
  <c r="AP5" i="10"/>
  <c r="L4" i="11"/>
  <c r="AU5" i="10"/>
  <c r="Q4" i="11"/>
  <c r="AV5" i="10"/>
  <c r="N4" i="11"/>
  <c r="B73" i="8"/>
  <c r="AI5" i="10"/>
  <c r="F4" i="11"/>
  <c r="C73" i="8"/>
  <c r="D70" i="8" s="1"/>
  <c r="C60" i="8"/>
  <c r="AC5" i="10" s="1"/>
  <c r="AK5" i="10"/>
  <c r="D4" i="11"/>
  <c r="BC5" i="10"/>
  <c r="U4" i="11"/>
  <c r="AN5" i="10"/>
  <c r="H4" i="11"/>
  <c r="AT5" i="10"/>
  <c r="O4" i="11"/>
  <c r="AM5" i="10"/>
  <c r="G4" i="11"/>
  <c r="AQ5" i="10"/>
  <c r="M4" i="11"/>
  <c r="AL5" i="10"/>
  <c r="E4" i="11"/>
  <c r="BA5" i="10"/>
  <c r="W4" i="11"/>
  <c r="AH5" i="10"/>
  <c r="C4" i="11"/>
  <c r="AW5" i="10"/>
  <c r="P4" i="11"/>
  <c r="C144" i="8"/>
  <c r="C7" i="10" s="1"/>
  <c r="E144" i="8"/>
  <c r="E153" i="8"/>
  <c r="AN7" i="10"/>
  <c r="H5" i="11"/>
  <c r="C148" i="8"/>
  <c r="I7" i="10" s="1"/>
  <c r="AK7" i="10"/>
  <c r="D5" i="11"/>
  <c r="E151" i="8"/>
  <c r="AJ7" i="10"/>
  <c r="B5" i="11"/>
  <c r="BC7" i="10"/>
  <c r="U5" i="11"/>
  <c r="B153" i="8"/>
  <c r="AD7" i="10" s="1"/>
  <c r="AL7" i="10"/>
  <c r="E5" i="11"/>
  <c r="AQ7" i="10"/>
  <c r="M5" i="11"/>
  <c r="AU7" i="10"/>
  <c r="Q5" i="11"/>
  <c r="AH7" i="10"/>
  <c r="C5" i="11"/>
  <c r="AV7" i="10"/>
  <c r="N5" i="11"/>
  <c r="BA7" i="10"/>
  <c r="W5" i="11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71" i="6" s="1"/>
  <c r="D255" i="8"/>
  <c r="D341" i="8"/>
  <c r="D78" i="6"/>
  <c r="D340" i="8"/>
  <c r="D343" i="8"/>
  <c r="D71" i="8"/>
  <c r="D246" i="8"/>
  <c r="D336" i="8"/>
  <c r="D339" i="8"/>
  <c r="D75" i="6"/>
  <c r="D73" i="6"/>
  <c r="D68" i="6"/>
  <c r="D250" i="8"/>
  <c r="D247" i="8"/>
  <c r="D69" i="6"/>
  <c r="D337" i="8"/>
  <c r="D342" i="8"/>
  <c r="D256" i="8"/>
  <c r="D251" i="8"/>
  <c r="D73" i="8"/>
  <c r="D345" i="8"/>
  <c r="D257" i="8"/>
  <c r="D69" i="8"/>
  <c r="D72" i="6"/>
  <c r="D74" i="8"/>
  <c r="D252" i="8"/>
  <c r="D347" i="8"/>
  <c r="D66" i="8"/>
  <c r="D67" i="8"/>
  <c r="D77" i="6"/>
  <c r="D344" i="8"/>
  <c r="D79" i="6"/>
  <c r="D248" i="8"/>
  <c r="D75" i="8"/>
  <c r="D249" i="8"/>
  <c r="D167" i="8"/>
  <c r="D76" i="6"/>
  <c r="D254" i="8"/>
  <c r="BB5" i="10" l="1"/>
  <c r="T4" i="11"/>
  <c r="AZ5" i="10"/>
  <c r="V4" i="11"/>
  <c r="BD5" i="10"/>
  <c r="X4" i="11"/>
  <c r="AY5" i="10"/>
  <c r="S4" i="11"/>
  <c r="D76" i="8"/>
  <c r="D68" i="8"/>
  <c r="B82" i="8" s="1"/>
  <c r="AX5" i="10"/>
  <c r="R4" i="11"/>
  <c r="D72" i="8"/>
  <c r="D77" i="8"/>
  <c r="BE5" i="10"/>
  <c r="Y4" i="11"/>
  <c r="AT7" i="10"/>
  <c r="O5" i="11"/>
  <c r="D164" i="8"/>
  <c r="D160" i="8"/>
  <c r="D159" i="8"/>
  <c r="D163" i="8"/>
  <c r="AW7" i="10"/>
  <c r="P5" i="11"/>
  <c r="AI7" i="10"/>
  <c r="F5" i="11"/>
  <c r="AM7" i="10"/>
  <c r="G5" i="11"/>
  <c r="AZ7" i="10"/>
  <c r="V5" i="11"/>
  <c r="D157" i="8"/>
  <c r="BB7" i="10"/>
  <c r="T5" i="11"/>
  <c r="D158" i="8"/>
  <c r="D166" i="8"/>
  <c r="D162" i="8"/>
  <c r="AP7" i="10"/>
  <c r="L5" i="11"/>
  <c r="AY7" i="10"/>
  <c r="S5" i="11"/>
  <c r="D165" i="8"/>
  <c r="D156" i="8"/>
  <c r="B171" i="8" s="1"/>
  <c r="D74" i="6"/>
  <c r="D70" i="6"/>
  <c r="B82" i="6"/>
  <c r="B88" i="6"/>
  <c r="B86" i="6"/>
  <c r="B92" i="6"/>
  <c r="B89" i="6"/>
  <c r="B87" i="6"/>
  <c r="B85" i="6"/>
  <c r="B83" i="6"/>
  <c r="B84" i="6"/>
  <c r="B84" i="8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BF5" i="10" l="1"/>
  <c r="BJ5" i="10" s="1"/>
  <c r="AF4" i="11" s="1"/>
  <c r="Z4" i="11"/>
  <c r="B85" i="8"/>
  <c r="B86" i="8"/>
  <c r="BI5" i="10"/>
  <c r="BK5" i="10" s="1"/>
  <c r="AC4" i="11"/>
  <c r="B88" i="8"/>
  <c r="AA5" i="10" s="1"/>
  <c r="B79" i="8"/>
  <c r="BG5" i="10"/>
  <c r="AA4" i="11"/>
  <c r="B81" i="8"/>
  <c r="BH5" i="10"/>
  <c r="AB4" i="11"/>
  <c r="BH7" i="10"/>
  <c r="AB5" i="11"/>
  <c r="AA5" i="11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K5" i="10"/>
  <c r="E5" i="10"/>
  <c r="U9" i="10"/>
  <c r="K9" i="10"/>
  <c r="AE9" i="10"/>
  <c r="AA9" i="10"/>
  <c r="E9" i="10"/>
  <c r="S9" i="10"/>
  <c r="Q9" i="10"/>
  <c r="O9" i="10"/>
  <c r="E12" i="9"/>
  <c r="E5" i="9"/>
  <c r="E18" i="9"/>
  <c r="E11" i="9"/>
  <c r="E10" i="9"/>
  <c r="E8" i="9"/>
  <c r="E16" i="9"/>
  <c r="E13" i="9"/>
  <c r="AE11" i="10"/>
  <c r="S11" i="10"/>
  <c r="Q11" i="10"/>
  <c r="K11" i="10"/>
  <c r="AA11" i="10"/>
  <c r="O11" i="10"/>
  <c r="U11" i="10"/>
  <c r="E11" i="10"/>
  <c r="Q5" i="10" l="1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G4" i="11" l="1"/>
  <c r="AH4" i="11" s="1"/>
  <c r="K4" i="13" s="1"/>
  <c r="M4" i="13" s="1"/>
  <c r="AG5" i="11"/>
  <c r="AH5" i="11"/>
  <c r="K5" i="13" s="1"/>
  <c r="M5" i="13" s="1"/>
  <c r="O5" i="13"/>
  <c r="O4" i="13" l="1"/>
  <c r="P4" i="13" s="1"/>
  <c r="C5" i="14"/>
  <c r="P5" i="13" l="1"/>
  <c r="E7" i="13" s="1"/>
  <c r="E12" i="14" s="1"/>
  <c r="P7" i="13"/>
  <c r="P6" i="13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C5" i="13"/>
  <c r="C10" i="14" s="1"/>
  <c r="E4" i="13"/>
  <c r="E9" i="14" s="1"/>
  <c r="F6" i="13"/>
  <c r="F11" i="14" s="1"/>
  <c r="E6" i="13"/>
  <c r="E11" i="14" s="1"/>
  <c r="D6" i="13"/>
  <c r="D11" i="14" s="1"/>
  <c r="B4" i="13"/>
  <c r="B9" i="14" s="1"/>
  <c r="C6" i="13"/>
  <c r="C11" i="14" s="1"/>
  <c r="A5" i="14"/>
  <c r="G5" i="13"/>
  <c r="G10" i="14" s="1"/>
  <c r="F5" i="13"/>
  <c r="F10" i="14" s="1"/>
  <c r="G7" i="13"/>
  <c r="G12" i="14" s="1"/>
  <c r="E5" i="13"/>
  <c r="E10" i="14" s="1"/>
  <c r="B5" i="13" l="1"/>
  <c r="B10" i="14" s="1"/>
  <c r="D5" i="13"/>
  <c r="D10" i="14" s="1"/>
  <c r="G6" i="13"/>
  <c r="G11" i="14" s="1"/>
  <c r="D7" i="13"/>
  <c r="D12" i="14" s="1"/>
</calcChain>
</file>

<file path=xl/sharedStrings.xml><?xml version="1.0" encoding="utf-8"?>
<sst xmlns="http://schemas.openxmlformats.org/spreadsheetml/2006/main" count="6096" uniqueCount="1094">
  <si>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</si>
  <si>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</si>
  <si>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</si>
  <si>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</si>
  <si>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</si>
  <si>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</si>
  <si>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</si>
  <si>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</si>
  <si>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</si>
  <si>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</si>
  <si>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</si>
  <si>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</si>
  <si>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</si>
  <si>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</si>
  <si>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</si>
  <si>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</si>
  <si>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</si>
  <si>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</si>
  <si>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</si>
  <si>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</si>
  <si>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</si>
  <si>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</si>
  <si>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</si>
  <si>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</si>
  <si>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</si>
  <si>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</si>
  <si>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</si>
  <si>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</si>
  <si>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</si>
  <si>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</si>
  <si>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</si>
  <si>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</si>
  <si>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</si>
  <si>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</si>
  <si>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</si>
  <si>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</si>
  <si>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</si>
  <si>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</si>
  <si>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</si>
  <si>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</si>
  <si>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</si>
  <si>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</si>
  <si>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</si>
  <si>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</si>
  <si>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</si>
  <si>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</si>
  <si>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</si>
  <si>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</si>
  <si>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</si>
  <si>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</si>
  <si>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</si>
  <si>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</si>
  <si>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</si>
  <si>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</si>
  <si>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</si>
  <si>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</si>
  <si>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</si>
  <si>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</si>
  <si>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</si>
  <si>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</si>
  <si>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</si>
  <si>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</si>
  <si>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</si>
  <si>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</si>
  <si>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</si>
  <si>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</si>
  <si>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</si>
  <si>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</si>
  <si>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</si>
  <si>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</si>
  <si>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</si>
  <si>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</si>
  <si>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</si>
  <si>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</si>
  <si>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</si>
  <si>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</si>
  <si>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</si>
  <si>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</si>
  <si>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</si>
  <si>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</si>
  <si>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</si>
  <si>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</si>
  <si>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</si>
  <si>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</si>
  <si>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</si>
  <si>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</si>
  <si>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</si>
  <si>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</si>
  <si>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</si>
  <si>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</si>
  <si>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</si>
  <si>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</si>
  <si>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</si>
  <si>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</si>
  <si>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</si>
  <si>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</si>
  <si>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</si>
  <si>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</si>
  <si>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</si>
  <si>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</si>
  <si>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</si>
  <si>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</si>
  <si>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</si>
  <si>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</si>
  <si>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</si>
  <si>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</si>
  <si>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</si>
  <si>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</si>
  <si>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</si>
  <si>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</si>
  <si>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</si>
  <si>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</si>
  <si>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</si>
  <si>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</si>
  <si>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</si>
  <si>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</si>
  <si>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</si>
  <si>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</si>
  <si>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</si>
  <si>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</si>
  <si>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</si>
  <si>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</si>
  <si>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</si>
  <si>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</si>
  <si>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</si>
  <si>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</si>
  <si>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</si>
  <si>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</si>
  <si>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</si>
  <si>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</si>
  <si>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</si>
  <si>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</si>
  <si>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</si>
  <si>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</si>
  <si>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</si>
  <si>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</si>
  <si>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</si>
  <si>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</si>
  <si>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</si>
  <si>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</si>
  <si>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</si>
  <si>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</si>
  <si>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</si>
  <si>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</si>
  <si>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</si>
  <si>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</si>
  <si>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</si>
  <si>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</si>
  <si>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</si>
  <si>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</si>
  <si>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</si>
  <si>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</si>
  <si>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</si>
  <si>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</si>
  <si>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</si>
  <si>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</si>
  <si>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</si>
  <si>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</si>
  <si>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</si>
  <si>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</si>
  <si>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</si>
  <si>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</si>
  <si>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</si>
  <si>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</si>
  <si>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</si>
  <si>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</si>
  <si>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</si>
  <si>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</si>
  <si>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</si>
  <si>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</si>
  <si>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</si>
  <si>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</si>
  <si>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</si>
  <si>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</si>
  <si>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</si>
  <si>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</si>
  <si>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</si>
  <si>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</si>
  <si>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</si>
  <si>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</si>
  <si>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</si>
  <si>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</si>
  <si>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</si>
  <si>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</si>
  <si>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</si>
  <si>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</si>
  <si>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</si>
  <si>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</si>
  <si>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</si>
  <si>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</si>
  <si>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</si>
  <si>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</si>
  <si>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</si>
  <si>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</si>
  <si>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</si>
  <si>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</si>
  <si>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</si>
  <si>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</si>
  <si>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</si>
  <si>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</si>
  <si>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</si>
  <si>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</si>
  <si>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</si>
  <si>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</si>
  <si>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</si>
  <si>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</si>
  <si>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</si>
  <si>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</si>
  <si>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</si>
  <si>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</si>
  <si>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</si>
  <si>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</si>
  <si>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</si>
  <si>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</si>
  <si>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</si>
  <si>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</si>
  <si>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</si>
  <si>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</si>
  <si>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</si>
  <si>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</si>
  <si>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</si>
  <si>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</si>
  <si>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</si>
  <si>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</si>
  <si>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</si>
  <si>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</si>
  <si>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</si>
  <si>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</si>
  <si>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</si>
  <si>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</si>
  <si>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</si>
  <si>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</si>
  <si>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</si>
  <si>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</si>
  <si>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</si>
  <si>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</si>
  <si>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</si>
  <si>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</si>
  <si>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</si>
  <si>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</si>
  <si>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</si>
  <si>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</si>
  <si>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</si>
  <si>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</si>
  <si>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</si>
  <si>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</si>
  <si>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</si>
  <si>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</si>
  <si>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</si>
  <si>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</si>
  <si>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</si>
  <si>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</si>
  <si>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</si>
  <si>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</si>
  <si>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</si>
  <si>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</si>
  <si>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</si>
  <si>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</si>
  <si>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</si>
  <si>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</si>
  <si>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</si>
  <si>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</si>
  <si>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</si>
  <si>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</si>
  <si>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</si>
  <si>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</si>
  <si>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</si>
  <si>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</si>
  <si>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</si>
  <si>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</si>
  <si>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</si>
  <si>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</si>
  <si>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</si>
  <si>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</si>
  <si>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</si>
  <si>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</si>
  <si>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</si>
  <si>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</si>
  <si>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</si>
  <si>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</si>
  <si>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</si>
  <si>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</si>
  <si>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</si>
  <si>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</si>
  <si>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</si>
  <si>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</si>
  <si>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</si>
  <si>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</si>
  <si>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</si>
  <si>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</si>
  <si>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</si>
  <si>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</si>
  <si>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</si>
  <si>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</si>
  <si>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</si>
  <si>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</si>
  <si>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</si>
  <si>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</si>
  <si>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</si>
  <si>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</si>
  <si>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</si>
  <si>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</si>
  <si>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</si>
  <si>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</si>
  <si>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</si>
  <si>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</si>
  <si>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</si>
  <si>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</si>
  <si>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</si>
  <si>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</si>
  <si>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</si>
  <si>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</si>
  <si>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</si>
  <si>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</si>
  <si>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</si>
  <si>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</si>
  <si>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</si>
  <si>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</si>
  <si>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</si>
  <si>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</si>
  <si>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</si>
  <si>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</si>
  <si>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</si>
  <si>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</si>
  <si>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</si>
  <si>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</si>
  <si>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</si>
  <si>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</si>
  <si>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</si>
  <si>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</si>
  <si>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</si>
  <si>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</si>
  <si>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</si>
  <si>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</si>
  <si>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</si>
  <si>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</si>
  <si>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</si>
  <si>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</si>
  <si>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</si>
  <si>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</si>
  <si>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</si>
  <si>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</si>
  <si>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</si>
  <si>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</si>
  <si>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</si>
  <si>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</si>
  <si>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</si>
  <si>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</si>
  <si>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</si>
  <si>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</si>
  <si>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</si>
  <si>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</si>
  <si>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</si>
  <si>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</si>
  <si>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</si>
  <si>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</si>
  <si>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</si>
  <si>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</si>
  <si>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</si>
  <si>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</si>
  <si>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</si>
  <si>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</si>
  <si>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</si>
  <si>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</si>
  <si>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</si>
  <si>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</si>
  <si>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</si>
  <si>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</si>
  <si>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</si>
  <si>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</si>
  <si>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</si>
  <si>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</si>
  <si>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</si>
  <si>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</si>
  <si>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</si>
  <si>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</si>
  <si>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</si>
  <si>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</si>
  <si>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</si>
  <si>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</si>
  <si>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</si>
  <si>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</si>
  <si>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</si>
  <si>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</si>
  <si>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</si>
  <si>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</si>
  <si>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</si>
  <si>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</si>
  <si>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</si>
  <si>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</si>
  <si>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</si>
  <si>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</si>
  <si>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</si>
  <si>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</si>
  <si>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</si>
  <si>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</si>
  <si>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</si>
  <si>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</si>
  <si>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</si>
  <si>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</si>
  <si>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</si>
  <si>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</si>
  <si>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</si>
  <si>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</si>
  <si>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</si>
  <si>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</si>
  <si>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</si>
  <si>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</si>
  <si>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</si>
  <si>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</si>
  <si>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</si>
  <si>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</si>
  <si>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</si>
  <si>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</si>
  <si>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</si>
  <si>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</si>
  <si>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</si>
  <si>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</si>
  <si>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</si>
  <si>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</si>
  <si>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</si>
  <si>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</si>
  <si>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</si>
  <si>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</si>
  <si>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</si>
  <si>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</si>
  <si>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</si>
  <si>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</si>
  <si>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</si>
  <si>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</si>
  <si>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</si>
  <si>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</si>
  <si>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</si>
  <si>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</si>
  <si>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</si>
  <si>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</si>
  <si>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</si>
  <si>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</si>
  <si>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</si>
  <si>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</si>
  <si>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</si>
  <si>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</si>
  <si>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</si>
  <si>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</si>
  <si>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</si>
  <si>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</si>
  <si>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</si>
  <si>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</si>
  <si>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</si>
  <si>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</si>
  <si>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</si>
  <si>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</si>
  <si>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</si>
  <si>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</si>
  <si>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</si>
  <si>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</si>
  <si>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</si>
  <si>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</si>
  <si>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</si>
  <si>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</si>
  <si>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</si>
  <si>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</si>
  <si>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</si>
  <si>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</si>
  <si>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</si>
  <si>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</si>
  <si>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</si>
  <si>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</si>
  <si>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</si>
  <si>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</si>
  <si>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</si>
  <si>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</si>
  <si>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</si>
  <si>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</si>
  <si>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</si>
  <si>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</si>
  <si>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</si>
  <si>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</si>
  <si>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</si>
  <si>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</si>
  <si>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</si>
  <si>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</si>
  <si>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</si>
  <si>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</si>
  <si>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</si>
  <si>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</si>
  <si>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</si>
  <si>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</si>
  <si>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</si>
  <si>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</si>
  <si>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</si>
  <si>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</si>
  <si>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</si>
  <si>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</si>
  <si>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</si>
  <si>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</si>
  <si>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</si>
  <si>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</si>
  <si>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</si>
  <si>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</si>
  <si>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</si>
  <si>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</si>
  <si>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</si>
  <si>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</si>
  <si>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</si>
  <si>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</si>
  <si>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</si>
  <si>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</si>
  <si>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</si>
  <si>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</si>
  <si>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</si>
  <si>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</si>
  <si>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</si>
  <si>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</si>
  <si>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</si>
  <si>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</si>
  <si>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</si>
  <si>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</si>
  <si>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</si>
  <si>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</si>
  <si>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</si>
  <si>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</si>
  <si>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</si>
  <si>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</si>
  <si>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</si>
  <si>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</si>
  <si>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</si>
  <si>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</si>
  <si>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</si>
  <si>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</si>
  <si>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</si>
  <si>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</si>
  <si>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</si>
  <si>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</si>
  <si>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</si>
  <si>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</si>
  <si>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</si>
  <si>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</si>
  <si>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</si>
  <si>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</si>
  <si>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</si>
  <si>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</si>
  <si>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</si>
  <si>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</si>
  <si>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</si>
  <si>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</si>
  <si>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</si>
  <si>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</si>
  <si>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</si>
  <si>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</si>
  <si>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</si>
  <si>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</si>
  <si>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</si>
  <si>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</si>
  <si>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</si>
  <si>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</si>
  <si>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</si>
  <si>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</si>
  <si>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</si>
  <si>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</si>
  <si>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</si>
  <si>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</si>
  <si>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</si>
  <si>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</si>
  <si>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</si>
  <si>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</si>
  <si>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</si>
  <si>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</si>
  <si>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</si>
  <si>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</si>
  <si>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</si>
  <si>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</si>
  <si>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</si>
  <si>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</si>
  <si>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</si>
  <si>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</si>
  <si>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</si>
  <si>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</si>
  <si>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</si>
  <si>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</si>
  <si>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</si>
  <si>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</si>
  <si>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</si>
  <si>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</si>
  <si>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</si>
  <si>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</si>
  <si>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</si>
  <si>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</si>
  <si>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</si>
  <si>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</si>
  <si>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</si>
  <si>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</si>
  <si>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</si>
  <si>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</si>
  <si>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</si>
  <si>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</si>
  <si>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</si>
  <si>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</si>
  <si>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</si>
  <si>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</si>
  <si>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</si>
  <si>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</si>
  <si>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</si>
  <si>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</si>
  <si>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</si>
  <si>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</si>
  <si>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</si>
  <si>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</si>
  <si>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</si>
  <si>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</si>
  <si>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</si>
  <si>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</si>
  <si>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</si>
  <si>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</si>
  <si>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</si>
  <si>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</si>
  <si>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</si>
  <si>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</si>
  <si>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</si>
  <si>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</si>
  <si>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</si>
  <si>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</si>
  <si>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</si>
  <si>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</si>
  <si>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</si>
  <si>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</si>
  <si>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</si>
  <si>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</si>
  <si>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</si>
  <si>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</si>
  <si>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</si>
  <si>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</si>
  <si>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</si>
  <si>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</si>
  <si>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</si>
  <si>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</si>
  <si>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</si>
  <si>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</si>
  <si>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</si>
  <si>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</si>
  <si>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</si>
  <si>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</si>
  <si>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</si>
  <si>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</si>
  <si>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</si>
  <si>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</si>
  <si>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</si>
  <si>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</si>
  <si>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</si>
  <si>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</si>
  <si>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</si>
  <si>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</si>
  <si>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</si>
  <si>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</si>
  <si>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</si>
  <si>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</si>
  <si>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</si>
  <si>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</si>
  <si>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</si>
  <si>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</si>
  <si>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</si>
  <si>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</si>
  <si>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</si>
  <si>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</si>
  <si>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</si>
  <si>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</si>
  <si>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</si>
  <si>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</si>
  <si>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</si>
  <si>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</si>
  <si>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</si>
  <si>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</si>
  <si>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</si>
  <si>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</si>
  <si>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</si>
  <si>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</si>
  <si>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</si>
  <si>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</si>
  <si>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</si>
  <si>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</si>
  <si>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</si>
  <si>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</si>
  <si>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</si>
  <si>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</si>
  <si>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</si>
  <si>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</si>
  <si>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</si>
  <si>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</si>
  <si>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</si>
  <si>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</si>
  <si>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</si>
  <si>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</si>
  <si>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</si>
  <si>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</si>
  <si>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</si>
  <si>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</si>
  <si>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</si>
  <si>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</si>
  <si>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</si>
  <si>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</si>
  <si>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</si>
  <si>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</si>
  <si>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</si>
  <si>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</si>
  <si>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</si>
  <si>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</si>
  <si>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</si>
  <si>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</si>
  <si>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</si>
  <si>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</si>
  <si>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</si>
  <si>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</si>
  <si>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</si>
  <si>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</si>
  <si>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</si>
  <si>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</si>
  <si>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</si>
  <si>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</si>
  <si>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</si>
  <si>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</si>
  <si>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</si>
  <si>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</si>
  <si>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</si>
  <si>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</si>
  <si>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</si>
  <si>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</si>
  <si>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</si>
  <si>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</si>
  <si>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</si>
  <si>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</si>
  <si>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</si>
  <si>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</si>
  <si>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</si>
  <si>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</si>
  <si>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</si>
  <si>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</si>
  <si>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</si>
  <si>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</si>
  <si>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</si>
  <si>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</si>
  <si>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</si>
  <si>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</si>
  <si>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</si>
  <si>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</si>
  <si>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</si>
  <si>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</si>
  <si>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</si>
  <si>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</si>
  <si>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</si>
  <si>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</si>
  <si>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</si>
  <si>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</si>
  <si>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</si>
  <si>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</si>
  <si>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</si>
  <si>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</si>
  <si>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</si>
  <si>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</si>
  <si>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</si>
  <si>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</si>
  <si>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</si>
  <si>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</si>
  <si>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</si>
  <si>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</si>
  <si>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</si>
  <si>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</si>
  <si>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</si>
  <si>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</si>
  <si>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</si>
  <si>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</si>
  <si>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</si>
  <si>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</si>
  <si>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</si>
  <si>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</si>
  <si>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</si>
  <si>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</si>
  <si>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</si>
  <si>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</si>
  <si>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</si>
  <si>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</si>
  <si>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</si>
  <si>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</si>
  <si>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</si>
  <si>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</si>
  <si>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</si>
  <si>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</si>
  <si>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</si>
  <si>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</si>
  <si>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</si>
  <si>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</si>
  <si>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</si>
  <si>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</si>
  <si>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</si>
  <si>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</si>
  <si>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</si>
  <si>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</si>
  <si>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</si>
  <si>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</si>
  <si>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</si>
  <si>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</si>
  <si>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</si>
  <si>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</si>
  <si>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</si>
  <si>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</si>
  <si>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</si>
  <si>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</si>
  <si>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</si>
  <si>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</si>
  <si>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</si>
  <si>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</si>
  <si>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</si>
  <si>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</si>
  <si>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</si>
  <si>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</si>
  <si>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</si>
  <si>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</si>
  <si>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</si>
  <si>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</si>
  <si>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</si>
  <si>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</si>
  <si>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</si>
  <si>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</si>
  <si>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</si>
  <si>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</si>
  <si>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</si>
  <si>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</si>
  <si>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</si>
  <si>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</si>
  <si>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</si>
  <si>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</si>
  <si>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</si>
  <si>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</si>
  <si>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</si>
  <si>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</si>
  <si>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</si>
  <si>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</si>
  <si>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</si>
  <si>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</si>
  <si>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</si>
  <si>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</si>
  <si>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</si>
  <si>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</si>
  <si>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</si>
  <si>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</si>
  <si>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</si>
  <si>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</si>
  <si>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</si>
  <si>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</si>
  <si>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</si>
  <si>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</si>
  <si>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</si>
  <si>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</si>
  <si>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</si>
  <si>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</si>
  <si>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</si>
  <si>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</si>
  <si>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</si>
  <si>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</si>
  <si>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</si>
  <si>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</si>
  <si>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</si>
  <si>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</si>
  <si>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</si>
  <si>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</si>
  <si>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</si>
  <si>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</si>
  <si>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</si>
  <si>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</si>
  <si>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</si>
  <si>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</si>
  <si>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</si>
  <si>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</si>
  <si>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</si>
  <si>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</si>
  <si>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</si>
  <si>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</si>
  <si>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</si>
  <si>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</si>
  <si>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</si>
  <si>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</si>
  <si>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</si>
  <si>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</si>
  <si>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</si>
  <si>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</si>
  <si>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</si>
  <si>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</si>
  <si>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</si>
  <si>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</si>
  <si>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</si>
  <si>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</si>
  <si>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</si>
  <si>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</si>
  <si>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</si>
  <si>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</si>
  <si>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</si>
  <si>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</si>
  <si>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</si>
  <si>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</si>
  <si>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</si>
  <si>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</si>
  <si>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</si>
  <si>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</si>
  <si>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</si>
  <si>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</si>
  <si>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</si>
  <si>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</si>
  <si>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</si>
  <si>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</si>
  <si>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</si>
  <si>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</si>
  <si>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</si>
  <si>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</si>
  <si>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</si>
  <si>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</si>
  <si>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</si>
  <si>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</si>
  <si>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</si>
  <si>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</si>
  <si>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</si>
  <si>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</si>
  <si>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</si>
  <si>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</si>
  <si>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</si>
  <si>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</si>
  <si>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</si>
  <si>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</si>
  <si>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</si>
  <si>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</si>
  <si>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</si>
  <si>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</si>
  <si>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</si>
  <si>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</si>
  <si>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</si>
  <si>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</si>
  <si>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</si>
  <si>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</si>
  <si>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</si>
  <si>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</si>
  <si>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</si>
  <si>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</si>
  <si>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</si>
  <si>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</si>
  <si>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</si>
  <si>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</si>
  <si>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</si>
  <si>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</si>
  <si>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</si>
  <si>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</si>
  <si>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</si>
  <si>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</si>
  <si>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</si>
  <si>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</si>
  <si>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</si>
  <si>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</si>
  <si>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</si>
  <si>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</si>
  <si>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</si>
  <si>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</si>
  <si>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</si>
  <si>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</si>
  <si>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</si>
  <si>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</si>
  <si>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</si>
  <si>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</si>
  <si>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</si>
  <si>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</si>
  <si>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</si>
  <si>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</si>
  <si>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</si>
  <si>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</si>
  <si>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</si>
  <si>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</si>
  <si>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</si>
  <si>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</si>
  <si>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</si>
  <si>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</si>
  <si>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</si>
  <si>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</si>
  <si>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</si>
  <si>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</si>
  <si>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</si>
  <si>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</si>
  <si>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</si>
  <si>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</si>
  <si>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</si>
  <si>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</si>
  <si>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</si>
  <si>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</si>
  <si>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</si>
  <si>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</si>
  <si>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</si>
  <si>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</si>
  <si>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</si>
  <si>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</si>
  <si>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</si>
  <si>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</si>
  <si>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</si>
  <si>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</si>
  <si>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</si>
  <si>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</si>
  <si>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</si>
  <si>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</si>
  <si>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</si>
  <si>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</si>
  <si>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</si>
  <si>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</si>
  <si>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</si>
  <si>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</si>
  <si>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</si>
  <si>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</si>
  <si>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</si>
  <si>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</si>
  <si>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</si>
  <si>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</si>
  <si>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</si>
  <si>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</si>
  <si>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</si>
  <si>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</si>
  <si>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</si>
  <si>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</si>
  <si>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</si>
  <si>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</si>
  <si>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</si>
  <si>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</si>
  <si>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</si>
  <si>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</si>
  <si>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</si>
  <si>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</si>
  <si>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</si>
  <si>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</si>
  <si>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</si>
  <si>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</si>
  <si>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</si>
  <si>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</si>
  <si>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</si>
  <si>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</si>
  <si>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</si>
  <si>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</si>
  <si>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</si>
  <si>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</si>
  <si>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</si>
  <si>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</si>
  <si>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</si>
  <si>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</si>
  <si>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</si>
  <si>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</si>
  <si>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</si>
  <si>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</si>
  <si>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</si>
  <si>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</si>
  <si>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</si>
  <si>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</si>
  <si>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</si>
  <si>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</si>
  <si>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</si>
  <si>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</si>
  <si>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</si>
  <si>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</si>
  <si>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</si>
  <si>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</si>
  <si>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</si>
  <si>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</si>
  <si>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</si>
  <si>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</si>
  <si>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</si>
  <si>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</si>
  <si>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</si>
  <si>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</si>
  <si>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</si>
  <si>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</si>
  <si>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</si>
  <si>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</si>
  <si>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</si>
  <si>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</si>
  <si>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</si>
  <si>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</si>
  <si>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</si>
  <si>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</si>
  <si>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</si>
  <si>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</si>
  <si>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</si>
  <si>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</si>
  <si>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</si>
  <si>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</si>
  <si>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</si>
  <si>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</si>
  <si>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</si>
  <si>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</si>
  <si>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</si>
  <si>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</si>
  <si>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</si>
  <si>
    <t>Mbappe</t>
  </si>
  <si>
    <t>Neymar</t>
  </si>
  <si>
    <t>Kylian Mbappé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</si>
</sst>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9">
    <font>
      <sz val="11"/>
      <color theme="1"/>
      <name val="Calibri"/>
      <family val="2"/>
      <scheme val="minor"/>
    </font>
    <font>
      <b/>
      <sz val="20"/>
      <color rgb="FFFFFFFF"/>
      <name val="Arial"/>
    </font>
    <font>
      <b/>
      <sz val="13"/>
      <color rgb="FFFFFFFF"/>
      <name val="Arial"/>
    </font>
    <font>
      <b/>
      <sz val="12"/>
      <color rgb="FF1F3864"/>
      <name val="Arial"/>
    </font>
    <font>
      <sz val="10"/>
      <color rgb="FF1A1A2E"/>
      <name val="Arial"/>
    </font>
    <font>
      <b/>
      <sz val="10"/>
      <color rgb="FF2E75B6"/>
      <name val="Arial"/>
    </font>
    <font>
      <b/>
      <sz val="16"/>
      <color rgb="FFFFFFFF"/>
      <name val="Arial"/>
    </font>
    <font>
      <b/>
      <sz val="10"/>
      <color rgb="FFFFFFFF"/>
      <name val="Arial"/>
    </font>
    <font>
      <b/>
      <sz val="10"/>
      <color rgb="FF1A1A2E"/>
      <name val="Arial"/>
    </font>
    <font>
      <b/>
      <sz val="11"/>
      <color rgb="FF1F3864"/>
      <name val="Arial"/>
    </font>
    <font>
      <sz val="10"/>
      <color rgb="FF2E75B6"/>
      <name val="Arial"/>
    </font>
    <font>
      <i/>
      <sz val="10"/>
      <color rgb="FF2E75B6"/>
      <name val="Arial"/>
    </font>
    <font>
      <b/>
      <sz val="12"/>
      <color rgb="FFFFFFFF"/>
      <name val="Arial"/>
    </font>
    <font>
      <b/>
      <sz val="9"/>
      <color rgb="FFFFFFFF"/>
      <name val="Arial"/>
    </font>
    <font>
      <b/>
      <sz val="7"/>
      <color rgb="FFFFFFFF"/>
      <name val="Arial"/>
    </font>
    <font>
      <b/>
      <sz val="10"/>
      <color rgb="FF1F3864"/>
      <name val="Arial"/>
    </font>
    <font>
      <b/>
      <sz val="11"/>
      <color rgb="FF8B0000"/>
      <name val="Arial"/>
    </font>
    <font>
      <sz val="6"/>
      <color rgb="FFFFFFFF"/>
      <name val="Arial"/>
    </font>
    <font>
      <sz val="9"/>
      <color rgb="FF1A1A2E"/>
      <name val="Arial"/>
    </font>
    <font>
      <b/>
      <sz val="10"/>
      <color rgb="FF2980B9"/>
      <name val="Arial"/>
    </font>
    <font>
      <b/>
      <sz val="10"/>
      <color rgb="FF2471A3"/>
      <name val="Arial"/>
    </font>
    <font>
      <b/>
      <sz val="10"/>
      <color rgb="FF1E8449"/>
      <name val="Arial"/>
    </font>
    <font>
      <b/>
      <sz val="10"/>
      <color rgb="FF27AE60"/>
      <name val="Arial"/>
    </font>
    <font>
      <b/>
      <sz val="10"/>
      <color rgb="FF9B59B6"/>
      <name val="Arial"/>
    </font>
    <font>
      <b/>
      <sz val="10"/>
      <color rgb="FF7D3C98"/>
      <name val="Arial"/>
    </font>
    <font>
      <b/>
      <sz val="10"/>
      <color rgb="FFC0392B"/>
      <name val="Arial"/>
    </font>
    <font>
      <b/>
      <sz val="10"/>
      <color rgb="FF922B21"/>
      <name val="Arial"/>
    </font>
    <font>
      <b/>
      <sz val="10"/>
      <color rgb="FFD35400"/>
      <name val="Arial"/>
    </font>
    <font>
      <b/>
      <sz val="10"/>
      <color rgb="FFE67E22"/>
      <name val="Arial"/>
    </font>
    <font>
      <b/>
      <sz val="10"/>
      <color rgb="FF17A589"/>
      <name val="Arial"/>
    </font>
    <font>
      <b/>
      <sz val="10"/>
      <color rgb="FF148F77"/>
      <name val="Arial"/>
    </font>
    <font>
      <b/>
      <sz val="10"/>
      <color rgb="FF7B1FA2"/>
      <name val="Arial"/>
    </font>
    <font>
      <b/>
      <sz val="9"/>
      <color rgb="FF7B1FA2"/>
      <name val="Arial"/>
    </font>
    <font>
      <b/>
      <sz val="11"/>
      <color rgb="FF2E75B6"/>
      <name val="Arial"/>
    </font>
    <font>
      <i/>
      <sz val="10"/>
      <color rgb="FFFF9800"/>
      <name val="Arial"/>
    </font>
    <font>
      <b/>
      <sz val="10"/>
      <color rgb="FF1565C0"/>
      <name val="Arial"/>
    </font>
    <font>
      <sz val="10"/>
      <color rgb="FF1F3864"/>
      <name val="Arial"/>
    </font>
    <font>
      <b/>
      <sz val="10"/>
      <color rgb="FFFF9800"/>
      <name val="Arial"/>
    </font>
    <font>
      <sz val="9"/>
      <color rgb="FF00897B"/>
      <name val="Arial"/>
    </font>
    <font>
      <b/>
      <sz val="10"/>
      <color rgb="FF283593"/>
      <name val="Arial"/>
    </font>
    <font>
      <b/>
      <sz val="10"/>
      <color rgb="FF1B5E20"/>
      <name val="Arial"/>
    </font>
    <font>
      <b/>
      <sz val="10"/>
      <color rgb="FF880E4F"/>
      <name val="Arial"/>
    </font>
    <font>
      <b/>
      <sz val="10"/>
      <color rgb="FFBF360C"/>
      <name val="Arial"/>
    </font>
    <font>
      <b/>
      <sz val="10"/>
      <color rgb="FFB71C1C"/>
      <name val="Arial"/>
    </font>
    <font>
      <b/>
      <sz val="9"/>
      <color rgb="FF1F3864"/>
      <name val="Arial"/>
    </font>
    <font>
      <b/>
      <sz val="8"/>
      <color rgb="FF1F3864"/>
      <name val="Arial"/>
    </font>
    <font>
      <sz val="8"/>
      <color rgb="FF1F3864"/>
      <name val="Arial"/>
    </font>
    <font>
      <b/>
      <sz val="9"/>
      <color rgb="FF8B4000"/>
      <name val="Arial"/>
    </font>
    <font>
      <b/>
      <sz val="13"/>
      <color rgb="FF8B4000"/>
      <name val="Arial"/>
    </font>
    <font>
      <b/>
      <sz val="18"/>
      <color rgb="FFFFFFFF"/>
      <name val="Arial"/>
    </font>
    <font>
      <i/>
      <sz val="11"/>
      <color rgb="FF2E75B6"/>
      <name val="Arial"/>
    </font>
    <font>
      <b/>
      <sz val="14"/>
      <color rgb="FF1A5E0A"/>
      <name val="Arial"/>
    </font>
    <font>
      <b/>
      <sz val="12"/>
      <color rgb="FF1A5E0A"/>
      <name val="Arial"/>
    </font>
    <font>
      <sz val="10"/>
      <color rgb="FF1A5E0A"/>
      <name val="Arial"/>
    </font>
    <font>
      <b/>
      <sz val="14"/>
      <color rgb="FF2C2C2C"/>
      <name val="Arial"/>
    </font>
    <font>
      <b/>
      <sz val="12"/>
      <color rgb="FF2C2C2C"/>
      <name val="Arial"/>
    </font>
    <font>
      <sz val="10"/>
      <color rgb="FF2C2C2C"/>
      <name val="Arial"/>
    </font>
    <font>
      <b/>
      <sz val="14"/>
      <color rgb="FF6B3A00"/>
      <name val="Arial"/>
    </font>
    <font>
      <b/>
      <sz val="12"/>
      <color rgb="FF6B3A00"/>
      <name val="Arial"/>
    </font>
    <font>
      <sz val="10"/>
      <color rgb="FF6B3A00"/>
      <name val="Arial"/>
    </font>
    <font>
      <b/>
      <sz val="14"/>
      <color rgb="FF1A1A2E"/>
      <name val="Arial"/>
    </font>
    <font>
      <b/>
      <sz val="12"/>
      <color rgb="FF1A1A2E"/>
      <name val="Arial"/>
    </font>
    <font>
      <b/>
      <sz val="13"/>
      <name val="Arial"/>
    </font>
    <font>
      <b/>
      <sz val="10"/>
      <name val="Arial"/>
    </font>
    <font>
      <sz val="10"/>
      <name val="Arial"/>
    </font>
    <font>
      <sz val="11"/>
      <color theme="1"/>
      <name val="Aptos Narrow"/>
    </font>
    <font>
      <b/>
      <sz val="11"/>
      <color rgb="FF1F3864"/>
      <name val="Arial"/>
      <charset val="1"/>
    </font>
    <font>
      <b/>
      <sz val="13"/>
      <color rgb="FF8B4000"/>
      <name val="Arial"/>
      <charset val="1"/>
    </font>
    <font>
      <b/>
      <sz val="11"/>
      <color rgb="FF8B0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1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2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68" fillId="3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05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workbookViewId="0">
      <pane ySplit="2" topLeftCell="A3" activePane="bottomLeft" state="frozen"/>
      <selection pane="bottomLeft" activeCell="F3" sqref="F3:G74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05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1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>
        <v>1</v>
      </c>
      <c r="G5" s="10">
        <v>0</v>
      </c>
      <c r="H5" s="11" t="str">
        <f t="shared" si="0"/>
        <v>Finalizado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>
        <v>2</v>
      </c>
      <c r="G6" s="10">
        <v>1</v>
      </c>
      <c r="H6" s="11" t="str">
        <f t="shared" si="0"/>
        <v>Finalizado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>
        <v>1</v>
      </c>
      <c r="G7" s="10">
        <v>2</v>
      </c>
      <c r="H7" s="11" t="str">
        <f t="shared" si="0"/>
        <v>Finalizado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>
        <v>1</v>
      </c>
      <c r="G8" s="10">
        <v>3</v>
      </c>
      <c r="H8" s="11" t="str">
        <f t="shared" si="0"/>
        <v>Finalizado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0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0</v>
      </c>
      <c r="G10" s="10">
        <v>3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>
        <v>2</v>
      </c>
      <c r="G11" s="10">
        <v>0</v>
      </c>
      <c r="H11" s="16" t="str">
        <f t="shared" si="0"/>
        <v>Finalizado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>
        <v>1</v>
      </c>
      <c r="G12" s="10">
        <v>0</v>
      </c>
      <c r="H12" s="16" t="str">
        <f t="shared" si="0"/>
        <v>Finalizado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>
        <v>2</v>
      </c>
      <c r="G13" s="10">
        <v>1</v>
      </c>
      <c r="H13" s="16" t="str">
        <f t="shared" si="0"/>
        <v>Finalizado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>
        <v>1</v>
      </c>
      <c r="G14" s="10">
        <v>0</v>
      </c>
      <c r="H14" s="16" t="str">
        <f t="shared" si="0"/>
        <v>Finalizado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2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0</v>
      </c>
      <c r="G16" s="10">
        <v>2</v>
      </c>
      <c r="H16" s="21" t="str">
        <f t="shared" si="0"/>
        <v>Finalizado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>
        <v>1</v>
      </c>
      <c r="G17" s="10">
        <v>3</v>
      </c>
      <c r="H17" s="21" t="str">
        <f t="shared" si="0"/>
        <v>Finalizado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>
        <v>4</v>
      </c>
      <c r="G18" s="10">
        <v>0</v>
      </c>
      <c r="H18" s="21" t="str">
        <f t="shared" si="0"/>
        <v>Finalizado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>
        <v>1</v>
      </c>
      <c r="G19" s="10">
        <v>3</v>
      </c>
      <c r="H19" s="21" t="str">
        <f t="shared" si="0"/>
        <v>Finalizado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>
        <v>3</v>
      </c>
      <c r="G20" s="10">
        <v>0</v>
      </c>
      <c r="H20" s="21" t="str">
        <f t="shared" si="0"/>
        <v>Finalizado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1</v>
      </c>
      <c r="G21" s="10">
        <v>0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>
        <v>1</v>
      </c>
      <c r="G22" s="10">
        <v>2</v>
      </c>
      <c r="H22" s="26" t="str">
        <f t="shared" si="0"/>
        <v>Finalizado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>
        <v>2</v>
      </c>
      <c r="G23" s="10">
        <v>0</v>
      </c>
      <c r="H23" s="26" t="str">
        <f t="shared" si="0"/>
        <v>Finalizado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>
        <v>1</v>
      </c>
      <c r="G24" s="10">
        <v>0</v>
      </c>
      <c r="H24" s="26" t="str">
        <f t="shared" si="0"/>
        <v>Finalizado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>
        <v>1</v>
      </c>
      <c r="G25" s="10">
        <v>1</v>
      </c>
      <c r="H25" s="26" t="str">
        <f t="shared" si="0"/>
        <v>Finalizado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>
        <v>0</v>
      </c>
      <c r="G26" s="10">
        <v>0</v>
      </c>
      <c r="H26" s="26" t="str">
        <f t="shared" si="0"/>
        <v>Finalizado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>
        <v>4</v>
      </c>
      <c r="G27" s="10">
        <v>0</v>
      </c>
      <c r="H27" s="31" t="str">
        <f t="shared" si="0"/>
        <v>Finalizado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>
        <v>0</v>
      </c>
      <c r="G28" s="10">
        <v>2</v>
      </c>
      <c r="H28" s="31" t="str">
        <f t="shared" si="0"/>
        <v>Finalizado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>
        <v>2</v>
      </c>
      <c r="G29" s="10">
        <v>1</v>
      </c>
      <c r="H29" s="31" t="str">
        <f t="shared" si="0"/>
        <v>Finalizado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>
        <v>2</v>
      </c>
      <c r="G30" s="10">
        <v>0</v>
      </c>
      <c r="H30" s="31" t="str">
        <f t="shared" si="0"/>
        <v>Finalizado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>
        <v>1</v>
      </c>
      <c r="G31" s="10">
        <v>2</v>
      </c>
      <c r="H31" s="31" t="str">
        <f t="shared" si="0"/>
        <v>Finalizado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>
        <v>0</v>
      </c>
      <c r="G32" s="10">
        <v>1</v>
      </c>
      <c r="H32" s="31" t="str">
        <f t="shared" si="0"/>
        <v>Finalizado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>
        <v>1</v>
      </c>
      <c r="G33" s="10">
        <v>1</v>
      </c>
      <c r="H33" s="36" t="str">
        <f t="shared" si="0"/>
        <v>Finalizado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>
        <v>1</v>
      </c>
      <c r="G34" s="10">
        <v>0</v>
      </c>
      <c r="H34" s="36" t="str">
        <f t="shared" si="0"/>
        <v>Finalizado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>
        <v>2</v>
      </c>
      <c r="G35" s="10">
        <v>0</v>
      </c>
      <c r="H35" s="36" t="str">
        <f t="shared" ref="H35:H66" si="1">IF(AND(F35="",G35=""),"Aguardando",IF(AND(ISNUMBER(F35),ISNUMBER(G35)),"Finalizado","Verificar"))</f>
        <v>Finalizado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>
        <v>0</v>
      </c>
      <c r="G36" s="10">
        <v>1</v>
      </c>
      <c r="H36" s="36" t="str">
        <f t="shared" si="1"/>
        <v>Finalizado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>
        <v>1</v>
      </c>
      <c r="G37" s="10">
        <v>1</v>
      </c>
      <c r="H37" s="36" t="str">
        <f t="shared" si="1"/>
        <v>Finalizado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>
        <v>0</v>
      </c>
      <c r="G38" s="10">
        <v>1</v>
      </c>
      <c r="H38" s="36" t="str">
        <f t="shared" si="1"/>
        <v>Finalizado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>
        <v>2</v>
      </c>
      <c r="G39" s="10">
        <v>1</v>
      </c>
      <c r="H39" s="41" t="str">
        <f t="shared" si="1"/>
        <v>Finalizado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>
        <v>1</v>
      </c>
      <c r="G40" s="10">
        <v>0</v>
      </c>
      <c r="H40" s="41" t="str">
        <f t="shared" si="1"/>
        <v>Finalizado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>
        <v>3</v>
      </c>
      <c r="G41" s="10">
        <v>0</v>
      </c>
      <c r="H41" s="41" t="str">
        <f t="shared" si="1"/>
        <v>Finalizado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>
        <v>0</v>
      </c>
      <c r="G42" s="10">
        <v>2</v>
      </c>
      <c r="H42" s="41" t="str">
        <f t="shared" si="1"/>
        <v>Finalizado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>
        <v>1</v>
      </c>
      <c r="G43" s="10">
        <v>0</v>
      </c>
      <c r="H43" s="41" t="str">
        <f t="shared" si="1"/>
        <v>Finalizado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>
        <v>1</v>
      </c>
      <c r="G44" s="10">
        <v>3</v>
      </c>
      <c r="H44" s="41" t="str">
        <f t="shared" si="1"/>
        <v>Finalizado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>
        <v>4</v>
      </c>
      <c r="G45" s="10">
        <v>0</v>
      </c>
      <c r="H45" s="46" t="str">
        <f t="shared" si="1"/>
        <v>Finalizado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>
        <v>1</v>
      </c>
      <c r="G46" s="10">
        <v>2</v>
      </c>
      <c r="H46" s="46" t="str">
        <f t="shared" si="1"/>
        <v>Finalizado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>
        <v>3</v>
      </c>
      <c r="G47" s="10">
        <v>0</v>
      </c>
      <c r="H47" s="46" t="str">
        <f t="shared" si="1"/>
        <v>Finalizado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>
        <v>2</v>
      </c>
      <c r="G48" s="10">
        <v>0</v>
      </c>
      <c r="H48" s="46" t="str">
        <f t="shared" si="1"/>
        <v>Finalizado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>
        <v>0</v>
      </c>
      <c r="G49" s="10">
        <v>1</v>
      </c>
      <c r="H49" s="46" t="str">
        <f t="shared" si="1"/>
        <v>Finalizado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>
        <v>1</v>
      </c>
      <c r="G50" s="10">
        <v>3</v>
      </c>
      <c r="H50" s="46" t="str">
        <f t="shared" si="1"/>
        <v>Finalizado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>
        <v>4</v>
      </c>
      <c r="G51" s="10">
        <v>1</v>
      </c>
      <c r="H51" s="51" t="str">
        <f t="shared" si="1"/>
        <v>Finalizado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>
        <v>0</v>
      </c>
      <c r="G52" s="10">
        <v>2</v>
      </c>
      <c r="H52" s="51" t="str">
        <f t="shared" si="1"/>
        <v>Finalizado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>
        <v>4</v>
      </c>
      <c r="G53" s="10">
        <v>0</v>
      </c>
      <c r="H53" s="51" t="str">
        <f t="shared" si="1"/>
        <v>Finalizado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>
        <v>1</v>
      </c>
      <c r="G54" s="10">
        <v>0</v>
      </c>
      <c r="H54" s="51" t="str">
        <f t="shared" si="1"/>
        <v>Finalizado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>
        <v>1</v>
      </c>
      <c r="G55" s="10">
        <v>3</v>
      </c>
      <c r="H55" s="51" t="str">
        <f t="shared" si="1"/>
        <v>Finalizado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>
        <v>1</v>
      </c>
      <c r="G56" s="10">
        <v>0</v>
      </c>
      <c r="H56" s="51" t="str">
        <f t="shared" si="1"/>
        <v>Finalizado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>
        <v>3</v>
      </c>
      <c r="G57" s="10">
        <v>0</v>
      </c>
      <c r="H57" s="56" t="str">
        <f t="shared" si="1"/>
        <v>Finalizado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>
        <v>1</v>
      </c>
      <c r="G58" s="10">
        <v>0</v>
      </c>
      <c r="H58" s="56" t="str">
        <f t="shared" si="1"/>
        <v>Finalizado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>
        <v>3</v>
      </c>
      <c r="G59" s="10">
        <v>0</v>
      </c>
      <c r="H59" s="56" t="str">
        <f t="shared" si="1"/>
        <v>Finalizado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>
        <v>1</v>
      </c>
      <c r="G60" s="10">
        <v>2</v>
      </c>
      <c r="H60" s="56" t="str">
        <f t="shared" si="1"/>
        <v>Finalizado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>
        <v>2</v>
      </c>
      <c r="G61" s="10">
        <v>0</v>
      </c>
      <c r="H61" s="56" t="str">
        <f t="shared" si="1"/>
        <v>Finalizado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>
        <v>0</v>
      </c>
      <c r="G62" s="10">
        <v>3</v>
      </c>
      <c r="H62" s="56" t="str">
        <f t="shared" si="1"/>
        <v>Finalizado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>
        <v>2</v>
      </c>
      <c r="G63" s="10">
        <v>0</v>
      </c>
      <c r="H63" s="61" t="str">
        <f t="shared" si="1"/>
        <v>Finalizado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>
        <v>0</v>
      </c>
      <c r="G64" s="10">
        <v>1</v>
      </c>
      <c r="H64" s="61" t="str">
        <f t="shared" si="1"/>
        <v>Finalizado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>
        <v>2</v>
      </c>
      <c r="G65" s="10">
        <v>0</v>
      </c>
      <c r="H65" s="61" t="str">
        <f t="shared" si="1"/>
        <v>Finalizado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>
        <v>1</v>
      </c>
      <c r="G66" s="10">
        <v>0</v>
      </c>
      <c r="H66" s="61" t="str">
        <f t="shared" si="1"/>
        <v>Finalizado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>
        <v>0</v>
      </c>
      <c r="G67" s="10">
        <v>1</v>
      </c>
      <c r="H67" s="61" t="str">
        <f t="shared" ref="H67:H74" si="2">IF(AND(F67="",G67=""),"Aguardando",IF(AND(ISNUMBER(F67),ISNUMBER(G67)),"Finalizado","Verificar"))</f>
        <v>Finalizado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>
        <v>0</v>
      </c>
      <c r="G68" s="10">
        <v>0</v>
      </c>
      <c r="H68" s="61" t="str">
        <f t="shared" si="2"/>
        <v>Finalizado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>
        <v>3</v>
      </c>
      <c r="G69" s="10">
        <v>1</v>
      </c>
      <c r="H69" s="66" t="str">
        <f t="shared" si="2"/>
        <v>Finalizado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>
        <v>2</v>
      </c>
      <c r="G70" s="10">
        <v>0</v>
      </c>
      <c r="H70" s="66" t="str">
        <f t="shared" si="2"/>
        <v>Finalizado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>
        <v>2</v>
      </c>
      <c r="G71" s="10">
        <v>1</v>
      </c>
      <c r="H71" s="66" t="str">
        <f t="shared" si="2"/>
        <v>Finalizado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>
        <v>0</v>
      </c>
      <c r="G72" s="10">
        <v>1</v>
      </c>
      <c r="H72" s="66" t="str">
        <f t="shared" si="2"/>
        <v>Finalizado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>
        <v>0</v>
      </c>
      <c r="G73" s="10">
        <v>2</v>
      </c>
      <c r="H73" s="66" t="str">
        <f t="shared" si="2"/>
        <v>Finalizado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>
        <v>0</v>
      </c>
      <c r="G74" s="10">
        <v>1</v>
      </c>
      <c r="H74" s="66" t="str">
        <f t="shared" si="2"/>
        <v>Finalizado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5" sqref="B5:EO5"/>
    </sheetView>
  </sheetViews>
  <sheetFormatPr defaultRowHeight="14.4"/>
  <cols>
    <col min="1" max="1" width="24" customWidth="1"/>
    <col min="2" max="145" width="4.2187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05" customHeight="1">
      <c r="A3" s="67" t="s">
        <v>187</v>
      </c>
      <c r="B3" s="259" t="s">
        <v>188</v>
      </c>
      <c r="C3" s="253"/>
      <c r="D3" s="259" t="s">
        <v>189</v>
      </c>
      <c r="E3" s="253"/>
      <c r="F3" s="259" t="s">
        <v>190</v>
      </c>
      <c r="G3" s="253"/>
      <c r="H3" s="259" t="s">
        <v>191</v>
      </c>
      <c r="I3" s="253"/>
      <c r="J3" s="259" t="s">
        <v>192</v>
      </c>
      <c r="K3" s="253"/>
      <c r="L3" s="259" t="s">
        <v>193</v>
      </c>
      <c r="M3" s="253"/>
      <c r="N3" s="261" t="s">
        <v>194</v>
      </c>
      <c r="O3" s="253"/>
      <c r="P3" s="261" t="s">
        <v>195</v>
      </c>
      <c r="Q3" s="253"/>
      <c r="R3" s="261" t="s">
        <v>196</v>
      </c>
      <c r="S3" s="253"/>
      <c r="T3" s="261" t="s">
        <v>197</v>
      </c>
      <c r="U3" s="253"/>
      <c r="V3" s="261" t="s">
        <v>198</v>
      </c>
      <c r="W3" s="253"/>
      <c r="X3" s="261" t="s">
        <v>199</v>
      </c>
      <c r="Y3" s="253"/>
      <c r="Z3" s="256" t="s">
        <v>200</v>
      </c>
      <c r="AA3" s="253"/>
      <c r="AB3" s="256" t="s">
        <v>201</v>
      </c>
      <c r="AC3" s="253"/>
      <c r="AD3" s="256" t="s">
        <v>202</v>
      </c>
      <c r="AE3" s="253"/>
      <c r="AF3" s="256" t="s">
        <v>203</v>
      </c>
      <c r="AG3" s="253"/>
      <c r="AH3" s="256" t="s">
        <v>204</v>
      </c>
      <c r="AI3" s="253"/>
      <c r="AJ3" s="256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60" t="s">
        <v>212</v>
      </c>
      <c r="AY3" s="253"/>
      <c r="AZ3" s="260" t="s">
        <v>213</v>
      </c>
      <c r="BA3" s="253"/>
      <c r="BB3" s="260" t="s">
        <v>214</v>
      </c>
      <c r="BC3" s="253"/>
      <c r="BD3" s="260" t="s">
        <v>215</v>
      </c>
      <c r="BE3" s="253"/>
      <c r="BF3" s="260" t="s">
        <v>216</v>
      </c>
      <c r="BG3" s="253"/>
      <c r="BH3" s="260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8" t="s">
        <v>230</v>
      </c>
      <c r="CI3" s="253"/>
      <c r="CJ3" s="258" t="s">
        <v>231</v>
      </c>
      <c r="CK3" s="253"/>
      <c r="CL3" s="258" t="s">
        <v>232</v>
      </c>
      <c r="CM3" s="253"/>
      <c r="CN3" s="258" t="s">
        <v>233</v>
      </c>
      <c r="CO3" s="253"/>
      <c r="CP3" s="258" t="s">
        <v>234</v>
      </c>
      <c r="CQ3" s="253"/>
      <c r="CR3" s="258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>
        <v>1</v>
      </c>
      <c r="C5" s="248">
        <v>0</v>
      </c>
      <c r="D5" s="248">
        <v>2</v>
      </c>
      <c r="E5" s="248">
        <v>1</v>
      </c>
      <c r="F5" s="248">
        <v>1</v>
      </c>
      <c r="G5" s="248">
        <v>0</v>
      </c>
      <c r="H5" s="248">
        <v>2</v>
      </c>
      <c r="I5" s="248">
        <v>1</v>
      </c>
      <c r="J5" s="248">
        <v>1</v>
      </c>
      <c r="K5" s="248">
        <v>2</v>
      </c>
      <c r="L5" s="248">
        <v>1</v>
      </c>
      <c r="M5" s="248">
        <v>3</v>
      </c>
      <c r="N5" s="248">
        <v>1</v>
      </c>
      <c r="O5" s="248">
        <v>0</v>
      </c>
      <c r="P5" s="248">
        <v>0</v>
      </c>
      <c r="Q5" s="248">
        <v>3</v>
      </c>
      <c r="R5" s="248">
        <v>2</v>
      </c>
      <c r="S5" s="248">
        <v>0</v>
      </c>
      <c r="T5" s="248">
        <v>1</v>
      </c>
      <c r="U5" s="248">
        <v>0</v>
      </c>
      <c r="V5" s="248">
        <v>2</v>
      </c>
      <c r="W5" s="248">
        <v>1</v>
      </c>
      <c r="X5" s="248">
        <v>1</v>
      </c>
      <c r="Y5" s="248">
        <v>0</v>
      </c>
      <c r="Z5" s="248">
        <v>2</v>
      </c>
      <c r="AA5" s="248">
        <v>1</v>
      </c>
      <c r="AB5" s="248">
        <v>0</v>
      </c>
      <c r="AC5" s="248">
        <v>2</v>
      </c>
      <c r="AD5" s="248">
        <v>1</v>
      </c>
      <c r="AE5" s="248">
        <v>3</v>
      </c>
      <c r="AF5" s="248">
        <v>4</v>
      </c>
      <c r="AG5" s="248">
        <v>0</v>
      </c>
      <c r="AH5" s="248">
        <v>1</v>
      </c>
      <c r="AI5" s="248">
        <v>3</v>
      </c>
      <c r="AJ5" s="248">
        <v>3</v>
      </c>
      <c r="AK5" s="248">
        <v>0</v>
      </c>
      <c r="AL5" s="248">
        <v>1</v>
      </c>
      <c r="AM5" s="248">
        <v>0</v>
      </c>
      <c r="AN5" s="248">
        <v>1</v>
      </c>
      <c r="AO5" s="248">
        <v>2</v>
      </c>
      <c r="AP5" s="248">
        <v>2</v>
      </c>
      <c r="AQ5" s="248">
        <v>0</v>
      </c>
      <c r="AR5" s="248">
        <v>1</v>
      </c>
      <c r="AS5" s="248">
        <v>0</v>
      </c>
      <c r="AT5" s="248">
        <v>1</v>
      </c>
      <c r="AU5" s="248">
        <v>1</v>
      </c>
      <c r="AV5" s="248">
        <v>0</v>
      </c>
      <c r="AW5" s="248">
        <v>0</v>
      </c>
      <c r="AX5" s="248">
        <v>4</v>
      </c>
      <c r="AY5" s="248">
        <v>0</v>
      </c>
      <c r="AZ5" s="248">
        <v>0</v>
      </c>
      <c r="BA5" s="248">
        <v>2</v>
      </c>
      <c r="BB5" s="248">
        <v>2</v>
      </c>
      <c r="BC5" s="248">
        <v>1</v>
      </c>
      <c r="BD5" s="248">
        <v>2</v>
      </c>
      <c r="BE5" s="248">
        <v>0</v>
      </c>
      <c r="BF5" s="248">
        <v>1</v>
      </c>
      <c r="BG5" s="248">
        <v>2</v>
      </c>
      <c r="BH5" s="248">
        <v>0</v>
      </c>
      <c r="BI5" s="248">
        <v>1</v>
      </c>
      <c r="BJ5" s="248">
        <v>1</v>
      </c>
      <c r="BK5" s="248">
        <v>1</v>
      </c>
      <c r="BL5" s="248">
        <v>1</v>
      </c>
      <c r="BM5" s="248">
        <v>0</v>
      </c>
      <c r="BN5" s="248">
        <v>2</v>
      </c>
      <c r="BO5" s="248">
        <v>0</v>
      </c>
      <c r="BP5" s="248">
        <v>0</v>
      </c>
      <c r="BQ5" s="248">
        <v>1</v>
      </c>
      <c r="BR5" s="248">
        <v>1</v>
      </c>
      <c r="BS5" s="248">
        <v>1</v>
      </c>
      <c r="BT5" s="248">
        <v>0</v>
      </c>
      <c r="BU5" s="248">
        <v>1</v>
      </c>
      <c r="BV5" s="248">
        <v>2</v>
      </c>
      <c r="BW5" s="248">
        <v>1</v>
      </c>
      <c r="BX5" s="248">
        <v>1</v>
      </c>
      <c r="BY5" s="248">
        <v>0</v>
      </c>
      <c r="BZ5" s="248">
        <v>3</v>
      </c>
      <c r="CA5" s="248">
        <v>0</v>
      </c>
      <c r="CB5" s="248">
        <v>0</v>
      </c>
      <c r="CC5" s="248">
        <v>2</v>
      </c>
      <c r="CD5" s="248">
        <v>1</v>
      </c>
      <c r="CE5" s="248">
        <v>0</v>
      </c>
      <c r="CF5" s="248">
        <v>1</v>
      </c>
      <c r="CG5" s="248">
        <v>3</v>
      </c>
      <c r="CH5" s="248">
        <v>4</v>
      </c>
      <c r="CI5" s="248">
        <v>0</v>
      </c>
      <c r="CJ5" s="248">
        <v>1</v>
      </c>
      <c r="CK5" s="248">
        <v>2</v>
      </c>
      <c r="CL5" s="248">
        <v>3</v>
      </c>
      <c r="CM5" s="248">
        <v>0</v>
      </c>
      <c r="CN5" s="248">
        <v>2</v>
      </c>
      <c r="CO5" s="248">
        <v>0</v>
      </c>
      <c r="CP5" s="248">
        <v>0</v>
      </c>
      <c r="CQ5" s="248">
        <v>1</v>
      </c>
      <c r="CR5" s="248">
        <v>1</v>
      </c>
      <c r="CS5" s="248">
        <v>3</v>
      </c>
      <c r="CT5" s="248">
        <v>4</v>
      </c>
      <c r="CU5" s="248">
        <v>1</v>
      </c>
      <c r="CV5" s="248">
        <v>0</v>
      </c>
      <c r="CW5" s="248">
        <v>2</v>
      </c>
      <c r="CX5" s="248">
        <v>4</v>
      </c>
      <c r="CY5" s="248">
        <v>0</v>
      </c>
      <c r="CZ5" s="248">
        <v>1</v>
      </c>
      <c r="DA5" s="248">
        <v>0</v>
      </c>
      <c r="DB5" s="248">
        <v>1</v>
      </c>
      <c r="DC5" s="248">
        <v>3</v>
      </c>
      <c r="DD5" s="248">
        <v>1</v>
      </c>
      <c r="DE5" s="248">
        <v>0</v>
      </c>
      <c r="DF5" s="248">
        <v>3</v>
      </c>
      <c r="DG5" s="248">
        <v>0</v>
      </c>
      <c r="DH5" s="248">
        <v>1</v>
      </c>
      <c r="DI5" s="248">
        <v>0</v>
      </c>
      <c r="DJ5" s="248">
        <v>3</v>
      </c>
      <c r="DK5" s="248">
        <v>0</v>
      </c>
      <c r="DL5" s="248">
        <v>1</v>
      </c>
      <c r="DM5" s="248">
        <v>2</v>
      </c>
      <c r="DN5" s="248">
        <v>2</v>
      </c>
      <c r="DO5" s="248">
        <v>0</v>
      </c>
      <c r="DP5" s="248">
        <v>0</v>
      </c>
      <c r="DQ5" s="248">
        <v>3</v>
      </c>
      <c r="DR5" s="248">
        <v>2</v>
      </c>
      <c r="DS5" s="248">
        <v>0</v>
      </c>
      <c r="DT5" s="248">
        <v>0</v>
      </c>
      <c r="DU5" s="248">
        <v>1</v>
      </c>
      <c r="DV5" s="248">
        <v>2</v>
      </c>
      <c r="DW5" s="248">
        <v>0</v>
      </c>
      <c r="DX5" s="248">
        <v>1</v>
      </c>
      <c r="DY5" s="248">
        <v>0</v>
      </c>
      <c r="DZ5" s="248">
        <v>0</v>
      </c>
      <c r="EA5" s="248">
        <v>1</v>
      </c>
      <c r="EB5" s="248">
        <v>0</v>
      </c>
      <c r="EC5" s="248">
        <v>0</v>
      </c>
      <c r="ED5" s="248">
        <v>3</v>
      </c>
      <c r="EE5" s="248">
        <v>1</v>
      </c>
      <c r="EF5" s="248">
        <v>2</v>
      </c>
      <c r="EG5" s="248">
        <v>0</v>
      </c>
      <c r="EH5" s="248">
        <v>2</v>
      </c>
      <c r="EI5" s="248">
        <v>1</v>
      </c>
      <c r="EJ5" s="248">
        <v>0</v>
      </c>
      <c r="EK5" s="248">
        <v>1</v>
      </c>
      <c r="EL5" s="248">
        <v>0</v>
      </c>
      <c r="EM5" s="248">
        <v>2</v>
      </c>
      <c r="EN5" s="248">
        <v>0</v>
      </c>
      <c r="EO5" s="248">
        <v>1</v>
      </c>
    </row>
    <row r="6" spans="1:145">
      <c r="A6" s="82" t="s">
        <v>262</v>
      </c>
      <c r="B6" s="248">
        <v>1</v>
      </c>
      <c r="C6" s="248">
        <v>2</v>
      </c>
      <c r="D6" s="248">
        <v>3</v>
      </c>
      <c r="E6" s="248">
        <v>4</v>
      </c>
      <c r="F6" s="248">
        <v>5</v>
      </c>
      <c r="G6" s="248">
        <v>2</v>
      </c>
      <c r="H6" s="248">
        <v>2</v>
      </c>
      <c r="I6" s="248">
        <v>1</v>
      </c>
      <c r="J6" s="248">
        <v>0</v>
      </c>
      <c r="K6" s="248">
        <v>0</v>
      </c>
      <c r="L6" s="248">
        <v>0</v>
      </c>
      <c r="M6" s="248">
        <v>0</v>
      </c>
      <c r="N6" s="248">
        <v>2</v>
      </c>
      <c r="O6" s="248">
        <v>1</v>
      </c>
      <c r="P6" s="248">
        <v>3</v>
      </c>
      <c r="Q6" s="248">
        <v>4</v>
      </c>
      <c r="R6" s="248">
        <v>5</v>
      </c>
      <c r="S6" s="248">
        <v>1</v>
      </c>
      <c r="T6" s="248">
        <v>3</v>
      </c>
      <c r="U6" s="248">
        <v>2</v>
      </c>
      <c r="V6" s="248">
        <v>1</v>
      </c>
      <c r="W6" s="248">
        <v>1</v>
      </c>
      <c r="X6" s="248">
        <v>1</v>
      </c>
      <c r="Y6" s="248">
        <v>3</v>
      </c>
      <c r="Z6" s="248">
        <v>2</v>
      </c>
      <c r="AA6" s="248">
        <v>4</v>
      </c>
      <c r="AB6" s="248">
        <v>1</v>
      </c>
      <c r="AC6" s="248">
        <v>2</v>
      </c>
      <c r="AD6" s="248">
        <v>2</v>
      </c>
      <c r="AE6" s="248">
        <v>3</v>
      </c>
      <c r="AF6" s="248">
        <v>3</v>
      </c>
      <c r="AG6" s="248">
        <v>0</v>
      </c>
      <c r="AH6" s="248">
        <v>4</v>
      </c>
      <c r="AI6" s="248">
        <v>3</v>
      </c>
      <c r="AJ6" s="248">
        <v>3</v>
      </c>
      <c r="AK6" s="248">
        <v>0</v>
      </c>
      <c r="AL6" s="248">
        <v>3</v>
      </c>
      <c r="AM6" s="248">
        <v>4</v>
      </c>
      <c r="AN6" s="248">
        <v>3</v>
      </c>
      <c r="AO6" s="248">
        <v>2</v>
      </c>
      <c r="AP6" s="248">
        <v>2</v>
      </c>
      <c r="AQ6" s="248">
        <v>1</v>
      </c>
      <c r="AR6" s="248">
        <v>1</v>
      </c>
      <c r="AS6" s="248">
        <v>3</v>
      </c>
      <c r="AT6" s="248">
        <v>1</v>
      </c>
      <c r="AU6" s="248">
        <v>2</v>
      </c>
      <c r="AV6" s="248">
        <v>0</v>
      </c>
      <c r="AW6" s="248">
        <v>0</v>
      </c>
      <c r="AX6" s="248">
        <v>1</v>
      </c>
      <c r="AY6" s="248">
        <v>1</v>
      </c>
      <c r="AZ6" s="248">
        <v>2</v>
      </c>
      <c r="BA6" s="248">
        <v>2</v>
      </c>
      <c r="BB6" s="248">
        <v>3</v>
      </c>
      <c r="BC6" s="248">
        <v>2</v>
      </c>
      <c r="BD6" s="248">
        <v>3</v>
      </c>
      <c r="BE6" s="248">
        <v>0</v>
      </c>
      <c r="BF6" s="248">
        <v>1</v>
      </c>
      <c r="BG6" s="248">
        <v>2</v>
      </c>
      <c r="BH6" s="248">
        <v>0</v>
      </c>
      <c r="BI6" s="248">
        <v>1</v>
      </c>
      <c r="BJ6" s="248">
        <v>1</v>
      </c>
      <c r="BK6" s="248">
        <v>1</v>
      </c>
      <c r="BL6" s="248">
        <v>1</v>
      </c>
      <c r="BM6" s="248">
        <v>1</v>
      </c>
      <c r="BN6" s="248">
        <v>1</v>
      </c>
      <c r="BO6" s="248">
        <v>3</v>
      </c>
      <c r="BP6" s="248">
        <v>0</v>
      </c>
      <c r="BQ6" s="248">
        <v>1</v>
      </c>
      <c r="BR6" s="248">
        <v>2</v>
      </c>
      <c r="BS6" s="248">
        <v>1</v>
      </c>
      <c r="BT6" s="248">
        <v>0</v>
      </c>
      <c r="BU6" s="248">
        <v>1</v>
      </c>
      <c r="BV6" s="248">
        <v>1</v>
      </c>
      <c r="BW6" s="248">
        <v>1</v>
      </c>
      <c r="BX6" s="248">
        <v>1</v>
      </c>
      <c r="BY6" s="248">
        <v>4</v>
      </c>
      <c r="BZ6" s="248">
        <v>3</v>
      </c>
      <c r="CA6" s="248">
        <v>4</v>
      </c>
      <c r="CB6" s="248">
        <v>3</v>
      </c>
      <c r="CC6" s="248">
        <v>2</v>
      </c>
      <c r="CD6" s="248">
        <v>1</v>
      </c>
      <c r="CE6" s="248">
        <v>2</v>
      </c>
      <c r="CF6" s="248">
        <v>1</v>
      </c>
      <c r="CG6" s="248">
        <v>2</v>
      </c>
      <c r="CH6" s="248">
        <v>4</v>
      </c>
      <c r="CI6" s="248">
        <v>0</v>
      </c>
      <c r="CJ6" s="248">
        <v>1</v>
      </c>
      <c r="CK6" s="248">
        <v>4</v>
      </c>
      <c r="CL6" s="248">
        <v>3</v>
      </c>
      <c r="CM6" s="248">
        <v>2</v>
      </c>
      <c r="CN6" s="248">
        <v>2</v>
      </c>
      <c r="CO6" s="248">
        <v>1</v>
      </c>
      <c r="CP6" s="248">
        <v>1</v>
      </c>
      <c r="CQ6" s="248">
        <v>1</v>
      </c>
      <c r="CR6" s="248">
        <v>1</v>
      </c>
      <c r="CS6" s="248">
        <v>3</v>
      </c>
      <c r="CT6" s="248">
        <v>4</v>
      </c>
      <c r="CU6" s="248">
        <v>3</v>
      </c>
      <c r="CV6" s="248">
        <v>3</v>
      </c>
      <c r="CW6" s="248">
        <v>3</v>
      </c>
      <c r="CX6" s="248">
        <v>4</v>
      </c>
      <c r="CY6" s="248">
        <v>0</v>
      </c>
      <c r="CZ6" s="248">
        <v>1</v>
      </c>
      <c r="DA6" s="248">
        <v>2</v>
      </c>
      <c r="DB6" s="248">
        <v>1</v>
      </c>
      <c r="DC6" s="248">
        <v>3</v>
      </c>
      <c r="DD6" s="248">
        <v>1</v>
      </c>
      <c r="DE6" s="248">
        <v>2</v>
      </c>
      <c r="DF6" s="248">
        <v>3</v>
      </c>
      <c r="DG6" s="248">
        <v>2</v>
      </c>
      <c r="DH6" s="248">
        <v>1</v>
      </c>
      <c r="DI6" s="248">
        <v>2</v>
      </c>
      <c r="DJ6" s="248">
        <v>3</v>
      </c>
      <c r="DK6" s="248">
        <v>0</v>
      </c>
      <c r="DL6" s="248">
        <v>2</v>
      </c>
      <c r="DM6" s="248">
        <v>2</v>
      </c>
      <c r="DN6" s="248">
        <v>2</v>
      </c>
      <c r="DO6" s="248">
        <v>0</v>
      </c>
      <c r="DP6" s="248">
        <v>0</v>
      </c>
      <c r="DQ6" s="248">
        <v>3</v>
      </c>
      <c r="DR6" s="248">
        <v>2</v>
      </c>
      <c r="DS6" s="248">
        <v>5</v>
      </c>
      <c r="DT6" s="248">
        <v>5</v>
      </c>
      <c r="DU6" s="248">
        <v>1</v>
      </c>
      <c r="DV6" s="248">
        <v>2</v>
      </c>
      <c r="DW6" s="248">
        <v>2</v>
      </c>
      <c r="DX6" s="248">
        <v>1</v>
      </c>
      <c r="DY6" s="248">
        <v>0</v>
      </c>
      <c r="DZ6" s="248">
        <v>0</v>
      </c>
      <c r="EA6" s="248">
        <v>1</v>
      </c>
      <c r="EB6" s="248">
        <v>0</v>
      </c>
      <c r="EC6" s="248">
        <v>0</v>
      </c>
      <c r="ED6" s="248">
        <v>1</v>
      </c>
      <c r="EE6" s="248">
        <v>1</v>
      </c>
      <c r="EF6" s="248">
        <v>1</v>
      </c>
      <c r="EG6" s="248">
        <v>1</v>
      </c>
      <c r="EH6" s="248">
        <v>2</v>
      </c>
      <c r="EI6" s="248">
        <v>2</v>
      </c>
      <c r="EJ6" s="248">
        <v>3</v>
      </c>
      <c r="EK6" s="248">
        <v>1</v>
      </c>
      <c r="EL6" s="248">
        <v>0</v>
      </c>
      <c r="EM6" s="248">
        <v>4</v>
      </c>
      <c r="EN6" s="248">
        <v>0</v>
      </c>
      <c r="EO6" s="248">
        <v>3</v>
      </c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DN3:DO3"/>
    <mergeCell ref="BX3:BY3"/>
    <mergeCell ref="CN3:CO3"/>
    <mergeCell ref="CZ3:DA3"/>
    <mergeCell ref="CP3:CQ3"/>
    <mergeCell ref="V3:W3"/>
    <mergeCell ref="AB3:AC3"/>
    <mergeCell ref="CR3:CS3"/>
    <mergeCell ref="DB3:DC3"/>
    <mergeCell ref="CT3:CU3"/>
    <mergeCell ref="DR3:DS3"/>
    <mergeCell ref="DX3:DY3"/>
    <mergeCell ref="DD3:DE3"/>
    <mergeCell ref="DF3:DG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DH3:DI3"/>
    <mergeCell ref="DT3:DU3"/>
    <mergeCell ref="CB3:CC3"/>
    <mergeCell ref="DJ3:DK3"/>
    <mergeCell ref="EL3:EM3"/>
    <mergeCell ref="CV3:CW3"/>
    <mergeCell ref="EN3:EO3"/>
    <mergeCell ref="CX3:CY3"/>
    <mergeCell ref="DV3:DW3"/>
    <mergeCell ref="EB3:EC3"/>
    <mergeCell ref="ED3:EE3"/>
    <mergeCell ref="EH3:EI3"/>
    <mergeCell ref="DZ3:EA3"/>
    <mergeCell ref="EF3:EG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AD3:AE3"/>
    <mergeCell ref="AF3:AG3"/>
    <mergeCell ref="AH3:AI3"/>
    <mergeCell ref="AN3:AO3"/>
    <mergeCell ref="CH3:CI3"/>
    <mergeCell ref="CD3:C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tabSelected="1" workbookViewId="0">
      <selection activeCell="B5" sqref="B5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8" t="s">
        <v>266</v>
      </c>
      <c r="B2" s="253"/>
      <c r="C2" s="253"/>
    </row>
    <row r="3" spans="1:3" ht="28.05" customHeight="1">
      <c r="A3" s="83" t="s">
        <v>187</v>
      </c>
      <c r="B3" s="84" t="s">
        <v>267</v>
      </c>
      <c r="C3" s="84" t="s">
        <v>268</v>
      </c>
    </row>
    <row r="4" spans="1:3" ht="28.05" customHeight="1">
      <c r="A4" s="85" t="s">
        <v>269</v>
      </c>
      <c r="B4" s="290" t="s">
        <v>1093</v>
      </c>
      <c r="C4" s="86" t="s">
        <v>132</v>
      </c>
    </row>
    <row r="5" spans="1:3" ht="28.05" customHeight="1">
      <c r="A5" s="87" t="s">
        <v>261</v>
      </c>
      <c r="B5" s="251" t="s">
        <v>1091</v>
      </c>
      <c r="C5" s="251" t="s">
        <v>132</v>
      </c>
    </row>
    <row r="6" spans="1:3" ht="28.05" customHeight="1">
      <c r="A6" s="88" t="s">
        <v>262</v>
      </c>
      <c r="B6" s="251" t="s">
        <v>1092</v>
      </c>
      <c r="C6" s="251" t="s">
        <v>77</v>
      </c>
    </row>
    <row r="7" spans="1:3" ht="28.05" customHeight="1">
      <c r="A7" s="89" t="s">
        <v>263</v>
      </c>
      <c r="B7" s="10"/>
      <c r="C7" s="10"/>
    </row>
    <row r="8" spans="1:3" ht="28.05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B5" sqref="B5"/>
    </sheetView>
  </sheetViews>
  <sheetFormatPr defaultRowHeight="14.4"/>
  <cols>
    <col min="1" max="1" width="24" customWidth="1"/>
    <col min="2" max="73" width="4.2187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05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5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5</v>
      </c>
      <c r="D5" s="106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5</v>
      </c>
      <c r="E5" s="106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5</v>
      </c>
      <c r="F5" s="106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5</v>
      </c>
      <c r="G5" s="106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5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5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5</v>
      </c>
      <c r="J5" s="106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5</v>
      </c>
      <c r="K5" s="106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5</v>
      </c>
      <c r="L5" s="106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5</v>
      </c>
      <c r="M5" s="106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5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5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5</v>
      </c>
      <c r="P5" s="106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5</v>
      </c>
      <c r="Q5" s="106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5</v>
      </c>
      <c r="R5" s="106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5</v>
      </c>
      <c r="S5" s="106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5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5</v>
      </c>
      <c r="U5" s="106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5</v>
      </c>
      <c r="V5" s="106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5</v>
      </c>
      <c r="W5" s="106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5</v>
      </c>
      <c r="X5" s="106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5</v>
      </c>
      <c r="Y5" s="106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5</v>
      </c>
      <c r="Z5" s="106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5</v>
      </c>
      <c r="AA5" s="106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5</v>
      </c>
      <c r="AB5" s="106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5</v>
      </c>
      <c r="AC5" s="106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5</v>
      </c>
      <c r="AD5" s="106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5</v>
      </c>
      <c r="AE5" s="106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5</v>
      </c>
      <c r="AF5" s="106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5</v>
      </c>
      <c r="AG5" s="106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5</v>
      </c>
      <c r="AH5" s="106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5</v>
      </c>
      <c r="AI5" s="106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5</v>
      </c>
      <c r="AJ5" s="106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5</v>
      </c>
      <c r="AK5" s="106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5</v>
      </c>
      <c r="AL5" s="106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5</v>
      </c>
      <c r="AM5" s="106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5</v>
      </c>
      <c r="AN5" s="106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5</v>
      </c>
      <c r="AO5" s="106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5</v>
      </c>
      <c r="AP5" s="106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5</v>
      </c>
      <c r="AQ5" s="106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5</v>
      </c>
      <c r="AR5" s="106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5</v>
      </c>
      <c r="AS5" s="106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5</v>
      </c>
      <c r="AT5" s="106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5</v>
      </c>
      <c r="AU5" s="106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5</v>
      </c>
      <c r="AV5" s="106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5</v>
      </c>
      <c r="AW5" s="106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5</v>
      </c>
      <c r="AX5" s="106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5</v>
      </c>
      <c r="AY5" s="106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5</v>
      </c>
      <c r="AZ5" s="106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5</v>
      </c>
      <c r="BA5" s="106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5</v>
      </c>
      <c r="BB5" s="106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5</v>
      </c>
      <c r="BC5" s="106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5</v>
      </c>
      <c r="BD5" s="106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5</v>
      </c>
      <c r="BE5" s="106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5</v>
      </c>
      <c r="BF5" s="106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5</v>
      </c>
      <c r="BG5" s="106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5</v>
      </c>
      <c r="BH5" s="106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5</v>
      </c>
      <c r="BI5" s="106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5</v>
      </c>
      <c r="BJ5" s="106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5</v>
      </c>
      <c r="BK5" s="106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5</v>
      </c>
      <c r="BL5" s="106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5</v>
      </c>
      <c r="BM5" s="106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5</v>
      </c>
      <c r="BN5" s="106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5</v>
      </c>
      <c r="BO5" s="106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5</v>
      </c>
      <c r="BP5" s="106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5</v>
      </c>
      <c r="BQ5" s="106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5</v>
      </c>
      <c r="BR5" s="106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5</v>
      </c>
      <c r="BS5" s="106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5</v>
      </c>
      <c r="BT5" s="106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5</v>
      </c>
      <c r="BU5" s="106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5</v>
      </c>
      <c r="BV5" s="107">
        <f>SUM(B5:BU5)</f>
        <v>360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2</v>
      </c>
      <c r="E6" s="108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5</v>
      </c>
      <c r="F6" s="108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0</v>
      </c>
      <c r="G6" s="108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0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3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2</v>
      </c>
      <c r="J6" s="108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2</v>
      </c>
      <c r="K6" s="108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3</v>
      </c>
      <c r="L6" s="108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0</v>
      </c>
      <c r="M6" s="108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0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2</v>
      </c>
      <c r="P6" s="108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2</v>
      </c>
      <c r="Q6" s="108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2</v>
      </c>
      <c r="R6" s="108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0</v>
      </c>
      <c r="S6" s="108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5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0</v>
      </c>
      <c r="V6" s="108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2</v>
      </c>
      <c r="W6" s="108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0</v>
      </c>
      <c r="X6" s="108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0</v>
      </c>
      <c r="Y6" s="108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5</v>
      </c>
      <c r="Z6" s="108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0</v>
      </c>
      <c r="AA6" s="108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0</v>
      </c>
      <c r="AB6" s="108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3</v>
      </c>
      <c r="AC6" s="108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2</v>
      </c>
      <c r="AD6" s="108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5</v>
      </c>
      <c r="AE6" s="108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5</v>
      </c>
      <c r="AF6" s="108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5</v>
      </c>
      <c r="AG6" s="108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0</v>
      </c>
      <c r="AH6" s="108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0</v>
      </c>
      <c r="AI6" s="108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5</v>
      </c>
      <c r="AJ6" s="108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0</v>
      </c>
      <c r="AK6" s="108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5</v>
      </c>
      <c r="AL6" s="108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0</v>
      </c>
      <c r="AM6" s="108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0</v>
      </c>
      <c r="AN6" s="108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0</v>
      </c>
      <c r="AO6" s="108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0</v>
      </c>
      <c r="AP6" s="108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0</v>
      </c>
      <c r="AQ6" s="108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2</v>
      </c>
      <c r="AR6" s="108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5</v>
      </c>
      <c r="AS6" s="108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2</v>
      </c>
      <c r="AT6" s="108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2</v>
      </c>
      <c r="AU6" s="108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2</v>
      </c>
      <c r="AV6" s="108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0</v>
      </c>
      <c r="AW6" s="108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5</v>
      </c>
      <c r="AX6" s="108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2</v>
      </c>
      <c r="AY6" s="108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0</v>
      </c>
      <c r="AZ6" s="108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5</v>
      </c>
      <c r="BA6" s="108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0</v>
      </c>
      <c r="BB6" s="108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5</v>
      </c>
      <c r="BC6" s="108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0</v>
      </c>
      <c r="BD6" s="108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2</v>
      </c>
      <c r="BE6" s="108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0</v>
      </c>
      <c r="BF6" s="108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5</v>
      </c>
      <c r="BG6" s="108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0</v>
      </c>
      <c r="BH6" s="108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5</v>
      </c>
      <c r="BI6" s="108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5</v>
      </c>
      <c r="BJ6" s="108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0</v>
      </c>
      <c r="BK6" s="108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0</v>
      </c>
      <c r="BL6" s="108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0</v>
      </c>
      <c r="BM6" s="108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5</v>
      </c>
      <c r="BN6" s="108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5</v>
      </c>
      <c r="BO6" s="108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5</v>
      </c>
      <c r="BP6" s="108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0</v>
      </c>
      <c r="BQ6" s="108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0</v>
      </c>
      <c r="BR6" s="108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0</v>
      </c>
      <c r="BS6" s="108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0</v>
      </c>
      <c r="BT6" s="108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2</v>
      </c>
      <c r="BU6" s="108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2</v>
      </c>
      <c r="BV6" s="107">
        <f t="shared" ref="BV6:BV8" si="0">SUM(B6:BU6)</f>
        <v>131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0</v>
      </c>
      <c r="E7" s="106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0</v>
      </c>
      <c r="F7" s="106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0</v>
      </c>
      <c r="G7" s="106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0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0</v>
      </c>
      <c r="K7" s="106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0</v>
      </c>
      <c r="L7" s="106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0</v>
      </c>
      <c r="M7" s="106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0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0</v>
      </c>
      <c r="Q7" s="106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0</v>
      </c>
      <c r="R7" s="106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0</v>
      </c>
      <c r="S7" s="106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0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0</v>
      </c>
      <c r="V7" s="106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0</v>
      </c>
      <c r="W7" s="106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0</v>
      </c>
      <c r="X7" s="106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0</v>
      </c>
      <c r="Y7" s="106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0</v>
      </c>
      <c r="Z7" s="106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0</v>
      </c>
      <c r="AA7" s="106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0</v>
      </c>
      <c r="AB7" s="106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0</v>
      </c>
      <c r="AC7" s="106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0</v>
      </c>
      <c r="AD7" s="106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0</v>
      </c>
      <c r="AE7" s="106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0</v>
      </c>
      <c r="AF7" s="106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0</v>
      </c>
      <c r="AG7" s="106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0</v>
      </c>
      <c r="AH7" s="106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0</v>
      </c>
      <c r="AI7" s="106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0</v>
      </c>
      <c r="AJ7" s="106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0</v>
      </c>
      <c r="AK7" s="106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0</v>
      </c>
      <c r="AL7" s="106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0</v>
      </c>
      <c r="AM7" s="106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0</v>
      </c>
      <c r="AN7" s="106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0</v>
      </c>
      <c r="AO7" s="106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0</v>
      </c>
      <c r="AP7" s="106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0</v>
      </c>
      <c r="AQ7" s="106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0</v>
      </c>
      <c r="AR7" s="106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0</v>
      </c>
      <c r="AS7" s="106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0</v>
      </c>
      <c r="AT7" s="106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0</v>
      </c>
      <c r="AU7" s="106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0</v>
      </c>
      <c r="AV7" s="106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0</v>
      </c>
      <c r="AW7" s="106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0</v>
      </c>
      <c r="AX7" s="106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0</v>
      </c>
      <c r="AY7" s="106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0</v>
      </c>
      <c r="AZ7" s="106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0</v>
      </c>
      <c r="BA7" s="106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0</v>
      </c>
      <c r="BB7" s="106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0</v>
      </c>
      <c r="BC7" s="106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0</v>
      </c>
      <c r="BD7" s="106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0</v>
      </c>
      <c r="BE7" s="106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0</v>
      </c>
      <c r="BF7" s="106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0</v>
      </c>
      <c r="BG7" s="106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0</v>
      </c>
      <c r="BH7" s="106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0</v>
      </c>
      <c r="BI7" s="106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0</v>
      </c>
      <c r="BJ7" s="106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0</v>
      </c>
      <c r="BK7" s="106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0</v>
      </c>
      <c r="BL7" s="106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0</v>
      </c>
      <c r="BM7" s="106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0</v>
      </c>
      <c r="BN7" s="106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0</v>
      </c>
      <c r="BO7" s="106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0</v>
      </c>
      <c r="BP7" s="106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0</v>
      </c>
      <c r="BQ7" s="106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0</v>
      </c>
      <c r="BR7" s="106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0</v>
      </c>
      <c r="BS7" s="106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0</v>
      </c>
      <c r="BT7" s="106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0</v>
      </c>
      <c r="BU7" s="106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0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0</v>
      </c>
      <c r="E8" s="108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0</v>
      </c>
      <c r="F8" s="108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0</v>
      </c>
      <c r="G8" s="108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0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0</v>
      </c>
      <c r="K8" s="108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0</v>
      </c>
      <c r="L8" s="108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0</v>
      </c>
      <c r="M8" s="108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0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0</v>
      </c>
      <c r="Q8" s="108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0</v>
      </c>
      <c r="R8" s="108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0</v>
      </c>
      <c r="S8" s="108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0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0</v>
      </c>
      <c r="V8" s="108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0</v>
      </c>
      <c r="W8" s="108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0</v>
      </c>
      <c r="X8" s="108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0</v>
      </c>
      <c r="Y8" s="108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0</v>
      </c>
      <c r="Z8" s="108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0</v>
      </c>
      <c r="AA8" s="108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0</v>
      </c>
      <c r="AB8" s="108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0</v>
      </c>
      <c r="AC8" s="108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0</v>
      </c>
      <c r="AD8" s="108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0</v>
      </c>
      <c r="AE8" s="108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0</v>
      </c>
      <c r="AF8" s="108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0</v>
      </c>
      <c r="AG8" s="108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0</v>
      </c>
      <c r="AH8" s="108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0</v>
      </c>
      <c r="AI8" s="108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0</v>
      </c>
      <c r="AJ8" s="108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0</v>
      </c>
      <c r="AK8" s="108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0</v>
      </c>
      <c r="AL8" s="108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0</v>
      </c>
      <c r="AM8" s="108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0</v>
      </c>
      <c r="AN8" s="108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0</v>
      </c>
      <c r="AO8" s="108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0</v>
      </c>
      <c r="AP8" s="108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0</v>
      </c>
      <c r="AQ8" s="108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0</v>
      </c>
      <c r="AR8" s="108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0</v>
      </c>
      <c r="AS8" s="108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0</v>
      </c>
      <c r="AT8" s="108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0</v>
      </c>
      <c r="AU8" s="108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0</v>
      </c>
      <c r="AV8" s="108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0</v>
      </c>
      <c r="AW8" s="108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0</v>
      </c>
      <c r="AX8" s="108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0</v>
      </c>
      <c r="AY8" s="108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0</v>
      </c>
      <c r="AZ8" s="108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0</v>
      </c>
      <c r="BA8" s="108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0</v>
      </c>
      <c r="BB8" s="108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0</v>
      </c>
      <c r="BC8" s="108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0</v>
      </c>
      <c r="BD8" s="108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0</v>
      </c>
      <c r="BE8" s="108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0</v>
      </c>
      <c r="BF8" s="108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0</v>
      </c>
      <c r="BG8" s="108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0</v>
      </c>
      <c r="BH8" s="108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0</v>
      </c>
      <c r="BI8" s="108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0</v>
      </c>
      <c r="BJ8" s="108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0</v>
      </c>
      <c r="BK8" s="108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0</v>
      </c>
      <c r="BL8" s="108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0</v>
      </c>
      <c r="BM8" s="108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0</v>
      </c>
      <c r="BN8" s="108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0</v>
      </c>
      <c r="BO8" s="108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0</v>
      </c>
      <c r="BP8" s="108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0</v>
      </c>
      <c r="BQ8" s="108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0</v>
      </c>
      <c r="BR8" s="108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0</v>
      </c>
      <c r="BS8" s="108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0</v>
      </c>
      <c r="BT8" s="108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0</v>
      </c>
      <c r="BU8" s="108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0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3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5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2</v>
      </c>
      <c r="G3" s="110">
        <f t="shared" ref="G3:G50" si="0">E3-F3</f>
        <v>3</v>
      </c>
      <c r="H3" s="8">
        <f t="shared" ref="H3:H50" si="1">3*C3+D3</f>
        <v>9</v>
      </c>
      <c r="I3" s="110">
        <f t="shared" ref="I3:I50" si="2">H3*1000000000+(G3+200)*1000000+E3*1000+(500-K3)</f>
        <v>9203005484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1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5</v>
      </c>
      <c r="G4" s="110">
        <f t="shared" si="0"/>
        <v>-4</v>
      </c>
      <c r="H4" s="8">
        <f t="shared" si="1"/>
        <v>0</v>
      </c>
      <c r="I4" s="110">
        <f t="shared" si="2"/>
        <v>196001437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2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6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4</v>
      </c>
      <c r="G5" s="110">
        <f t="shared" si="0"/>
        <v>2</v>
      </c>
      <c r="H5" s="8">
        <f t="shared" si="1"/>
        <v>6</v>
      </c>
      <c r="I5" s="110">
        <f t="shared" si="2"/>
        <v>6202006477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1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3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4</v>
      </c>
      <c r="G6" s="110">
        <f t="shared" si="0"/>
        <v>-1</v>
      </c>
      <c r="H6" s="8">
        <f t="shared" si="1"/>
        <v>3</v>
      </c>
      <c r="I6" s="110">
        <f t="shared" si="2"/>
        <v>3199003462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2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3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2</v>
      </c>
      <c r="G7" s="112">
        <f t="shared" si="0"/>
        <v>1</v>
      </c>
      <c r="H7" s="14">
        <f t="shared" si="1"/>
        <v>6</v>
      </c>
      <c r="I7" s="112">
        <f t="shared" si="2"/>
        <v>6201003456</v>
      </c>
      <c r="J7" s="14">
        <f>RANK(I7,$I$7:$I$10,0)</f>
        <v>2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1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3</v>
      </c>
      <c r="G8" s="112">
        <f t="shared" si="0"/>
        <v>-2</v>
      </c>
      <c r="H8" s="14">
        <f t="shared" si="1"/>
        <v>3</v>
      </c>
      <c r="I8" s="112">
        <f t="shared" si="2"/>
        <v>3198001445</v>
      </c>
      <c r="J8" s="14">
        <f>RANK(I8,$I$7:$I$10,0)</f>
        <v>3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5</v>
      </c>
      <c r="G9" s="112">
        <f t="shared" si="0"/>
        <v>-5</v>
      </c>
      <c r="H9" s="14">
        <f t="shared" si="1"/>
        <v>0</v>
      </c>
      <c r="I9" s="112">
        <f t="shared" si="2"/>
        <v>195000462</v>
      </c>
      <c r="J9" s="14">
        <f>RANK(I9,$I$7:$I$10,0)</f>
        <v>4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3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7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6</v>
      </c>
      <c r="H10" s="14">
        <f t="shared" si="1"/>
        <v>9</v>
      </c>
      <c r="I10" s="112">
        <f t="shared" si="2"/>
        <v>9206007480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3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9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2</v>
      </c>
      <c r="G11" s="114">
        <f t="shared" si="0"/>
        <v>7</v>
      </c>
      <c r="H11" s="19">
        <f t="shared" si="1"/>
        <v>9</v>
      </c>
      <c r="I11" s="114">
        <f t="shared" si="2"/>
        <v>9207009495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2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7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3</v>
      </c>
      <c r="G12" s="114">
        <f t="shared" si="0"/>
        <v>4</v>
      </c>
      <c r="H12" s="19">
        <f t="shared" si="1"/>
        <v>6</v>
      </c>
      <c r="I12" s="114">
        <f t="shared" si="2"/>
        <v>6204007486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9</v>
      </c>
      <c r="G13" s="114">
        <f t="shared" si="0"/>
        <v>-9</v>
      </c>
      <c r="H13" s="19">
        <f t="shared" si="1"/>
        <v>0</v>
      </c>
      <c r="I13" s="114">
        <f t="shared" si="2"/>
        <v>191000414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1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4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6</v>
      </c>
      <c r="G14" s="114">
        <f t="shared" si="0"/>
        <v>-2</v>
      </c>
      <c r="H14" s="19">
        <f t="shared" si="1"/>
        <v>3</v>
      </c>
      <c r="I14" s="114">
        <f t="shared" si="2"/>
        <v>3198004473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2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1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7</v>
      </c>
      <c r="I15" s="116">
        <f t="shared" si="2"/>
        <v>7203004489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1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2</v>
      </c>
      <c r="G16" s="116">
        <f t="shared" si="0"/>
        <v>-2</v>
      </c>
      <c r="H16" s="24">
        <f t="shared" si="1"/>
        <v>1</v>
      </c>
      <c r="I16" s="116">
        <f t="shared" si="2"/>
        <v>1198000449</v>
      </c>
      <c r="J16" s="24">
        <f>RANK(I16,$I$15:$I$18,0)</f>
        <v>3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1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1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4</v>
      </c>
      <c r="G17" s="116">
        <f t="shared" si="0"/>
        <v>-3</v>
      </c>
      <c r="H17" s="24">
        <f t="shared" si="1"/>
        <v>1</v>
      </c>
      <c r="I17" s="116">
        <f t="shared" si="2"/>
        <v>1197001477</v>
      </c>
      <c r="J17" s="24">
        <f>RANK(I17,$I$15:$I$18,0)</f>
        <v>4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2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1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4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2</v>
      </c>
      <c r="G18" s="116">
        <f t="shared" si="0"/>
        <v>2</v>
      </c>
      <c r="H18" s="24">
        <f t="shared" si="1"/>
        <v>7</v>
      </c>
      <c r="I18" s="116">
        <f t="shared" si="2"/>
        <v>7202004464</v>
      </c>
      <c r="J18" s="24">
        <f>RANK(I18,$I$15:$I$18,0)</f>
        <v>2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3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8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2</v>
      </c>
      <c r="G19" s="118">
        <f t="shared" si="0"/>
        <v>6</v>
      </c>
      <c r="H19" s="29">
        <f t="shared" si="1"/>
        <v>9</v>
      </c>
      <c r="I19" s="118">
        <f t="shared" si="2"/>
        <v>9206008488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7</v>
      </c>
      <c r="G20" s="118">
        <f t="shared" si="0"/>
        <v>-7</v>
      </c>
      <c r="H20" s="29">
        <f t="shared" si="1"/>
        <v>0</v>
      </c>
      <c r="I20" s="118">
        <f t="shared" si="2"/>
        <v>193000417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1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2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4</v>
      </c>
      <c r="G21" s="118">
        <f t="shared" si="0"/>
        <v>-2</v>
      </c>
      <c r="H21" s="29">
        <f t="shared" si="1"/>
        <v>3</v>
      </c>
      <c r="I21" s="118">
        <f t="shared" si="2"/>
        <v>3198002459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2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5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2</v>
      </c>
      <c r="G22" s="118">
        <f t="shared" si="0"/>
        <v>3</v>
      </c>
      <c r="H22" s="29">
        <f t="shared" si="1"/>
        <v>6</v>
      </c>
      <c r="I22" s="118">
        <f t="shared" si="2"/>
        <v>6203005461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2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1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4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1</v>
      </c>
      <c r="G23" s="120">
        <f t="shared" si="0"/>
        <v>3</v>
      </c>
      <c r="H23" s="34">
        <f t="shared" si="1"/>
        <v>7</v>
      </c>
      <c r="I23" s="120">
        <f t="shared" si="2"/>
        <v>7203004492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1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2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3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2</v>
      </c>
      <c r="G24" s="120">
        <f t="shared" si="0"/>
        <v>1</v>
      </c>
      <c r="H24" s="34">
        <f t="shared" si="1"/>
        <v>5</v>
      </c>
      <c r="I24" s="120">
        <f t="shared" si="2"/>
        <v>5201003485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1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1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2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3</v>
      </c>
      <c r="G25" s="120">
        <f t="shared" si="0"/>
        <v>-1</v>
      </c>
      <c r="H25" s="34">
        <f t="shared" si="1"/>
        <v>4</v>
      </c>
      <c r="I25" s="120">
        <f t="shared" si="2"/>
        <v>4199002474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3</v>
      </c>
      <c r="G26" s="120">
        <f t="shared" si="0"/>
        <v>-3</v>
      </c>
      <c r="H26" s="34">
        <f t="shared" si="1"/>
        <v>0</v>
      </c>
      <c r="I26" s="120">
        <f t="shared" si="2"/>
        <v>197000470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3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8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2</v>
      </c>
      <c r="G27" s="122">
        <f t="shared" si="0"/>
        <v>6</v>
      </c>
      <c r="H27" s="39">
        <f t="shared" si="1"/>
        <v>9</v>
      </c>
      <c r="I27" s="122">
        <f t="shared" si="2"/>
        <v>9206008497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2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4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2</v>
      </c>
      <c r="G28" s="122">
        <f t="shared" si="0"/>
        <v>2</v>
      </c>
      <c r="H28" s="39">
        <f t="shared" si="1"/>
        <v>6</v>
      </c>
      <c r="I28" s="122">
        <f t="shared" si="2"/>
        <v>6202004464</v>
      </c>
      <c r="J28" s="39">
        <f>RANK(I28,$I$27:$I$30,0)</f>
        <v>2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1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1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4</v>
      </c>
      <c r="G29" s="122">
        <f t="shared" si="0"/>
        <v>-3</v>
      </c>
      <c r="H29" s="39">
        <f t="shared" si="1"/>
        <v>3</v>
      </c>
      <c r="I29" s="122">
        <f t="shared" si="2"/>
        <v>3197001475</v>
      </c>
      <c r="J29" s="39">
        <f>RANK(I29,$I$27:$I$30,0)</f>
        <v>3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1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6</v>
      </c>
      <c r="G30" s="122">
        <f t="shared" si="0"/>
        <v>-5</v>
      </c>
      <c r="H30" s="39">
        <f t="shared" si="1"/>
        <v>0</v>
      </c>
      <c r="I30" s="122">
        <f t="shared" si="2"/>
        <v>195001402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3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10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1</v>
      </c>
      <c r="G31" s="124">
        <f t="shared" si="0"/>
        <v>9</v>
      </c>
      <c r="H31" s="44">
        <f t="shared" si="1"/>
        <v>9</v>
      </c>
      <c r="I31" s="124">
        <f t="shared" si="2"/>
        <v>9209010496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7</v>
      </c>
      <c r="G32" s="124">
        <f t="shared" si="0"/>
        <v>-7</v>
      </c>
      <c r="H32" s="44">
        <f t="shared" si="1"/>
        <v>0</v>
      </c>
      <c r="I32" s="124">
        <f t="shared" si="2"/>
        <v>193000412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1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2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5</v>
      </c>
      <c r="G33" s="124">
        <f t="shared" si="0"/>
        <v>-3</v>
      </c>
      <c r="H33" s="44">
        <f t="shared" si="1"/>
        <v>3</v>
      </c>
      <c r="I33" s="124">
        <f t="shared" si="2"/>
        <v>3197002443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2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5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4</v>
      </c>
      <c r="G34" s="124">
        <f t="shared" si="0"/>
        <v>1</v>
      </c>
      <c r="H34" s="44">
        <f t="shared" si="1"/>
        <v>6</v>
      </c>
      <c r="I34" s="124">
        <f t="shared" si="2"/>
        <v>6201005483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3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11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2</v>
      </c>
      <c r="G35" s="126">
        <f t="shared" si="0"/>
        <v>9</v>
      </c>
      <c r="H35" s="49">
        <f t="shared" si="1"/>
        <v>9</v>
      </c>
      <c r="I35" s="126">
        <f t="shared" si="2"/>
        <v>9209011498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1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2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5</v>
      </c>
      <c r="G36" s="126">
        <f t="shared" si="0"/>
        <v>-3</v>
      </c>
      <c r="H36" s="49">
        <f t="shared" si="1"/>
        <v>3</v>
      </c>
      <c r="I36" s="126">
        <f t="shared" si="2"/>
        <v>3197002479</v>
      </c>
      <c r="J36" s="49">
        <f>RANK(I36,$I$35:$I$38,0)</f>
        <v>3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7</v>
      </c>
      <c r="G37" s="126">
        <f t="shared" si="0"/>
        <v>-7</v>
      </c>
      <c r="H37" s="49">
        <f t="shared" si="1"/>
        <v>0</v>
      </c>
      <c r="I37" s="126">
        <f t="shared" si="2"/>
        <v>193000435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2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4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3</v>
      </c>
      <c r="G38" s="126">
        <f t="shared" si="0"/>
        <v>1</v>
      </c>
      <c r="H38" s="49">
        <f t="shared" si="1"/>
        <v>6</v>
      </c>
      <c r="I38" s="126">
        <f t="shared" si="2"/>
        <v>6201004472</v>
      </c>
      <c r="J38" s="49">
        <f>RANK(I38,$I$35:$I$38,0)</f>
        <v>2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3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9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9</v>
      </c>
      <c r="H39" s="54">
        <f t="shared" si="1"/>
        <v>9</v>
      </c>
      <c r="I39" s="128">
        <f t="shared" si="2"/>
        <v>9209009499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2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4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4</v>
      </c>
      <c r="G40" s="128">
        <f t="shared" si="0"/>
        <v>0</v>
      </c>
      <c r="H40" s="54">
        <f t="shared" si="1"/>
        <v>6</v>
      </c>
      <c r="I40" s="128">
        <f t="shared" si="2"/>
        <v>6200004468</v>
      </c>
      <c r="J40" s="54">
        <f>RANK(I40,$I$39:$I$42,0)</f>
        <v>2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1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1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5</v>
      </c>
      <c r="G41" s="128">
        <f t="shared" si="0"/>
        <v>-4</v>
      </c>
      <c r="H41" s="54">
        <f t="shared" si="1"/>
        <v>3</v>
      </c>
      <c r="I41" s="128">
        <f t="shared" si="2"/>
        <v>3196001476</v>
      </c>
      <c r="J41" s="54">
        <f>RANK(I41,$I$39:$I$42,0)</f>
        <v>3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1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6</v>
      </c>
      <c r="G42" s="128">
        <f t="shared" si="0"/>
        <v>-5</v>
      </c>
      <c r="H42" s="54">
        <f t="shared" si="1"/>
        <v>0</v>
      </c>
      <c r="I42" s="128">
        <f t="shared" si="2"/>
        <v>195001414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3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5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5</v>
      </c>
      <c r="H43" s="59">
        <f t="shared" si="1"/>
        <v>9</v>
      </c>
      <c r="I43" s="130">
        <f t="shared" si="2"/>
        <v>9205005494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1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3</v>
      </c>
      <c r="G44" s="130">
        <f t="shared" si="0"/>
        <v>-3</v>
      </c>
      <c r="H44" s="59">
        <f t="shared" si="1"/>
        <v>1</v>
      </c>
      <c r="I44" s="130">
        <f t="shared" si="2"/>
        <v>1197000443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1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3</v>
      </c>
      <c r="G45" s="130">
        <f t="shared" si="0"/>
        <v>-3</v>
      </c>
      <c r="H45" s="59">
        <f t="shared" si="1"/>
        <v>1</v>
      </c>
      <c r="I45" s="130">
        <f t="shared" si="2"/>
        <v>1197000426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2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2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1</v>
      </c>
      <c r="G46" s="130">
        <f t="shared" si="0"/>
        <v>1</v>
      </c>
      <c r="H46" s="59">
        <f t="shared" si="1"/>
        <v>6</v>
      </c>
      <c r="I46" s="130">
        <f t="shared" si="2"/>
        <v>6201002482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3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7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2</v>
      </c>
      <c r="G47" s="132">
        <f t="shared" si="0"/>
        <v>5</v>
      </c>
      <c r="H47" s="64">
        <f t="shared" si="1"/>
        <v>9</v>
      </c>
      <c r="I47" s="132">
        <f t="shared" si="2"/>
        <v>9205007491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1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2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4</v>
      </c>
      <c r="G48" s="132">
        <f t="shared" si="0"/>
        <v>-2</v>
      </c>
      <c r="H48" s="64">
        <f t="shared" si="1"/>
        <v>3</v>
      </c>
      <c r="I48" s="132">
        <f t="shared" si="2"/>
        <v>3198002490</v>
      </c>
      <c r="J48" s="64">
        <f>RANK(I48,$I$47:$I$50,0)</f>
        <v>3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2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4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2</v>
      </c>
      <c r="G49" s="132">
        <f t="shared" si="0"/>
        <v>2</v>
      </c>
      <c r="H49" s="64">
        <f t="shared" si="1"/>
        <v>6</v>
      </c>
      <c r="I49" s="132">
        <f t="shared" si="2"/>
        <v>6202004448</v>
      </c>
      <c r="J49" s="64">
        <f>RANK(I49,$I$47:$I$50,0)</f>
        <v>2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5</v>
      </c>
      <c r="G50" s="132">
        <f t="shared" si="0"/>
        <v>-5</v>
      </c>
      <c r="H50" s="64">
        <f t="shared" si="1"/>
        <v>0</v>
      </c>
      <c r="I50" s="132">
        <f t="shared" si="2"/>
        <v>195000428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Canada</v>
      </c>
      <c r="D54" s="135" t="str">
        <f>IFERROR(INDEX($B$7:$B$10,MATCH(3,$J$7:$J$10,0)),"?")</f>
        <v>Bosnia e Herzegovina</v>
      </c>
      <c r="E54" s="135" t="str">
        <f>IFERROR(INDEX($B$7:$B$10,MATCH(4,$J$7:$J$10,0)),"?")</f>
        <v>Qatar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Turquia</v>
      </c>
      <c r="D56" s="135" t="str">
        <f>IFERROR(INDEX($B$15:$B$18,MATCH(3,$J$15:$J$18,0)),"?")</f>
        <v>Paraguai</v>
      </c>
      <c r="E56" s="135" t="str">
        <f>IFERROR(INDEX($B$15:$B$18,MATCH(4,$J$15:$J$18,0)),"?")</f>
        <v>Australia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Egito</v>
      </c>
      <c r="D59" s="135" t="str">
        <f>IFERROR(INDEX($B$27:$B$30,MATCH(3,$J$27:$J$30,0)),"?")</f>
        <v>Ira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Noruega</v>
      </c>
      <c r="D61" s="135" t="str">
        <f>IFERROR(INDEX($B$35:$B$38,MATCH(3,$J$35:$J$38,0)),"?")</f>
        <v>Senegal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Argelia</v>
      </c>
      <c r="D62" s="135" t="str">
        <f>IFERROR(INDEX($B$39:$B$42,MATCH(3,$J$39:$J$42,0)),"?")</f>
        <v>Austria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Gana</v>
      </c>
      <c r="D64" s="135" t="str">
        <f>IFERROR(INDEX($B$47:$B$50,MATCH(3,$J$47:$J$50,0)),"?")</f>
        <v>Croacia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3199003462</v>
      </c>
      <c r="D68" s="150">
        <f t="shared" ref="D68:D79" si="3">RANK(C68,$C$68:$C$79,0)</f>
        <v>2</v>
      </c>
    </row>
    <row r="69" spans="1:4">
      <c r="A69" s="151" t="s">
        <v>65</v>
      </c>
      <c r="B69" s="149" t="str">
        <f>IFERROR(INDEX($B$7:$B$10,MATCH(3,$J$7:$J$10,0)),"?")</f>
        <v>Bosnia e Herzegovina</v>
      </c>
      <c r="C69" s="149">
        <f>IFERROR(INDEX($I$7:$I$10,MATCH(3,$J$7:$J$10,0)),0)</f>
        <v>3198001445</v>
      </c>
      <c r="D69" s="150">
        <f t="shared" si="3"/>
        <v>6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3198004473</v>
      </c>
      <c r="D70" s="150">
        <f t="shared" si="3"/>
        <v>3</v>
      </c>
    </row>
    <row r="71" spans="1:4">
      <c r="A71" s="153" t="s">
        <v>87</v>
      </c>
      <c r="B71" s="149" t="str">
        <f>IFERROR(INDEX($B$15:$B$18,MATCH(3,$J$15:$J$18,0)),"?")</f>
        <v>Paraguai</v>
      </c>
      <c r="C71" s="149">
        <f>IFERROR(INDEX($I$15:$I$18,MATCH(3,$J$15:$J$18,0)),0)</f>
        <v>1198000449</v>
      </c>
      <c r="D71" s="150">
        <f t="shared" si="3"/>
        <v>11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3198002459</v>
      </c>
      <c r="D72" s="150">
        <f t="shared" si="3"/>
        <v>5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4199002474</v>
      </c>
      <c r="D73" s="150">
        <f t="shared" si="3"/>
        <v>1</v>
      </c>
    </row>
    <row r="74" spans="1:4">
      <c r="A74" s="156" t="s">
        <v>120</v>
      </c>
      <c r="B74" s="149" t="str">
        <f>IFERROR(INDEX($B$27:$B$30,MATCH(3,$J$27:$J$30,0)),"?")</f>
        <v>Ira</v>
      </c>
      <c r="C74" s="149">
        <f>IFERROR(INDEX($I$27:$I$30,MATCH(3,$J$27:$J$30,0)),0)</f>
        <v>3197001475</v>
      </c>
      <c r="D74" s="150">
        <f t="shared" si="3"/>
        <v>9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3197002443</v>
      </c>
      <c r="D75" s="150">
        <f t="shared" si="3"/>
        <v>8</v>
      </c>
    </row>
    <row r="76" spans="1:4">
      <c r="A76" s="158" t="s">
        <v>142</v>
      </c>
      <c r="B76" s="149" t="str">
        <f>IFERROR(INDEX($B$35:$B$38,MATCH(3,$J$35:$J$38,0)),"?")</f>
        <v>Senegal</v>
      </c>
      <c r="C76" s="149">
        <f>IFERROR(INDEX($I$35:$I$38,MATCH(3,$J$35:$J$38,0)),0)</f>
        <v>3197002479</v>
      </c>
      <c r="D76" s="150">
        <f t="shared" si="3"/>
        <v>7</v>
      </c>
    </row>
    <row r="77" spans="1:4">
      <c r="A77" s="159" t="s">
        <v>153</v>
      </c>
      <c r="B77" s="149" t="str">
        <f>IFERROR(INDEX($B$39:$B$42,MATCH(3,$J$39:$J$42,0)),"?")</f>
        <v>Austria</v>
      </c>
      <c r="C77" s="149">
        <f>IFERROR(INDEX($I$39:$I$42,MATCH(3,$J$39:$J$42,0)),0)</f>
        <v>3196001476</v>
      </c>
      <c r="D77" s="150">
        <f t="shared" si="3"/>
        <v>10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1197000443</v>
      </c>
      <c r="D78" s="150">
        <f t="shared" si="3"/>
        <v>12</v>
      </c>
    </row>
    <row r="79" spans="1:4">
      <c r="A79" s="161" t="s">
        <v>175</v>
      </c>
      <c r="B79" s="149" t="str">
        <f>IFERROR(INDEX($B$47:$B$50,MATCH(3,$J$47:$J$50,0)),"?")</f>
        <v>Croacia</v>
      </c>
      <c r="C79" s="149">
        <f>IFERROR(INDEX($I$47:$I$50,MATCH(3,$J$47:$J$50,0)),0)</f>
        <v>3198002490</v>
      </c>
      <c r="D79" s="150">
        <f t="shared" si="3"/>
        <v>4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Suecia</v>
      </c>
    </row>
    <row r="83" spans="1:2">
      <c r="A83" s="163">
        <v>2</v>
      </c>
      <c r="B83" s="164" t="str">
        <f>IFERROR(INDEX($B$68:$B$79,MATCH(2,$D$68:$D$79,0)),"?")</f>
        <v>Tchequia</v>
      </c>
    </row>
    <row r="84" spans="1:2">
      <c r="A84" s="163">
        <v>3</v>
      </c>
      <c r="B84" s="164" t="str">
        <f>IFERROR(INDEX($B$68:$B$79,MATCH(3,$D$68:$D$79,0)),"?")</f>
        <v>Escocia</v>
      </c>
    </row>
    <row r="85" spans="1:2">
      <c r="A85" s="163">
        <v>4</v>
      </c>
      <c r="B85" s="164" t="str">
        <f>IFERROR(INDEX($B$68:$B$79,MATCH(4,$D$68:$D$79,0)),"?")</f>
        <v>Croacia</v>
      </c>
    </row>
    <row r="86" spans="1:2">
      <c r="A86" s="163">
        <v>5</v>
      </c>
      <c r="B86" s="164" t="str">
        <f>IFERROR(INDEX($B$68:$B$79,MATCH(5,$D$68:$D$79,0)),"?")</f>
        <v>Costa do Marfim</v>
      </c>
    </row>
    <row r="87" spans="1:2">
      <c r="A87" s="163">
        <v>6</v>
      </c>
      <c r="B87" s="164" t="str">
        <f>IFERROR(INDEX($B$68:$B$79,MATCH(6,$D$68:$D$79,0)),"?")</f>
        <v>Bosnia e Herzegovina</v>
      </c>
    </row>
    <row r="88" spans="1:2">
      <c r="A88" s="163">
        <v>7</v>
      </c>
      <c r="B88" s="164" t="str">
        <f>IFERROR(INDEX($B$68:$B$79,MATCH(7,$D$68:$D$79,0)),"?")</f>
        <v>Senegal</v>
      </c>
    </row>
    <row r="89" spans="1:2">
      <c r="A89" s="163">
        <v>8</v>
      </c>
      <c r="B89" s="164" t="str">
        <f>IFERROR(INDEX($B$68:$B$79,MATCH(8,$D$68:$D$79,0)),"?")</f>
        <v>Arabia Saudita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ABCEFHIL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05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3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5</v>
      </c>
      <c r="F3" s="110">
        <f>IF(ISNUMBER('Apostas - Grupos'!B5),'Apostas - Grupos'!C5,0)+IF(ISNUMBER('Apostas - Grupos'!H5),'Apostas - Grupos'!I5,0)+IF(ISNUMBER('Apostas - Grupos'!J5),'Apostas - Grupos'!J5,0)</f>
        <v>2</v>
      </c>
      <c r="G3" s="110">
        <f t="shared" ref="G3:G50" si="0">E3-F3</f>
        <v>3</v>
      </c>
      <c r="H3" s="8">
        <f t="shared" ref="H3:H50" si="1">3*C3+D3</f>
        <v>9</v>
      </c>
      <c r="I3" s="110">
        <f t="shared" ref="I3:I50" si="2">H3*1000000000+(G3+200)*1000000+E3*1000+(500-M3)</f>
        <v>9203005484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3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1</v>
      </c>
      <c r="F4" s="110">
        <f>IF(ISNUMBER('Apostas - Grupos'!B5),'Apostas - Grupos'!B5,0)+IF(ISNUMBER('Apostas - Grupos'!F5),'Apostas - Grupos'!F5,0)+IF(ISNUMBER('Apostas - Grupos'!L5),'Apostas - Grupos'!M5,0)</f>
        <v>5</v>
      </c>
      <c r="G4" s="110">
        <f t="shared" si="0"/>
        <v>-4</v>
      </c>
      <c r="H4" s="8">
        <f t="shared" si="1"/>
        <v>0</v>
      </c>
      <c r="I4" s="110">
        <f t="shared" si="2"/>
        <v>196001437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3</v>
      </c>
      <c r="L4" s="110">
        <f t="shared" si="3"/>
        <v>3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2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6</v>
      </c>
      <c r="F5" s="110">
        <f>IF(ISNUMBER('Apostas - Grupos'!D5),'Apostas - Grupos'!E5,0)+IF(ISNUMBER('Apostas - Grupos'!H5),'Apostas - Grupos'!H5,0)+IF(ISNUMBER('Apostas - Grupos'!L5),'Apostas - Grupos'!L5,0)</f>
        <v>4</v>
      </c>
      <c r="G5" s="110">
        <f t="shared" si="0"/>
        <v>2</v>
      </c>
      <c r="H5" s="8">
        <f t="shared" si="1"/>
        <v>6</v>
      </c>
      <c r="I5" s="110">
        <f t="shared" si="2"/>
        <v>6202006477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3</v>
      </c>
      <c r="L5" s="110">
        <f t="shared" si="3"/>
        <v>1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1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3</v>
      </c>
      <c r="F6" s="110">
        <f>IF(ISNUMBER('Apostas - Grupos'!D5),'Apostas - Grupos'!D5,0)+IF(ISNUMBER('Apostas - Grupos'!F5),'Apostas - Grupos'!G5,0)+IF(ISNUMBER('Apostas - Grupos'!J5),'Apostas - Grupos'!K5,0)</f>
        <v>4</v>
      </c>
      <c r="G6" s="110">
        <f t="shared" si="0"/>
        <v>-1</v>
      </c>
      <c r="H6" s="8">
        <f t="shared" si="1"/>
        <v>3</v>
      </c>
      <c r="I6" s="110">
        <f t="shared" si="2"/>
        <v>3199003462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3</v>
      </c>
      <c r="L6" s="110">
        <f t="shared" si="3"/>
        <v>2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2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3</v>
      </c>
      <c r="F7" s="112">
        <f>IF(ISNUMBER('Apostas - Grupos'!N5),'Apostas - Grupos'!O5,0)+IF(ISNUMBER('Apostas - Grupos'!T5),'Apostas - Grupos'!U5,0)+IF(ISNUMBER('Apostas - Grupos'!V5),'Apostas - Grupos'!V5,0)</f>
        <v>2</v>
      </c>
      <c r="G7" s="112">
        <f t="shared" si="0"/>
        <v>1</v>
      </c>
      <c r="H7" s="14">
        <f t="shared" si="1"/>
        <v>6</v>
      </c>
      <c r="I7" s="112">
        <f t="shared" si="2"/>
        <v>6201003456</v>
      </c>
      <c r="J7" s="14">
        <f>RANK(I7,$I$7:$I$10,0)</f>
        <v>2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3</v>
      </c>
      <c r="L7" s="112">
        <f t="shared" si="3"/>
        <v>1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1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1</v>
      </c>
      <c r="F8" s="112">
        <f>IF(ISNUMBER('Apostas - Grupos'!N5),'Apostas - Grupos'!N5,0)+IF(ISNUMBER('Apostas - Grupos'!R5),'Apostas - Grupos'!R5,0)+IF(ISNUMBER('Apostas - Grupos'!X5),'Apostas - Grupos'!Y5,0)</f>
        <v>3</v>
      </c>
      <c r="G8" s="112">
        <f t="shared" si="0"/>
        <v>-2</v>
      </c>
      <c r="H8" s="14">
        <f t="shared" si="1"/>
        <v>3</v>
      </c>
      <c r="I8" s="112">
        <f t="shared" si="2"/>
        <v>3198001445</v>
      </c>
      <c r="J8" s="14">
        <f>RANK(I8,$I$7:$I$10,0)</f>
        <v>3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3</v>
      </c>
      <c r="L8" s="112">
        <f t="shared" si="3"/>
        <v>2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5</v>
      </c>
      <c r="G9" s="112">
        <f t="shared" si="0"/>
        <v>-5</v>
      </c>
      <c r="H9" s="14">
        <f t="shared" si="1"/>
        <v>0</v>
      </c>
      <c r="I9" s="112">
        <f t="shared" si="2"/>
        <v>195000462</v>
      </c>
      <c r="J9" s="14">
        <f>RANK(I9,$I$7:$I$10,0)</f>
        <v>4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3</v>
      </c>
      <c r="L9" s="112">
        <f t="shared" si="3"/>
        <v>3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3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7</v>
      </c>
      <c r="F10" s="112">
        <f>IF(ISNUMBER('Apostas - Grupos'!P5),'Apostas - Grupos'!P5,0)+IF(ISNUMBER('Apostas - Grupos'!R5),'Apostas - Grupos'!S5,0)+IF(ISNUMBER('Apostas - Grupos'!V5),'Apostas - Grupos'!W5,0)</f>
        <v>1</v>
      </c>
      <c r="G10" s="112">
        <f t="shared" si="0"/>
        <v>6</v>
      </c>
      <c r="H10" s="14">
        <f t="shared" si="1"/>
        <v>9</v>
      </c>
      <c r="I10" s="112">
        <f t="shared" si="2"/>
        <v>9206007480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3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3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9</v>
      </c>
      <c r="F11" s="114">
        <f>IF(ISNUMBER('Apostas - Grupos'!Z5),'Apostas - Grupos'!AA5,0)+IF(ISNUMBER('Apostas - Grupos'!AF5),'Apostas - Grupos'!AG5,0)+IF(ISNUMBER('Apostas - Grupos'!AH5),'Apostas - Grupos'!AH5,0)</f>
        <v>2</v>
      </c>
      <c r="G11" s="114">
        <f t="shared" si="0"/>
        <v>7</v>
      </c>
      <c r="H11" s="19">
        <f t="shared" si="1"/>
        <v>9</v>
      </c>
      <c r="I11" s="114">
        <f t="shared" si="2"/>
        <v>9207009495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3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2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7</v>
      </c>
      <c r="F12" s="114">
        <f>IF(ISNUMBER('Apostas - Grupos'!Z5),'Apostas - Grupos'!Z5,0)+IF(ISNUMBER('Apostas - Grupos'!AD5),'Apostas - Grupos'!AD5,0)+IF(ISNUMBER('Apostas - Grupos'!AJ5),'Apostas - Grupos'!AK5,0)</f>
        <v>3</v>
      </c>
      <c r="G12" s="114">
        <f t="shared" si="0"/>
        <v>4</v>
      </c>
      <c r="H12" s="19">
        <f t="shared" si="1"/>
        <v>6</v>
      </c>
      <c r="I12" s="114">
        <f t="shared" si="2"/>
        <v>6204007486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3</v>
      </c>
      <c r="L12" s="114">
        <f t="shared" si="3"/>
        <v>1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9</v>
      </c>
      <c r="G13" s="114">
        <f t="shared" si="0"/>
        <v>-9</v>
      </c>
      <c r="H13" s="19">
        <f t="shared" si="1"/>
        <v>0</v>
      </c>
      <c r="I13" s="114">
        <f t="shared" si="2"/>
        <v>191000414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3</v>
      </c>
      <c r="L13" s="114">
        <f t="shared" si="3"/>
        <v>3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1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4</v>
      </c>
      <c r="F14" s="114">
        <f>IF(ISNUMBER('Apostas - Grupos'!AB5),'Apostas - Grupos'!AB5,0)+IF(ISNUMBER('Apostas - Grupos'!AD5),'Apostas - Grupos'!AE5,0)+IF(ISNUMBER('Apostas - Grupos'!AH5),'Apostas - Grupos'!AI5,0)</f>
        <v>6</v>
      </c>
      <c r="G14" s="114">
        <f t="shared" si="0"/>
        <v>-2</v>
      </c>
      <c r="H14" s="19">
        <f t="shared" si="1"/>
        <v>3</v>
      </c>
      <c r="I14" s="114">
        <f t="shared" si="2"/>
        <v>3198004473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3</v>
      </c>
      <c r="L14" s="114">
        <f t="shared" si="3"/>
        <v>2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2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1</v>
      </c>
      <c r="E15" s="116">
        <f>IF(ISNUMBER('Apostas - Grupos'!AL5),'Apostas - Grupos'!AL5,0)+IF(ISNUMBER('Apostas - Grupos'!AP5),'Apostas - Grupos'!AP5,0)+IF(ISNUMBER('Apostas - Grupos'!AT5),'Apostas - Grupos'!AU5,0)</f>
        <v>4</v>
      </c>
      <c r="F15" s="116">
        <f>IF(ISNUMBER('Apostas - Grupos'!AL5),'Apostas - Grupos'!AM5,0)+IF(ISNUMBER('Apostas - Grupos'!AP5),'Apostas - Grupos'!AQ5,0)+IF(ISNUMBER('Apostas - Grupos'!AT5),'Apostas - Grupos'!AT5,0)</f>
        <v>1</v>
      </c>
      <c r="G15" s="116">
        <f t="shared" si="0"/>
        <v>3</v>
      </c>
      <c r="H15" s="24">
        <f t="shared" si="1"/>
        <v>7</v>
      </c>
      <c r="I15" s="116">
        <f t="shared" si="2"/>
        <v>7203004489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3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1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2</v>
      </c>
      <c r="G16" s="116">
        <f t="shared" si="0"/>
        <v>-2</v>
      </c>
      <c r="H16" s="24">
        <f t="shared" si="1"/>
        <v>1</v>
      </c>
      <c r="I16" s="116">
        <f t="shared" si="2"/>
        <v>1198000449</v>
      </c>
      <c r="J16" s="24">
        <f>RANK(I16,$I$15:$I$18,0)</f>
        <v>3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3</v>
      </c>
      <c r="L16" s="116">
        <f t="shared" si="3"/>
        <v>2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1</v>
      </c>
      <c r="E17" s="116">
        <f>IF(ISNUMBER('Apostas - Grupos'!AN5),'Apostas - Grupos'!AN5,0)+IF(ISNUMBER('Apostas - Grupos'!AP5),'Apostas - Grupos'!AQ5,0)+IF(ISNUMBER('Apostas - Grupos'!AV5),'Apostas - Grupos'!AW5,0)</f>
        <v>1</v>
      </c>
      <c r="F17" s="116">
        <f>IF(ISNUMBER('Apostas - Grupos'!AN5),'Apostas - Grupos'!AO5,0)+IF(ISNUMBER('Apostas - Grupos'!AP5),'Apostas - Grupos'!AP5,0)+IF(ISNUMBER('Apostas - Grupos'!AV5),'Apostas - Grupos'!AV5,0)</f>
        <v>4</v>
      </c>
      <c r="G17" s="116">
        <f t="shared" si="0"/>
        <v>-3</v>
      </c>
      <c r="H17" s="24">
        <f t="shared" si="1"/>
        <v>1</v>
      </c>
      <c r="I17" s="116">
        <f t="shared" si="2"/>
        <v>1197001477</v>
      </c>
      <c r="J17" s="24">
        <f>RANK(I17,$I$15:$I$18,0)</f>
        <v>4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3</v>
      </c>
      <c r="L17" s="116">
        <f t="shared" si="3"/>
        <v>2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2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1</v>
      </c>
      <c r="E18" s="116">
        <f>IF(ISNUMBER('Apostas - Grupos'!AN5),'Apostas - Grupos'!AO5,0)+IF(ISNUMBER('Apostas - Grupos'!AR5),'Apostas - Grupos'!AR5,0)+IF(ISNUMBER('Apostas - Grupos'!AT5),'Apostas - Grupos'!AT5,0)</f>
        <v>4</v>
      </c>
      <c r="F18" s="116">
        <f>IF(ISNUMBER('Apostas - Grupos'!AN5),'Apostas - Grupos'!AN5,0)+IF(ISNUMBER('Apostas - Grupos'!AR5),'Apostas - Grupos'!AS5,0)+IF(ISNUMBER('Apostas - Grupos'!AT5),'Apostas - Grupos'!AU5,0)</f>
        <v>2</v>
      </c>
      <c r="G18" s="116">
        <f t="shared" si="0"/>
        <v>2</v>
      </c>
      <c r="H18" s="24">
        <f t="shared" si="1"/>
        <v>7</v>
      </c>
      <c r="I18" s="116">
        <f t="shared" si="2"/>
        <v>7202004464</v>
      </c>
      <c r="J18" s="24">
        <f>RANK(I18,$I$15:$I$18,0)</f>
        <v>2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3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3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8</v>
      </c>
      <c r="F19" s="118">
        <f>IF(ISNUMBER('Apostas - Grupos'!AX5),'Apostas - Grupos'!AY5,0)+IF(ISNUMBER('Apostas - Grupos'!BB5),'Apostas - Grupos'!BC5,0)+IF(ISNUMBER('Apostas - Grupos'!BF5),'Apostas - Grupos'!BF5,0)</f>
        <v>2</v>
      </c>
      <c r="G19" s="118">
        <f t="shared" si="0"/>
        <v>6</v>
      </c>
      <c r="H19" s="29">
        <f t="shared" si="1"/>
        <v>9</v>
      </c>
      <c r="I19" s="118">
        <f t="shared" si="2"/>
        <v>9206008488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3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7</v>
      </c>
      <c r="G20" s="118">
        <f t="shared" si="0"/>
        <v>-7</v>
      </c>
      <c r="H20" s="29">
        <f t="shared" si="1"/>
        <v>0</v>
      </c>
      <c r="I20" s="118">
        <f t="shared" si="2"/>
        <v>193000417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3</v>
      </c>
      <c r="L20" s="118">
        <f t="shared" si="3"/>
        <v>3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1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2</v>
      </c>
      <c r="F21" s="118">
        <f>IF(ISNUMBER('Apostas - Grupos'!AZ5),'Apostas - Grupos'!BA5,0)+IF(ISNUMBER('Apostas - Grupos'!BB5),'Apostas - Grupos'!BB5,0)+IF(ISNUMBER('Apostas - Grupos'!BH5),'Apostas - Grupos'!BH5,0)</f>
        <v>4</v>
      </c>
      <c r="G21" s="118">
        <f t="shared" si="0"/>
        <v>-2</v>
      </c>
      <c r="H21" s="29">
        <f t="shared" si="1"/>
        <v>3</v>
      </c>
      <c r="I21" s="118">
        <f t="shared" si="2"/>
        <v>3198002459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3</v>
      </c>
      <c r="L21" s="118">
        <f t="shared" si="3"/>
        <v>2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2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5</v>
      </c>
      <c r="F22" s="118">
        <f>IF(ISNUMBER('Apostas - Grupos'!AZ5),'Apostas - Grupos'!AZ5,0)+IF(ISNUMBER('Apostas - Grupos'!BD5),'Apostas - Grupos'!BE5,0)+IF(ISNUMBER('Apostas - Grupos'!BF5),'Apostas - Grupos'!BG5,0)</f>
        <v>2</v>
      </c>
      <c r="G22" s="118">
        <f t="shared" si="0"/>
        <v>3</v>
      </c>
      <c r="H22" s="29">
        <f t="shared" si="1"/>
        <v>6</v>
      </c>
      <c r="I22" s="118">
        <f t="shared" si="2"/>
        <v>6203005461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3</v>
      </c>
      <c r="L22" s="118">
        <f t="shared" si="3"/>
        <v>1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2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1</v>
      </c>
      <c r="E23" s="120">
        <f>IF(ISNUMBER('Apostas - Grupos'!BJ5),'Apostas - Grupos'!BJ5,0)+IF(ISNUMBER('Apostas - Grupos'!BN5),'Apostas - Grupos'!BN5,0)+IF(ISNUMBER('Apostas - Grupos'!BT5),'Apostas - Grupos'!BU5,0)</f>
        <v>4</v>
      </c>
      <c r="F23" s="120">
        <f>IF(ISNUMBER('Apostas - Grupos'!BJ5),'Apostas - Grupos'!BK5,0)+IF(ISNUMBER('Apostas - Grupos'!BN5),'Apostas - Grupos'!BO5,0)+IF(ISNUMBER('Apostas - Grupos'!BT5),'Apostas - Grupos'!BT5,0)</f>
        <v>1</v>
      </c>
      <c r="G23" s="120">
        <f t="shared" si="0"/>
        <v>3</v>
      </c>
      <c r="H23" s="34">
        <f t="shared" si="1"/>
        <v>7</v>
      </c>
      <c r="I23" s="120">
        <f t="shared" si="2"/>
        <v>7203004492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3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1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2</v>
      </c>
      <c r="E24" s="120">
        <f>IF(ISNUMBER('Apostas - Grupos'!BJ5),'Apostas - Grupos'!BK5,0)+IF(ISNUMBER('Apostas - Grupos'!BP5),'Apostas - Grupos'!BQ5,0)+IF(ISNUMBER('Apostas - Grupos'!BR5),'Apostas - Grupos'!BR5,0)</f>
        <v>3</v>
      </c>
      <c r="F24" s="120">
        <f>IF(ISNUMBER('Apostas - Grupos'!BJ5),'Apostas - Grupos'!BJ5,0)+IF(ISNUMBER('Apostas - Grupos'!BP5),'Apostas - Grupos'!BP5,0)+IF(ISNUMBER('Apostas - Grupos'!BR5),'Apostas - Grupos'!BS5,0)</f>
        <v>2</v>
      </c>
      <c r="G24" s="120">
        <f t="shared" si="0"/>
        <v>1</v>
      </c>
      <c r="H24" s="34">
        <f t="shared" si="1"/>
        <v>5</v>
      </c>
      <c r="I24" s="120">
        <f t="shared" si="2"/>
        <v>5201003485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3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1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1</v>
      </c>
      <c r="E25" s="120">
        <f>IF(ISNUMBER('Apostas - Grupos'!BL5),'Apostas - Grupos'!BL5,0)+IF(ISNUMBER('Apostas - Grupos'!BN5),'Apostas - Grupos'!BO5,0)+IF(ISNUMBER('Apostas - Grupos'!BR5),'Apostas - Grupos'!BS5,0)</f>
        <v>2</v>
      </c>
      <c r="F25" s="120">
        <f>IF(ISNUMBER('Apostas - Grupos'!BL5),'Apostas - Grupos'!BM5,0)+IF(ISNUMBER('Apostas - Grupos'!BN5),'Apostas - Grupos'!BN5,0)+IF(ISNUMBER('Apostas - Grupos'!BR5),'Apostas - Grupos'!BR5,0)</f>
        <v>3</v>
      </c>
      <c r="G25" s="120">
        <f t="shared" si="0"/>
        <v>-1</v>
      </c>
      <c r="H25" s="34">
        <f t="shared" si="1"/>
        <v>4</v>
      </c>
      <c r="I25" s="120">
        <f t="shared" si="2"/>
        <v>4199002474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3</v>
      </c>
      <c r="L25" s="120">
        <f t="shared" si="3"/>
        <v>1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3</v>
      </c>
      <c r="G26" s="120">
        <f t="shared" si="0"/>
        <v>-3</v>
      </c>
      <c r="H26" s="34">
        <f t="shared" si="1"/>
        <v>0</v>
      </c>
      <c r="I26" s="120">
        <f t="shared" si="2"/>
        <v>197000470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3</v>
      </c>
      <c r="L26" s="120">
        <f t="shared" si="3"/>
        <v>3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3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8</v>
      </c>
      <c r="F27" s="122">
        <f>IF(ISNUMBER('Apostas - Grupos'!BV5),'Apostas - Grupos'!BW5,0)+IF(ISNUMBER('Apostas - Grupos'!BZ5),'Apostas - Grupos'!CA5,0)+IF(ISNUMBER('Apostas - Grupos'!CF5),'Apostas - Grupos'!CF5,0)</f>
        <v>2</v>
      </c>
      <c r="G27" s="122">
        <f t="shared" si="0"/>
        <v>6</v>
      </c>
      <c r="H27" s="39">
        <f t="shared" si="1"/>
        <v>9</v>
      </c>
      <c r="I27" s="122">
        <f t="shared" si="2"/>
        <v>9206008497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3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2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4</v>
      </c>
      <c r="F28" s="122">
        <f>IF(ISNUMBER('Apostas - Grupos'!BV5),'Apostas - Grupos'!BV5,0)+IF(ISNUMBER('Apostas - Grupos'!CB5),'Apostas - Grupos'!CB5,0)+IF(ISNUMBER('Apostas - Grupos'!CD5),'Apostas - Grupos'!CE5,0)</f>
        <v>2</v>
      </c>
      <c r="G28" s="122">
        <f t="shared" si="0"/>
        <v>2</v>
      </c>
      <c r="H28" s="39">
        <f t="shared" si="1"/>
        <v>6</v>
      </c>
      <c r="I28" s="122">
        <f t="shared" si="2"/>
        <v>6202004464</v>
      </c>
      <c r="J28" s="39">
        <f>RANK(I28,$I$27:$I$30,0)</f>
        <v>2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3</v>
      </c>
      <c r="L28" s="122">
        <f t="shared" si="3"/>
        <v>1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1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1</v>
      </c>
      <c r="F29" s="122">
        <f>IF(ISNUMBER('Apostas - Grupos'!BX5),'Apostas - Grupos'!BY5,0)+IF(ISNUMBER('Apostas - Grupos'!BZ5),'Apostas - Grupos'!BZ5,0)+IF(ISNUMBER('Apostas - Grupos'!CD5),'Apostas - Grupos'!CD5,0)</f>
        <v>4</v>
      </c>
      <c r="G29" s="122">
        <f t="shared" si="0"/>
        <v>-3</v>
      </c>
      <c r="H29" s="39">
        <f t="shared" si="1"/>
        <v>3</v>
      </c>
      <c r="I29" s="122">
        <f t="shared" si="2"/>
        <v>3197001475</v>
      </c>
      <c r="J29" s="39">
        <f>RANK(I29,$I$27:$I$30,0)</f>
        <v>3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3</v>
      </c>
      <c r="L29" s="122">
        <f t="shared" si="3"/>
        <v>2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1</v>
      </c>
      <c r="F30" s="122">
        <f>IF(ISNUMBER('Apostas - Grupos'!BX5),'Apostas - Grupos'!BX5,0)+IF(ISNUMBER('Apostas - Grupos'!CB5),'Apostas - Grupos'!CC5,0)+IF(ISNUMBER('Apostas - Grupos'!CF5),'Apostas - Grupos'!CG5,0)</f>
        <v>6</v>
      </c>
      <c r="G30" s="122">
        <f t="shared" si="0"/>
        <v>-5</v>
      </c>
      <c r="H30" s="39">
        <f t="shared" si="1"/>
        <v>0</v>
      </c>
      <c r="I30" s="122">
        <f t="shared" si="2"/>
        <v>195001402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3</v>
      </c>
      <c r="L30" s="122">
        <f t="shared" si="3"/>
        <v>3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3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10</v>
      </c>
      <c r="F31" s="124">
        <f>IF(ISNUMBER('Apostas - Grupos'!CH5),'Apostas - Grupos'!CI5,0)+IF(ISNUMBER('Apostas - Grupos'!CL5),'Apostas - Grupos'!CM5,0)+IF(ISNUMBER('Apostas - Grupos'!CR5),'Apostas - Grupos'!CR5,0)</f>
        <v>1</v>
      </c>
      <c r="G31" s="124">
        <f t="shared" si="0"/>
        <v>9</v>
      </c>
      <c r="H31" s="44">
        <f t="shared" si="1"/>
        <v>9</v>
      </c>
      <c r="I31" s="124">
        <f t="shared" si="2"/>
        <v>9209010496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3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7</v>
      </c>
      <c r="G32" s="124">
        <f t="shared" si="0"/>
        <v>-7</v>
      </c>
      <c r="H32" s="44">
        <f t="shared" si="1"/>
        <v>0</v>
      </c>
      <c r="I32" s="124">
        <f t="shared" si="2"/>
        <v>193000412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3</v>
      </c>
      <c r="L32" s="124">
        <f t="shared" si="3"/>
        <v>3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1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2</v>
      </c>
      <c r="F33" s="124">
        <f>IF(ISNUMBER('Apostas - Grupos'!CJ5),'Apostas - Grupos'!CK5,0)+IF(ISNUMBER('Apostas - Grupos'!CL5),'Apostas - Grupos'!CL5,0)+IF(ISNUMBER('Apostas - Grupos'!CP5),'Apostas - Grupos'!CP5,0)</f>
        <v>5</v>
      </c>
      <c r="G33" s="124">
        <f t="shared" si="0"/>
        <v>-3</v>
      </c>
      <c r="H33" s="44">
        <f t="shared" si="1"/>
        <v>3</v>
      </c>
      <c r="I33" s="124">
        <f t="shared" si="2"/>
        <v>3197002443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3</v>
      </c>
      <c r="L33" s="124">
        <f t="shared" si="3"/>
        <v>2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2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5</v>
      </c>
      <c r="F34" s="124">
        <f>IF(ISNUMBER('Apostas - Grupos'!CJ5),'Apostas - Grupos'!CJ5,0)+IF(ISNUMBER('Apostas - Grupos'!CN5),'Apostas - Grupos'!CO5,0)+IF(ISNUMBER('Apostas - Grupos'!CR5),'Apostas - Grupos'!CS5,0)</f>
        <v>4</v>
      </c>
      <c r="G34" s="124">
        <f t="shared" si="0"/>
        <v>1</v>
      </c>
      <c r="H34" s="44">
        <f t="shared" si="1"/>
        <v>6</v>
      </c>
      <c r="I34" s="124">
        <f t="shared" si="2"/>
        <v>6201005483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3</v>
      </c>
      <c r="L34" s="124">
        <f t="shared" si="3"/>
        <v>1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3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11</v>
      </c>
      <c r="F35" s="126">
        <f>IF(ISNUMBER('Apostas - Grupos'!CT5),'Apostas - Grupos'!CU5,0)+IF(ISNUMBER('Apostas - Grupos'!CX5),'Apostas - Grupos'!CY5,0)+IF(ISNUMBER('Apostas - Grupos'!DB5),'Apostas - Grupos'!DB5,0)</f>
        <v>2</v>
      </c>
      <c r="G35" s="126">
        <f t="shared" si="0"/>
        <v>9</v>
      </c>
      <c r="H35" s="49">
        <f t="shared" si="1"/>
        <v>9</v>
      </c>
      <c r="I35" s="126">
        <f t="shared" si="2"/>
        <v>9209011498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3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1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2</v>
      </c>
      <c r="F36" s="126">
        <f>IF(ISNUMBER('Apostas - Grupos'!CT5),'Apostas - Grupos'!CT5,0)+IF(ISNUMBER('Apostas - Grupos'!CZ5),'Apostas - Grupos'!CZ5,0)+IF(ISNUMBER('Apostas - Grupos'!DD5),'Apostas - Grupos'!DE5,0)</f>
        <v>5</v>
      </c>
      <c r="G36" s="126">
        <f t="shared" si="0"/>
        <v>-3</v>
      </c>
      <c r="H36" s="49">
        <f t="shared" si="1"/>
        <v>3</v>
      </c>
      <c r="I36" s="126">
        <f t="shared" si="2"/>
        <v>3197002479</v>
      </c>
      <c r="J36" s="49">
        <f>RANK(I36,$I$35:$I$38,0)</f>
        <v>3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3</v>
      </c>
      <c r="L36" s="126">
        <f t="shared" si="3"/>
        <v>2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7</v>
      </c>
      <c r="G37" s="126">
        <f t="shared" si="0"/>
        <v>-7</v>
      </c>
      <c r="H37" s="49">
        <f t="shared" si="1"/>
        <v>0</v>
      </c>
      <c r="I37" s="126">
        <f t="shared" si="2"/>
        <v>193000435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3</v>
      </c>
      <c r="L37" s="126">
        <f t="shared" si="3"/>
        <v>3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2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4</v>
      </c>
      <c r="F38" s="126">
        <f>IF(ISNUMBER('Apostas - Grupos'!CV5),'Apostas - Grupos'!CV5,0)+IF(ISNUMBER('Apostas - Grupos'!CZ5),'Apostas - Grupos'!DA5,0)+IF(ISNUMBER('Apostas - Grupos'!DB5),'Apostas - Grupos'!DC5,0)</f>
        <v>3</v>
      </c>
      <c r="G38" s="126">
        <f t="shared" si="0"/>
        <v>1</v>
      </c>
      <c r="H38" s="49">
        <f t="shared" si="1"/>
        <v>6</v>
      </c>
      <c r="I38" s="126">
        <f t="shared" si="2"/>
        <v>6201004472</v>
      </c>
      <c r="J38" s="49">
        <f>RANK(I38,$I$35:$I$38,0)</f>
        <v>2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3</v>
      </c>
      <c r="L38" s="126">
        <f t="shared" si="3"/>
        <v>1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3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9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9</v>
      </c>
      <c r="H39" s="54">
        <f t="shared" si="1"/>
        <v>9</v>
      </c>
      <c r="I39" s="128">
        <f t="shared" si="2"/>
        <v>9209009499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3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2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4</v>
      </c>
      <c r="F40" s="128">
        <f>IF(ISNUMBER('Apostas - Grupos'!DF5),'Apostas - Grupos'!DF5,0)+IF(ISNUMBER('Apostas - Grupos'!DL5),'Apostas - Grupos'!DL5,0)+IF(ISNUMBER('Apostas - Grupos'!DN5),'Apostas - Grupos'!DO5,0)</f>
        <v>4</v>
      </c>
      <c r="G40" s="128">
        <f t="shared" si="0"/>
        <v>0</v>
      </c>
      <c r="H40" s="54">
        <f t="shared" si="1"/>
        <v>6</v>
      </c>
      <c r="I40" s="128">
        <f t="shared" si="2"/>
        <v>6200004468</v>
      </c>
      <c r="J40" s="54">
        <f>RANK(I40,$I$39:$I$42,0)</f>
        <v>2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3</v>
      </c>
      <c r="L40" s="128">
        <f t="shared" si="3"/>
        <v>1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1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1</v>
      </c>
      <c r="F41" s="128">
        <f>IF(ISNUMBER('Apostas - Grupos'!DH5),'Apostas - Grupos'!DI5,0)+IF(ISNUMBER('Apostas - Grupos'!DJ5),'Apostas - Grupos'!DJ5,0)+IF(ISNUMBER('Apostas - Grupos'!DN5),'Apostas - Grupos'!DN5,0)</f>
        <v>5</v>
      </c>
      <c r="G41" s="128">
        <f t="shared" si="0"/>
        <v>-4</v>
      </c>
      <c r="H41" s="54">
        <f t="shared" si="1"/>
        <v>3</v>
      </c>
      <c r="I41" s="128">
        <f t="shared" si="2"/>
        <v>3196001476</v>
      </c>
      <c r="J41" s="54">
        <f>RANK(I41,$I$39:$I$42,0)</f>
        <v>3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3</v>
      </c>
      <c r="L41" s="128">
        <f t="shared" si="3"/>
        <v>2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1</v>
      </c>
      <c r="F42" s="128">
        <f>IF(ISNUMBER('Apostas - Grupos'!DH5),'Apostas - Grupos'!DH5,0)+IF(ISNUMBER('Apostas - Grupos'!DL5),'Apostas - Grupos'!DM5,0)+IF(ISNUMBER('Apostas - Grupos'!DP5),'Apostas - Grupos'!DQ5,0)</f>
        <v>6</v>
      </c>
      <c r="G42" s="128">
        <f t="shared" si="0"/>
        <v>-5</v>
      </c>
      <c r="H42" s="54">
        <f t="shared" si="1"/>
        <v>0</v>
      </c>
      <c r="I42" s="128">
        <f t="shared" si="2"/>
        <v>195001414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3</v>
      </c>
      <c r="L42" s="128">
        <f t="shared" si="3"/>
        <v>3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3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5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5</v>
      </c>
      <c r="H43" s="59">
        <f t="shared" si="1"/>
        <v>9</v>
      </c>
      <c r="I43" s="130">
        <f t="shared" si="2"/>
        <v>9205005494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3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1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3</v>
      </c>
      <c r="G44" s="130">
        <f t="shared" si="0"/>
        <v>-3</v>
      </c>
      <c r="H44" s="59">
        <f t="shared" si="1"/>
        <v>1</v>
      </c>
      <c r="I44" s="130">
        <f t="shared" si="2"/>
        <v>1197000443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3</v>
      </c>
      <c r="L44" s="130">
        <f t="shared" si="3"/>
        <v>2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1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3</v>
      </c>
      <c r="G45" s="130">
        <f t="shared" si="0"/>
        <v>-3</v>
      </c>
      <c r="H45" s="59">
        <f t="shared" si="1"/>
        <v>1</v>
      </c>
      <c r="I45" s="130">
        <f t="shared" si="2"/>
        <v>1197000426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3</v>
      </c>
      <c r="L45" s="130">
        <f t="shared" si="3"/>
        <v>2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2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2</v>
      </c>
      <c r="F46" s="130">
        <f>IF(ISNUMBER('Apostas - Grupos'!DT5),'Apostas - Grupos'!DT5,0)+IF(ISNUMBER('Apostas - Grupos'!DX5),'Apostas - Grupos'!DY5,0)+IF(ISNUMBER('Apostas - Grupos'!DZ5),'Apostas - Grupos'!EA5,0)</f>
        <v>1</v>
      </c>
      <c r="G46" s="130">
        <f t="shared" si="0"/>
        <v>1</v>
      </c>
      <c r="H46" s="59">
        <f t="shared" si="1"/>
        <v>6</v>
      </c>
      <c r="I46" s="130">
        <f t="shared" si="2"/>
        <v>6201002482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3</v>
      </c>
      <c r="L46" s="130">
        <f t="shared" si="3"/>
        <v>1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3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7</v>
      </c>
      <c r="F47" s="132">
        <f>IF(ISNUMBER('Apostas - Grupos'!ED5),'Apostas - Grupos'!EE5,0)+IF(ISNUMBER('Apostas - Grupos'!EH5),'Apostas - Grupos'!EI5,0)+IF(ISNUMBER('Apostas - Grupos'!EL5),'Apostas - Grupos'!EL5,0)</f>
        <v>2</v>
      </c>
      <c r="G47" s="132">
        <f t="shared" si="0"/>
        <v>5</v>
      </c>
      <c r="H47" s="64">
        <f t="shared" si="1"/>
        <v>9</v>
      </c>
      <c r="I47" s="132">
        <f t="shared" si="2"/>
        <v>9205007491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3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1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2</v>
      </c>
      <c r="F48" s="132">
        <f>IF(ISNUMBER('Apostas - Grupos'!ED5),'Apostas - Grupos'!ED5,0)+IF(ISNUMBER('Apostas - Grupos'!EJ5),'Apostas - Grupos'!EJ5,0)+IF(ISNUMBER('Apostas - Grupos'!EN5),'Apostas - Grupos'!EO5,0)</f>
        <v>4</v>
      </c>
      <c r="G48" s="132">
        <f t="shared" si="0"/>
        <v>-2</v>
      </c>
      <c r="H48" s="64">
        <f t="shared" si="1"/>
        <v>3</v>
      </c>
      <c r="I48" s="132">
        <f t="shared" si="2"/>
        <v>3198002490</v>
      </c>
      <c r="J48" s="64">
        <f>RANK(I48,$I$47:$I$50,0)</f>
        <v>3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3</v>
      </c>
      <c r="L48" s="132">
        <f t="shared" si="3"/>
        <v>2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2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4</v>
      </c>
      <c r="F49" s="132">
        <f>IF(ISNUMBER('Apostas - Grupos'!EF5),'Apostas - Grupos'!EG5,0)+IF(ISNUMBER('Apostas - Grupos'!EH5),'Apostas - Grupos'!EH5,0)+IF(ISNUMBER('Apostas - Grupos'!EN5),'Apostas - Grupos'!EN5,0)</f>
        <v>2</v>
      </c>
      <c r="G49" s="132">
        <f t="shared" si="0"/>
        <v>2</v>
      </c>
      <c r="H49" s="64">
        <f t="shared" si="1"/>
        <v>6</v>
      </c>
      <c r="I49" s="132">
        <f t="shared" si="2"/>
        <v>6202004448</v>
      </c>
      <c r="J49" s="64">
        <f>RANK(I49,$I$47:$I$50,0)</f>
        <v>2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3</v>
      </c>
      <c r="L49" s="132">
        <f t="shared" si="3"/>
        <v>1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5</v>
      </c>
      <c r="G50" s="132">
        <f t="shared" si="0"/>
        <v>-5</v>
      </c>
      <c r="H50" s="64">
        <f t="shared" si="1"/>
        <v>0</v>
      </c>
      <c r="I50" s="132">
        <f t="shared" si="2"/>
        <v>195000428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3</v>
      </c>
      <c r="L50" s="132">
        <f t="shared" si="3"/>
        <v>3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Canada</v>
      </c>
      <c r="D54" s="135" t="str">
        <f>IFERROR(INDEX($B$7:$B$10,MATCH(3,$J$7:$J$10,0)),"?")</f>
        <v>Bosnia e Herzegovina</v>
      </c>
      <c r="E54" s="135" t="str">
        <f>IFERROR(INDEX($B$7:$B$10,MATCH(4,$J$7:$J$10,0)),"?")</f>
        <v>Qatar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Turquia</v>
      </c>
      <c r="D56" s="135" t="str">
        <f>IFERROR(INDEX($B$15:$B$18,MATCH(3,$J$15:$J$18,0)),"?")</f>
        <v>Paraguai</v>
      </c>
      <c r="E56" s="135" t="str">
        <f>IFERROR(INDEX($B$15:$B$18,MATCH(4,$J$15:$J$18,0)),"?")</f>
        <v>Australia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Egito</v>
      </c>
      <c r="D59" s="135" t="str">
        <f>IFERROR(INDEX($B$27:$B$30,MATCH(3,$J$27:$J$30,0)),"?")</f>
        <v>Ira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Noruega</v>
      </c>
      <c r="D61" s="135" t="str">
        <f>IFERROR(INDEX($B$35:$B$38,MATCH(3,$J$35:$J$38,0)),"?")</f>
        <v>Senegal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Argelia</v>
      </c>
      <c r="D62" s="135" t="str">
        <f>IFERROR(INDEX($B$39:$B$42,MATCH(3,$J$39:$J$42,0)),"?")</f>
        <v>Austria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Gana</v>
      </c>
      <c r="D64" s="135" t="str">
        <f>IFERROR(INDEX($B$47:$B$50,MATCH(3,$J$47:$J$50,0)),"?")</f>
        <v>Croacia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3199003462</v>
      </c>
      <c r="D66" s="150">
        <f t="shared" ref="D66:D77" si="4">RANK(C66,$C$66:$C$77,0)</f>
        <v>2</v>
      </c>
    </row>
    <row r="67" spans="1:4">
      <c r="A67" s="151" t="s">
        <v>65</v>
      </c>
      <c r="B67" s="149" t="str">
        <f>IFERROR(INDEX($B$7:$B$10,MATCH(3,$J$7:$J$10,0)),"?")</f>
        <v>Bosnia e Herzegovina</v>
      </c>
      <c r="C67" s="149">
        <f>IFERROR(INDEX($I$7:$I$10,MATCH(3,$J$7:$J$10,0)),0)</f>
        <v>3198001445</v>
      </c>
      <c r="D67" s="150">
        <f t="shared" si="4"/>
        <v>6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3198004473</v>
      </c>
      <c r="D68" s="150">
        <f t="shared" si="4"/>
        <v>3</v>
      </c>
    </row>
    <row r="69" spans="1:4">
      <c r="A69" s="153" t="s">
        <v>87</v>
      </c>
      <c r="B69" s="149" t="str">
        <f>IFERROR(INDEX($B$15:$B$18,MATCH(3,$J$15:$J$18,0)),"?")</f>
        <v>Paraguai</v>
      </c>
      <c r="C69" s="149">
        <f>IFERROR(INDEX($I$15:$I$18,MATCH(3,$J$15:$J$18,0)),0)</f>
        <v>1198000449</v>
      </c>
      <c r="D69" s="150">
        <f t="shared" si="4"/>
        <v>11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3198002459</v>
      </c>
      <c r="D70" s="150">
        <f t="shared" si="4"/>
        <v>5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4199002474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Ira</v>
      </c>
      <c r="C72" s="149">
        <f>IFERROR(INDEX($I$27:$I$30,MATCH(3,$J$27:$J$30,0)),0)</f>
        <v>3197001475</v>
      </c>
      <c r="D72" s="150">
        <f t="shared" si="4"/>
        <v>9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3197002443</v>
      </c>
      <c r="D73" s="150">
        <f t="shared" si="4"/>
        <v>8</v>
      </c>
    </row>
    <row r="74" spans="1:4">
      <c r="A74" s="158" t="s">
        <v>142</v>
      </c>
      <c r="B74" s="149" t="str">
        <f>IFERROR(INDEX($B$35:$B$38,MATCH(3,$J$35:$J$38,0)),"?")</f>
        <v>Senegal</v>
      </c>
      <c r="C74" s="149">
        <f>IFERROR(INDEX($I$35:$I$38,MATCH(3,$J$35:$J$38,0)),0)</f>
        <v>3197002479</v>
      </c>
      <c r="D74" s="150">
        <f t="shared" si="4"/>
        <v>7</v>
      </c>
    </row>
    <row r="75" spans="1:4">
      <c r="A75" s="159" t="s">
        <v>153</v>
      </c>
      <c r="B75" s="149" t="str">
        <f>IFERROR(INDEX($B$39:$B$42,MATCH(3,$J$39:$J$42,0)),"?")</f>
        <v>Austria</v>
      </c>
      <c r="C75" s="149">
        <f>IFERROR(INDEX($I$39:$I$42,MATCH(3,$J$39:$J$42,0)),0)</f>
        <v>3196001476</v>
      </c>
      <c r="D75" s="150">
        <f t="shared" si="4"/>
        <v>10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1197000443</v>
      </c>
      <c r="D76" s="150">
        <f t="shared" si="4"/>
        <v>12</v>
      </c>
    </row>
    <row r="77" spans="1:4">
      <c r="A77" s="161" t="s">
        <v>175</v>
      </c>
      <c r="B77" s="149" t="str">
        <f>IFERROR(INDEX($B$47:$B$50,MATCH(3,$J$47:$J$50,0)),"?")</f>
        <v>Croacia</v>
      </c>
      <c r="C77" s="149">
        <f>IFERROR(INDEX($I$47:$I$50,MATCH(3,$J$47:$J$50,0)),0)</f>
        <v>3198002490</v>
      </c>
      <c r="D77" s="150">
        <f t="shared" si="4"/>
        <v>4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Tchequia</v>
      </c>
    </row>
    <row r="81" spans="1:13">
      <c r="A81" s="163">
        <v>3</v>
      </c>
      <c r="B81" s="164" t="str">
        <f>IFERROR(INDEX($B$66:$B$77,MATCH(3,$D$66:$D$77,0)),"?")</f>
        <v>Escocia</v>
      </c>
    </row>
    <row r="82" spans="1:13">
      <c r="A82" s="163">
        <v>4</v>
      </c>
      <c r="B82" s="164" t="str">
        <f>IFERROR(INDEX($B$66:$B$77,MATCH(4,$D$66:$D$77,0)),"?")</f>
        <v>Croacia</v>
      </c>
    </row>
    <row r="83" spans="1:13">
      <c r="A83" s="163">
        <v>5</v>
      </c>
      <c r="B83" s="164" t="str">
        <f>IFERROR(INDEX($B$66:$B$77,MATCH(5,$D$66:$D$77,0)),"?")</f>
        <v>Costa do Marfim</v>
      </c>
    </row>
    <row r="84" spans="1:13">
      <c r="A84" s="163">
        <v>6</v>
      </c>
      <c r="B84" s="164" t="str">
        <f>IFERROR(INDEX($B$66:$B$77,MATCH(6,$D$66:$D$77,0)),"?")</f>
        <v>Bosnia e Herzegovina</v>
      </c>
    </row>
    <row r="85" spans="1:13">
      <c r="A85" s="163">
        <v>7</v>
      </c>
      <c r="B85" s="164" t="str">
        <f>IFERROR(INDEX($B$66:$B$77,MATCH(7,$D$66:$D$77,0)),"?")</f>
        <v>Senegal</v>
      </c>
    </row>
    <row r="86" spans="1:13">
      <c r="A86" s="163">
        <v>8</v>
      </c>
      <c r="B86" s="164" t="str">
        <f>IFERROR(INDEX($B$66:$B$77,MATCH(8,$D$66:$D$77,0)),"?")</f>
        <v>Arabia Saudita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ABCEFHIL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1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1</v>
      </c>
      <c r="E93" s="110">
        <f>IF(ISNUMBER('Apostas - Grupos'!B6),'Apostas - Grupos'!B6,0)+IF(ISNUMBER('Apostas - Grupos'!H6),'Apostas - Grupos'!H6,0)+IF(ISNUMBER('Apostas - Grupos'!J6),'Apostas - Grupos'!K6,0)</f>
        <v>3</v>
      </c>
      <c r="F93" s="110">
        <f>IF(ISNUMBER('Apostas - Grupos'!B6),'Apostas - Grupos'!C6,0)+IF(ISNUMBER('Apostas - Grupos'!H6),'Apostas - Grupos'!I6,0)+IF(ISNUMBER('Apostas - Grupos'!J6),'Apostas - Grupos'!J6,0)</f>
        <v>3</v>
      </c>
      <c r="G93" s="110">
        <f t="shared" ref="G93:G140" si="5">E93-F93</f>
        <v>0</v>
      </c>
      <c r="H93" s="8">
        <f t="shared" ref="H93:H140" si="6">3*C93+D93</f>
        <v>4</v>
      </c>
      <c r="I93" s="110">
        <f t="shared" ref="I93:I140" si="7">H93*1000000000+(G93+200)*1000000+E93*1000+(500-M93)</f>
        <v>4200003484</v>
      </c>
      <c r="J93" s="8">
        <f>RANK(I93,$I$93:$I$96,0)</f>
        <v>2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3</v>
      </c>
      <c r="L93" s="110">
        <f t="shared" ref="L93:L140" si="8">K93-C93-D93</f>
        <v>1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1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1</v>
      </c>
      <c r="E94" s="110">
        <f>IF(ISNUMBER('Apostas - Grupos'!B6),'Apostas - Grupos'!C6,0)+IF(ISNUMBER('Apostas - Grupos'!F6),'Apostas - Grupos'!G6,0)+IF(ISNUMBER('Apostas - Grupos'!L6),'Apostas - Grupos'!L6,0)</f>
        <v>4</v>
      </c>
      <c r="F94" s="110">
        <f>IF(ISNUMBER('Apostas - Grupos'!B6),'Apostas - Grupos'!B6,0)+IF(ISNUMBER('Apostas - Grupos'!F6),'Apostas - Grupos'!F6,0)+IF(ISNUMBER('Apostas - Grupos'!L6),'Apostas - Grupos'!M6,0)</f>
        <v>6</v>
      </c>
      <c r="G94" s="110">
        <f t="shared" si="5"/>
        <v>-2</v>
      </c>
      <c r="H94" s="8">
        <f t="shared" si="6"/>
        <v>4</v>
      </c>
      <c r="I94" s="110">
        <f t="shared" si="7"/>
        <v>4198004437</v>
      </c>
      <c r="J94" s="8">
        <f>RANK(I94,$I$93:$I$96,0)</f>
        <v>3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3</v>
      </c>
      <c r="L94" s="110">
        <f t="shared" si="8"/>
        <v>1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1</v>
      </c>
      <c r="E95" s="110">
        <f>IF(ISNUMBER('Apostas - Grupos'!D6),'Apostas - Grupos'!D6,0)+IF(ISNUMBER('Apostas - Grupos'!H6),'Apostas - Grupos'!I6,0)+IF(ISNUMBER('Apostas - Grupos'!L6),'Apostas - Grupos'!M6,0)</f>
        <v>4</v>
      </c>
      <c r="F95" s="110">
        <f>IF(ISNUMBER('Apostas - Grupos'!D6),'Apostas - Grupos'!E6,0)+IF(ISNUMBER('Apostas - Grupos'!H6),'Apostas - Grupos'!H6,0)+IF(ISNUMBER('Apostas - Grupos'!L6),'Apostas - Grupos'!L6,0)</f>
        <v>6</v>
      </c>
      <c r="G95" s="110">
        <f t="shared" si="5"/>
        <v>-2</v>
      </c>
      <c r="H95" s="8">
        <f t="shared" si="6"/>
        <v>1</v>
      </c>
      <c r="I95" s="110">
        <f t="shared" si="7"/>
        <v>1198004477</v>
      </c>
      <c r="J95" s="8">
        <f>RANK(I95,$I$93:$I$96,0)</f>
        <v>4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3</v>
      </c>
      <c r="L95" s="110">
        <f t="shared" si="8"/>
        <v>2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2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1</v>
      </c>
      <c r="E96" s="110">
        <f>IF(ISNUMBER('Apostas - Grupos'!D6),'Apostas - Grupos'!E6,0)+IF(ISNUMBER('Apostas - Grupos'!F6),'Apostas - Grupos'!F6,0)+IF(ISNUMBER('Apostas - Grupos'!J6),'Apostas - Grupos'!J6,0)</f>
        <v>9</v>
      </c>
      <c r="F96" s="110">
        <f>IF(ISNUMBER('Apostas - Grupos'!D6),'Apostas - Grupos'!D6,0)+IF(ISNUMBER('Apostas - Grupos'!F6),'Apostas - Grupos'!G6,0)+IF(ISNUMBER('Apostas - Grupos'!J6),'Apostas - Grupos'!K6,0)</f>
        <v>5</v>
      </c>
      <c r="G96" s="110">
        <f t="shared" si="5"/>
        <v>4</v>
      </c>
      <c r="H96" s="8">
        <f t="shared" si="6"/>
        <v>7</v>
      </c>
      <c r="I96" s="110">
        <f t="shared" si="7"/>
        <v>7204009462</v>
      </c>
      <c r="J96" s="8">
        <f>RANK(I96,$I$93:$I$96,0)</f>
        <v>1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3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2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1</v>
      </c>
      <c r="E97" s="112">
        <f>IF(ISNUMBER('Apostas - Grupos'!N6),'Apostas - Grupos'!N6,0)+IF(ISNUMBER('Apostas - Grupos'!T6),'Apostas - Grupos'!T6,0)+IF(ISNUMBER('Apostas - Grupos'!V6),'Apostas - Grupos'!W6,0)</f>
        <v>6</v>
      </c>
      <c r="F97" s="112">
        <f>IF(ISNUMBER('Apostas - Grupos'!N6),'Apostas - Grupos'!O6,0)+IF(ISNUMBER('Apostas - Grupos'!T6),'Apostas - Grupos'!U6,0)+IF(ISNUMBER('Apostas - Grupos'!V6),'Apostas - Grupos'!V6,0)</f>
        <v>4</v>
      </c>
      <c r="G97" s="112">
        <f t="shared" si="5"/>
        <v>2</v>
      </c>
      <c r="H97" s="14">
        <f t="shared" si="6"/>
        <v>7</v>
      </c>
      <c r="I97" s="112">
        <f t="shared" si="7"/>
        <v>7202006456</v>
      </c>
      <c r="J97" s="14">
        <f>RANK(I97,$I$97:$I$100,0)</f>
        <v>2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3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3</v>
      </c>
      <c r="F98" s="112">
        <f>IF(ISNUMBER('Apostas - Grupos'!N6),'Apostas - Grupos'!N6,0)+IF(ISNUMBER('Apostas - Grupos'!R6),'Apostas - Grupos'!R6,0)+IF(ISNUMBER('Apostas - Grupos'!X6),'Apostas - Grupos'!Y6,0)</f>
        <v>10</v>
      </c>
      <c r="G98" s="112">
        <f t="shared" si="5"/>
        <v>-7</v>
      </c>
      <c r="H98" s="14">
        <f t="shared" si="6"/>
        <v>0</v>
      </c>
      <c r="I98" s="112">
        <f t="shared" si="7"/>
        <v>193003445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3</v>
      </c>
      <c r="L98" s="112">
        <f t="shared" si="8"/>
        <v>3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1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8</v>
      </c>
      <c r="F99" s="112">
        <f>IF(ISNUMBER('Apostas - Grupos'!P6),'Apostas - Grupos'!Q6,0)+IF(ISNUMBER('Apostas - Grupos'!T6),'Apostas - Grupos'!T6,0)+IF(ISNUMBER('Apostas - Grupos'!X6),'Apostas - Grupos'!X6,0)</f>
        <v>8</v>
      </c>
      <c r="G99" s="112">
        <f t="shared" si="5"/>
        <v>0</v>
      </c>
      <c r="H99" s="14">
        <f t="shared" si="6"/>
        <v>3</v>
      </c>
      <c r="I99" s="112">
        <f t="shared" si="7"/>
        <v>3200008462</v>
      </c>
      <c r="J99" s="14">
        <f>RANK(I99,$I$97:$I$100,0)</f>
        <v>3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3</v>
      </c>
      <c r="L99" s="112">
        <f t="shared" si="8"/>
        <v>2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2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1</v>
      </c>
      <c r="E100" s="112">
        <f>IF(ISNUMBER('Apostas - Grupos'!P6),'Apostas - Grupos'!Q6,0)+IF(ISNUMBER('Apostas - Grupos'!R6),'Apostas - Grupos'!R6,0)+IF(ISNUMBER('Apostas - Grupos'!V6),'Apostas - Grupos'!V6,0)</f>
        <v>10</v>
      </c>
      <c r="F100" s="112">
        <f>IF(ISNUMBER('Apostas - Grupos'!P6),'Apostas - Grupos'!P6,0)+IF(ISNUMBER('Apostas - Grupos'!R6),'Apostas - Grupos'!S6,0)+IF(ISNUMBER('Apostas - Grupos'!V6),'Apostas - Grupos'!W6,0)</f>
        <v>5</v>
      </c>
      <c r="G100" s="112">
        <f t="shared" si="5"/>
        <v>5</v>
      </c>
      <c r="H100" s="14">
        <f t="shared" si="6"/>
        <v>7</v>
      </c>
      <c r="I100" s="112">
        <f t="shared" si="7"/>
        <v>7205010480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3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1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8</v>
      </c>
      <c r="F101" s="114">
        <f>IF(ISNUMBER('Apostas - Grupos'!Z6),'Apostas - Grupos'!AA6,0)+IF(ISNUMBER('Apostas - Grupos'!AF6),'Apostas - Grupos'!AG6,0)+IF(ISNUMBER('Apostas - Grupos'!AH6),'Apostas - Grupos'!AH6,0)</f>
        <v>8</v>
      </c>
      <c r="G101" s="114">
        <f t="shared" si="5"/>
        <v>0</v>
      </c>
      <c r="H101" s="19">
        <f t="shared" si="6"/>
        <v>3</v>
      </c>
      <c r="I101" s="114">
        <f t="shared" si="7"/>
        <v>3200008495</v>
      </c>
      <c r="J101" s="19">
        <f>RANK(I101,$I$101:$I$104,0)</f>
        <v>3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3</v>
      </c>
      <c r="L101" s="114">
        <f t="shared" si="8"/>
        <v>2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3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10</v>
      </c>
      <c r="F102" s="114">
        <f>IF(ISNUMBER('Apostas - Grupos'!Z6),'Apostas - Grupos'!Z6,0)+IF(ISNUMBER('Apostas - Grupos'!AD6),'Apostas - Grupos'!AD6,0)+IF(ISNUMBER('Apostas - Grupos'!AJ6),'Apostas - Grupos'!AK6,0)</f>
        <v>4</v>
      </c>
      <c r="G102" s="114">
        <f t="shared" si="5"/>
        <v>6</v>
      </c>
      <c r="H102" s="19">
        <f t="shared" si="6"/>
        <v>9</v>
      </c>
      <c r="I102" s="114">
        <f t="shared" si="7"/>
        <v>9206010486</v>
      </c>
      <c r="J102" s="19">
        <f>RANK(I102,$I$101:$I$104,0)</f>
        <v>1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3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1</v>
      </c>
      <c r="F103" s="114">
        <f>IF(ISNUMBER('Apostas - Grupos'!AB6),'Apostas - Grupos'!AC6,0)+IF(ISNUMBER('Apostas - Grupos'!AF6),'Apostas - Grupos'!AF6,0)+IF(ISNUMBER('Apostas - Grupos'!AJ6),'Apostas - Grupos'!AJ6,0)</f>
        <v>8</v>
      </c>
      <c r="G103" s="114">
        <f t="shared" si="5"/>
        <v>-7</v>
      </c>
      <c r="H103" s="19">
        <f t="shared" si="6"/>
        <v>0</v>
      </c>
      <c r="I103" s="114">
        <f t="shared" si="7"/>
        <v>193001414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3</v>
      </c>
      <c r="L103" s="114">
        <f t="shared" si="8"/>
        <v>3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2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8</v>
      </c>
      <c r="F104" s="114">
        <f>IF(ISNUMBER('Apostas - Grupos'!AB6),'Apostas - Grupos'!AB6,0)+IF(ISNUMBER('Apostas - Grupos'!AD6),'Apostas - Grupos'!AE6,0)+IF(ISNUMBER('Apostas - Grupos'!AH6),'Apostas - Grupos'!AI6,0)</f>
        <v>7</v>
      </c>
      <c r="G104" s="114">
        <f t="shared" si="5"/>
        <v>1</v>
      </c>
      <c r="H104" s="19">
        <f t="shared" si="6"/>
        <v>6</v>
      </c>
      <c r="I104" s="114">
        <f t="shared" si="7"/>
        <v>6201008473</v>
      </c>
      <c r="J104" s="19">
        <f>RANK(I104,$I$101:$I$104,0)</f>
        <v>2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3</v>
      </c>
      <c r="L104" s="114">
        <f t="shared" si="8"/>
        <v>1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2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7</v>
      </c>
      <c r="F105" s="116">
        <f>IF(ISNUMBER('Apostas - Grupos'!AL6),'Apostas - Grupos'!AM6,0)+IF(ISNUMBER('Apostas - Grupos'!AP6),'Apostas - Grupos'!AQ6,0)+IF(ISNUMBER('Apostas - Grupos'!AT6),'Apostas - Grupos'!AT6,0)</f>
        <v>6</v>
      </c>
      <c r="G105" s="116">
        <f t="shared" si="5"/>
        <v>1</v>
      </c>
      <c r="H105" s="24">
        <f t="shared" si="6"/>
        <v>6</v>
      </c>
      <c r="I105" s="116">
        <f t="shared" si="7"/>
        <v>6201007489</v>
      </c>
      <c r="J105" s="24">
        <f>RANK(I105,$I$105:$I$108,0)</f>
        <v>2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3</v>
      </c>
      <c r="L105" s="116">
        <f t="shared" si="8"/>
        <v>1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2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1</v>
      </c>
      <c r="E106" s="116">
        <f>IF(ISNUMBER('Apostas - Grupos'!AL6),'Apostas - Grupos'!AM6,0)+IF(ISNUMBER('Apostas - Grupos'!AR6),'Apostas - Grupos'!AS6,0)+IF(ISNUMBER('Apostas - Grupos'!AV6),'Apostas - Grupos'!AV6,0)</f>
        <v>7</v>
      </c>
      <c r="F106" s="116">
        <f>IF(ISNUMBER('Apostas - Grupos'!AL6),'Apostas - Grupos'!AL6,0)+IF(ISNUMBER('Apostas - Grupos'!AR6),'Apostas - Grupos'!AR6,0)+IF(ISNUMBER('Apostas - Grupos'!AV6),'Apostas - Grupos'!AW6,0)</f>
        <v>4</v>
      </c>
      <c r="G106" s="116">
        <f t="shared" si="5"/>
        <v>3</v>
      </c>
      <c r="H106" s="24">
        <f t="shared" si="6"/>
        <v>7</v>
      </c>
      <c r="I106" s="116">
        <f t="shared" si="7"/>
        <v>7203007449</v>
      </c>
      <c r="J106" s="24">
        <f>RANK(I106,$I$105:$I$108,0)</f>
        <v>1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3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1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1</v>
      </c>
      <c r="E107" s="116">
        <f>IF(ISNUMBER('Apostas - Grupos'!AN6),'Apostas - Grupos'!AN6,0)+IF(ISNUMBER('Apostas - Grupos'!AP6),'Apostas - Grupos'!AQ6,0)+IF(ISNUMBER('Apostas - Grupos'!AV6),'Apostas - Grupos'!AW6,0)</f>
        <v>4</v>
      </c>
      <c r="F107" s="116">
        <f>IF(ISNUMBER('Apostas - Grupos'!AN6),'Apostas - Grupos'!AO6,0)+IF(ISNUMBER('Apostas - Grupos'!AP6),'Apostas - Grupos'!AP6,0)+IF(ISNUMBER('Apostas - Grupos'!AV6),'Apostas - Grupos'!AV6,0)</f>
        <v>4</v>
      </c>
      <c r="G107" s="116">
        <f t="shared" si="5"/>
        <v>0</v>
      </c>
      <c r="H107" s="24">
        <f t="shared" si="6"/>
        <v>4</v>
      </c>
      <c r="I107" s="116">
        <f t="shared" si="7"/>
        <v>4200004477</v>
      </c>
      <c r="J107" s="24">
        <f>RANK(I107,$I$105:$I$108,0)</f>
        <v>3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3</v>
      </c>
      <c r="L107" s="116">
        <f t="shared" si="8"/>
        <v>1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4</v>
      </c>
      <c r="F108" s="116">
        <f>IF(ISNUMBER('Apostas - Grupos'!AN6),'Apostas - Grupos'!AN6,0)+IF(ISNUMBER('Apostas - Grupos'!AR6),'Apostas - Grupos'!AS6,0)+IF(ISNUMBER('Apostas - Grupos'!AT6),'Apostas - Grupos'!AU6,0)</f>
        <v>8</v>
      </c>
      <c r="G108" s="116">
        <f t="shared" si="5"/>
        <v>-4</v>
      </c>
      <c r="H108" s="24">
        <f t="shared" si="6"/>
        <v>0</v>
      </c>
      <c r="I108" s="116">
        <f t="shared" si="7"/>
        <v>196004464</v>
      </c>
      <c r="J108" s="24">
        <f>RANK(I108,$I$105:$I$108,0)</f>
        <v>4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3</v>
      </c>
      <c r="L108" s="116">
        <f t="shared" si="8"/>
        <v>3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2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1</v>
      </c>
      <c r="E109" s="118">
        <f>IF(ISNUMBER('Apostas - Grupos'!AX6),'Apostas - Grupos'!AX6,0)+IF(ISNUMBER('Apostas - Grupos'!BB6),'Apostas - Grupos'!BB6,0)+IF(ISNUMBER('Apostas - Grupos'!BF6),'Apostas - Grupos'!BG6,0)</f>
        <v>6</v>
      </c>
      <c r="F109" s="118">
        <f>IF(ISNUMBER('Apostas - Grupos'!AX6),'Apostas - Grupos'!AY6,0)+IF(ISNUMBER('Apostas - Grupos'!BB6),'Apostas - Grupos'!BC6,0)+IF(ISNUMBER('Apostas - Grupos'!BF6),'Apostas - Grupos'!BF6,0)</f>
        <v>4</v>
      </c>
      <c r="G109" s="118">
        <f t="shared" si="5"/>
        <v>2</v>
      </c>
      <c r="H109" s="29">
        <f t="shared" si="6"/>
        <v>7</v>
      </c>
      <c r="I109" s="118">
        <f t="shared" si="7"/>
        <v>7202006488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3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1</v>
      </c>
      <c r="E110" s="118">
        <f>IF(ISNUMBER('Apostas - Grupos'!AX6),'Apostas - Grupos'!AY6,0)+IF(ISNUMBER('Apostas - Grupos'!BD6),'Apostas - Grupos'!BE6,0)+IF(ISNUMBER('Apostas - Grupos'!BH6),'Apostas - Grupos'!BH6,0)</f>
        <v>1</v>
      </c>
      <c r="F110" s="118">
        <f>IF(ISNUMBER('Apostas - Grupos'!AX6),'Apostas - Grupos'!AX6,0)+IF(ISNUMBER('Apostas - Grupos'!BD6),'Apostas - Grupos'!BD6,0)+IF(ISNUMBER('Apostas - Grupos'!BH6),'Apostas - Grupos'!BI6,0)</f>
        <v>5</v>
      </c>
      <c r="G110" s="118">
        <f t="shared" si="5"/>
        <v>-4</v>
      </c>
      <c r="H110" s="29">
        <f t="shared" si="6"/>
        <v>1</v>
      </c>
      <c r="I110" s="118">
        <f t="shared" si="7"/>
        <v>1196001417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3</v>
      </c>
      <c r="L110" s="118">
        <f t="shared" si="8"/>
        <v>2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1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1</v>
      </c>
      <c r="E111" s="118">
        <f>IF(ISNUMBER('Apostas - Grupos'!AZ6),'Apostas - Grupos'!AZ6,0)+IF(ISNUMBER('Apostas - Grupos'!BB6),'Apostas - Grupos'!BC6,0)+IF(ISNUMBER('Apostas - Grupos'!BH6),'Apostas - Grupos'!BI6,0)</f>
        <v>5</v>
      </c>
      <c r="F111" s="118">
        <f>IF(ISNUMBER('Apostas - Grupos'!AZ6),'Apostas - Grupos'!BA6,0)+IF(ISNUMBER('Apostas - Grupos'!BB6),'Apostas - Grupos'!BB6,0)+IF(ISNUMBER('Apostas - Grupos'!BH6),'Apostas - Grupos'!BH6,0)</f>
        <v>5</v>
      </c>
      <c r="G111" s="118">
        <f t="shared" si="5"/>
        <v>0</v>
      </c>
      <c r="H111" s="29">
        <f t="shared" si="6"/>
        <v>4</v>
      </c>
      <c r="I111" s="118">
        <f t="shared" si="7"/>
        <v>4200005459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3</v>
      </c>
      <c r="L111" s="118">
        <f t="shared" si="8"/>
        <v>1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1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1</v>
      </c>
      <c r="E112" s="118">
        <f>IF(ISNUMBER('Apostas - Grupos'!AZ6),'Apostas - Grupos'!BA6,0)+IF(ISNUMBER('Apostas - Grupos'!BD6),'Apostas - Grupos'!BD6,0)+IF(ISNUMBER('Apostas - Grupos'!BF6),'Apostas - Grupos'!BF6,0)</f>
        <v>6</v>
      </c>
      <c r="F112" s="118">
        <f>IF(ISNUMBER('Apostas - Grupos'!AZ6),'Apostas - Grupos'!AZ6,0)+IF(ISNUMBER('Apostas - Grupos'!BD6),'Apostas - Grupos'!BE6,0)+IF(ISNUMBER('Apostas - Grupos'!BF6),'Apostas - Grupos'!BG6,0)</f>
        <v>4</v>
      </c>
      <c r="G112" s="118">
        <f t="shared" si="5"/>
        <v>2</v>
      </c>
      <c r="H112" s="29">
        <f t="shared" si="6"/>
        <v>4</v>
      </c>
      <c r="I112" s="118">
        <f t="shared" si="7"/>
        <v>4202006461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3</v>
      </c>
      <c r="L112" s="118">
        <f t="shared" si="8"/>
        <v>1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1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1</v>
      </c>
      <c r="E113" s="120">
        <f>IF(ISNUMBER('Apostas - Grupos'!BJ6),'Apostas - Grupos'!BJ6,0)+IF(ISNUMBER('Apostas - Grupos'!BN6),'Apostas - Grupos'!BN6,0)+IF(ISNUMBER('Apostas - Grupos'!BT6),'Apostas - Grupos'!BU6,0)</f>
        <v>3</v>
      </c>
      <c r="F113" s="120">
        <f>IF(ISNUMBER('Apostas - Grupos'!BJ6),'Apostas - Grupos'!BK6,0)+IF(ISNUMBER('Apostas - Grupos'!BN6),'Apostas - Grupos'!BO6,0)+IF(ISNUMBER('Apostas - Grupos'!BT6),'Apostas - Grupos'!BT6,0)</f>
        <v>4</v>
      </c>
      <c r="G113" s="120">
        <f t="shared" si="5"/>
        <v>-1</v>
      </c>
      <c r="H113" s="34">
        <f t="shared" si="6"/>
        <v>4</v>
      </c>
      <c r="I113" s="120">
        <f t="shared" si="7"/>
        <v>4199003492</v>
      </c>
      <c r="J113" s="34">
        <f>RANK(I113,$I$113:$I$116,0)</f>
        <v>3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3</v>
      </c>
      <c r="L113" s="120">
        <f t="shared" si="8"/>
        <v>1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2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1</v>
      </c>
      <c r="E114" s="120">
        <f>IF(ISNUMBER('Apostas - Grupos'!BJ6),'Apostas - Grupos'!BK6,0)+IF(ISNUMBER('Apostas - Grupos'!BP6),'Apostas - Grupos'!BQ6,0)+IF(ISNUMBER('Apostas - Grupos'!BR6),'Apostas - Grupos'!BR6,0)</f>
        <v>4</v>
      </c>
      <c r="F114" s="120">
        <f>IF(ISNUMBER('Apostas - Grupos'!BJ6),'Apostas - Grupos'!BJ6,0)+IF(ISNUMBER('Apostas - Grupos'!BP6),'Apostas - Grupos'!BP6,0)+IF(ISNUMBER('Apostas - Grupos'!BR6),'Apostas - Grupos'!BS6,0)</f>
        <v>2</v>
      </c>
      <c r="G114" s="120">
        <f t="shared" si="5"/>
        <v>2</v>
      </c>
      <c r="H114" s="34">
        <f t="shared" si="6"/>
        <v>7</v>
      </c>
      <c r="I114" s="120">
        <f t="shared" si="7"/>
        <v>7202004485</v>
      </c>
      <c r="J114" s="34">
        <f>RANK(I114,$I$113:$I$116,0)</f>
        <v>1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3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1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1</v>
      </c>
      <c r="E115" s="120">
        <f>IF(ISNUMBER('Apostas - Grupos'!BL6),'Apostas - Grupos'!BL6,0)+IF(ISNUMBER('Apostas - Grupos'!BN6),'Apostas - Grupos'!BO6,0)+IF(ISNUMBER('Apostas - Grupos'!BR6),'Apostas - Grupos'!BS6,0)</f>
        <v>5</v>
      </c>
      <c r="F115" s="120">
        <f>IF(ISNUMBER('Apostas - Grupos'!BL6),'Apostas - Grupos'!BM6,0)+IF(ISNUMBER('Apostas - Grupos'!BN6),'Apostas - Grupos'!BN6,0)+IF(ISNUMBER('Apostas - Grupos'!BR6),'Apostas - Grupos'!BR6,0)</f>
        <v>4</v>
      </c>
      <c r="G115" s="120">
        <f t="shared" si="5"/>
        <v>1</v>
      </c>
      <c r="H115" s="34">
        <f t="shared" si="6"/>
        <v>4</v>
      </c>
      <c r="I115" s="120">
        <f t="shared" si="7"/>
        <v>4201005474</v>
      </c>
      <c r="J115" s="34">
        <f>RANK(I115,$I$113:$I$116,0)</f>
        <v>2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3</v>
      </c>
      <c r="L115" s="120">
        <f t="shared" si="8"/>
        <v>1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1</v>
      </c>
      <c r="E116" s="120">
        <f>IF(ISNUMBER('Apostas - Grupos'!BL6),'Apostas - Grupos'!BM6,0)+IF(ISNUMBER('Apostas - Grupos'!BP6),'Apostas - Grupos'!BP6,0)+IF(ISNUMBER('Apostas - Grupos'!BT6),'Apostas - Grupos'!BT6,0)</f>
        <v>1</v>
      </c>
      <c r="F116" s="120">
        <f>IF(ISNUMBER('Apostas - Grupos'!BL6),'Apostas - Grupos'!BL6,0)+IF(ISNUMBER('Apostas - Grupos'!BP6),'Apostas - Grupos'!BQ6,0)+IF(ISNUMBER('Apostas - Grupos'!BT6),'Apostas - Grupos'!BU6,0)</f>
        <v>3</v>
      </c>
      <c r="G116" s="120">
        <f t="shared" si="5"/>
        <v>-2</v>
      </c>
      <c r="H116" s="34">
        <f t="shared" si="6"/>
        <v>1</v>
      </c>
      <c r="I116" s="120">
        <f t="shared" si="7"/>
        <v>1198001470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3</v>
      </c>
      <c r="L116" s="120">
        <f t="shared" si="8"/>
        <v>2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1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1</v>
      </c>
      <c r="E117" s="122">
        <f>IF(ISNUMBER('Apostas - Grupos'!BV6),'Apostas - Grupos'!BV6,0)+IF(ISNUMBER('Apostas - Grupos'!BZ6),'Apostas - Grupos'!BZ6,0)+IF(ISNUMBER('Apostas - Grupos'!CF6),'Apostas - Grupos'!CG6,0)</f>
        <v>6</v>
      </c>
      <c r="F117" s="122">
        <f>IF(ISNUMBER('Apostas - Grupos'!BV6),'Apostas - Grupos'!BW6,0)+IF(ISNUMBER('Apostas - Grupos'!BZ6),'Apostas - Grupos'!CA6,0)+IF(ISNUMBER('Apostas - Grupos'!CF6),'Apostas - Grupos'!CF6,0)</f>
        <v>6</v>
      </c>
      <c r="G117" s="122">
        <f t="shared" si="5"/>
        <v>0</v>
      </c>
      <c r="H117" s="39">
        <f t="shared" si="6"/>
        <v>4</v>
      </c>
      <c r="I117" s="122">
        <f t="shared" si="7"/>
        <v>4200006497</v>
      </c>
      <c r="J117" s="39">
        <f>RANK(I117,$I$117:$I$120,0)</f>
        <v>3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3</v>
      </c>
      <c r="L117" s="122">
        <f t="shared" si="8"/>
        <v>1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1</v>
      </c>
      <c r="E118" s="122">
        <f>IF(ISNUMBER('Apostas - Grupos'!BV6),'Apostas - Grupos'!BW6,0)+IF(ISNUMBER('Apostas - Grupos'!CB6),'Apostas - Grupos'!CC6,0)+IF(ISNUMBER('Apostas - Grupos'!CD6),'Apostas - Grupos'!CD6,0)</f>
        <v>4</v>
      </c>
      <c r="F118" s="122">
        <f>IF(ISNUMBER('Apostas - Grupos'!BV6),'Apostas - Grupos'!BV6,0)+IF(ISNUMBER('Apostas - Grupos'!CB6),'Apostas - Grupos'!CB6,0)+IF(ISNUMBER('Apostas - Grupos'!CD6),'Apostas - Grupos'!CE6,0)</f>
        <v>6</v>
      </c>
      <c r="G118" s="122">
        <f t="shared" si="5"/>
        <v>-2</v>
      </c>
      <c r="H118" s="39">
        <f t="shared" si="6"/>
        <v>1</v>
      </c>
      <c r="I118" s="122">
        <f t="shared" si="7"/>
        <v>1198004464</v>
      </c>
      <c r="J118" s="39">
        <f>RANK(I118,$I$117:$I$120,0)</f>
        <v>4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3</v>
      </c>
      <c r="L118" s="122">
        <f t="shared" si="8"/>
        <v>2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2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7</v>
      </c>
      <c r="F119" s="122">
        <f>IF(ISNUMBER('Apostas - Grupos'!BX6),'Apostas - Grupos'!BY6,0)+IF(ISNUMBER('Apostas - Grupos'!BZ6),'Apostas - Grupos'!BZ6,0)+IF(ISNUMBER('Apostas - Grupos'!CD6),'Apostas - Grupos'!CD6,0)</f>
        <v>8</v>
      </c>
      <c r="G119" s="122">
        <f t="shared" si="5"/>
        <v>-1</v>
      </c>
      <c r="H119" s="39">
        <f t="shared" si="6"/>
        <v>6</v>
      </c>
      <c r="I119" s="122">
        <f t="shared" si="7"/>
        <v>6199007475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3</v>
      </c>
      <c r="L119" s="122">
        <f t="shared" si="8"/>
        <v>1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2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8</v>
      </c>
      <c r="F120" s="122">
        <f>IF(ISNUMBER('Apostas - Grupos'!BX6),'Apostas - Grupos'!BX6,0)+IF(ISNUMBER('Apostas - Grupos'!CB6),'Apostas - Grupos'!CC6,0)+IF(ISNUMBER('Apostas - Grupos'!CF6),'Apostas - Grupos'!CG6,0)</f>
        <v>5</v>
      </c>
      <c r="G120" s="122">
        <f t="shared" si="5"/>
        <v>3</v>
      </c>
      <c r="H120" s="39">
        <f t="shared" si="6"/>
        <v>6</v>
      </c>
      <c r="I120" s="122">
        <f t="shared" si="7"/>
        <v>6203008402</v>
      </c>
      <c r="J120" s="39">
        <f>RANK(I120,$I$117:$I$120,0)</f>
        <v>1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3</v>
      </c>
      <c r="L120" s="122">
        <f t="shared" si="8"/>
        <v>1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3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10</v>
      </c>
      <c r="F121" s="124">
        <f>IF(ISNUMBER('Apostas - Grupos'!CH6),'Apostas - Grupos'!CI6,0)+IF(ISNUMBER('Apostas - Grupos'!CL6),'Apostas - Grupos'!CM6,0)+IF(ISNUMBER('Apostas - Grupos'!CR6),'Apostas - Grupos'!CR6,0)</f>
        <v>3</v>
      </c>
      <c r="G121" s="124">
        <f t="shared" si="5"/>
        <v>7</v>
      </c>
      <c r="H121" s="44">
        <f t="shared" si="6"/>
        <v>9</v>
      </c>
      <c r="I121" s="124">
        <f t="shared" si="7"/>
        <v>9207010496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3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1</v>
      </c>
      <c r="E122" s="124">
        <f>IF(ISNUMBER('Apostas - Grupos'!CH6),'Apostas - Grupos'!CI6,0)+IF(ISNUMBER('Apostas - Grupos'!CN6),'Apostas - Grupos'!CO6,0)+IF(ISNUMBER('Apostas - Grupos'!CP6),'Apostas - Grupos'!CP6,0)</f>
        <v>2</v>
      </c>
      <c r="F122" s="124">
        <f>IF(ISNUMBER('Apostas - Grupos'!CH6),'Apostas - Grupos'!CH6,0)+IF(ISNUMBER('Apostas - Grupos'!CN6),'Apostas - Grupos'!CN6,0)+IF(ISNUMBER('Apostas - Grupos'!CP6),'Apostas - Grupos'!CQ6,0)</f>
        <v>7</v>
      </c>
      <c r="G122" s="124">
        <f t="shared" si="5"/>
        <v>-5</v>
      </c>
      <c r="H122" s="44">
        <f t="shared" si="6"/>
        <v>1</v>
      </c>
      <c r="I122" s="124">
        <f t="shared" si="7"/>
        <v>1195002412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3</v>
      </c>
      <c r="L122" s="124">
        <f t="shared" si="8"/>
        <v>2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1</v>
      </c>
      <c r="E123" s="124">
        <f>IF(ISNUMBER('Apostas - Grupos'!CJ6),'Apostas - Grupos'!CJ6,0)+IF(ISNUMBER('Apostas - Grupos'!CL6),'Apostas - Grupos'!CM6,0)+IF(ISNUMBER('Apostas - Grupos'!CP6),'Apostas - Grupos'!CQ6,0)</f>
        <v>4</v>
      </c>
      <c r="F123" s="124">
        <f>IF(ISNUMBER('Apostas - Grupos'!CJ6),'Apostas - Grupos'!CK6,0)+IF(ISNUMBER('Apostas - Grupos'!CL6),'Apostas - Grupos'!CL6,0)+IF(ISNUMBER('Apostas - Grupos'!CP6),'Apostas - Grupos'!CP6,0)</f>
        <v>8</v>
      </c>
      <c r="G123" s="124">
        <f t="shared" si="5"/>
        <v>-4</v>
      </c>
      <c r="H123" s="44">
        <f t="shared" si="6"/>
        <v>1</v>
      </c>
      <c r="I123" s="124">
        <f t="shared" si="7"/>
        <v>1196004443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3</v>
      </c>
      <c r="L123" s="124">
        <f t="shared" si="8"/>
        <v>2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2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7</v>
      </c>
      <c r="F124" s="124">
        <f>IF(ISNUMBER('Apostas - Grupos'!CJ6),'Apostas - Grupos'!CJ6,0)+IF(ISNUMBER('Apostas - Grupos'!CN6),'Apostas - Grupos'!CO6,0)+IF(ISNUMBER('Apostas - Grupos'!CR6),'Apostas - Grupos'!CS6,0)</f>
        <v>5</v>
      </c>
      <c r="G124" s="124">
        <f t="shared" si="5"/>
        <v>2</v>
      </c>
      <c r="H124" s="44">
        <f t="shared" si="6"/>
        <v>6</v>
      </c>
      <c r="I124" s="124">
        <f t="shared" si="7"/>
        <v>6202007483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3</v>
      </c>
      <c r="L124" s="124">
        <f t="shared" si="8"/>
        <v>1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3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11</v>
      </c>
      <c r="F125" s="126">
        <f>IF(ISNUMBER('Apostas - Grupos'!CT6),'Apostas - Grupos'!CU6,0)+IF(ISNUMBER('Apostas - Grupos'!CX6),'Apostas - Grupos'!CY6,0)+IF(ISNUMBER('Apostas - Grupos'!DB6),'Apostas - Grupos'!DB6,0)</f>
        <v>4</v>
      </c>
      <c r="G125" s="126">
        <f t="shared" si="5"/>
        <v>7</v>
      </c>
      <c r="H125" s="49">
        <f t="shared" si="6"/>
        <v>9</v>
      </c>
      <c r="I125" s="126">
        <f t="shared" si="7"/>
        <v>9207011498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3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1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6</v>
      </c>
      <c r="F126" s="126">
        <f>IF(ISNUMBER('Apostas - Grupos'!CT6),'Apostas - Grupos'!CT6,0)+IF(ISNUMBER('Apostas - Grupos'!CZ6),'Apostas - Grupos'!CZ6,0)+IF(ISNUMBER('Apostas - Grupos'!DD6),'Apostas - Grupos'!DE6,0)</f>
        <v>7</v>
      </c>
      <c r="G126" s="126">
        <f t="shared" si="5"/>
        <v>-1</v>
      </c>
      <c r="H126" s="49">
        <f t="shared" si="6"/>
        <v>3</v>
      </c>
      <c r="I126" s="126">
        <f t="shared" si="7"/>
        <v>3199006479</v>
      </c>
      <c r="J126" s="49">
        <f>RANK(I126,$I$125:$I$128,0)</f>
        <v>3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3</v>
      </c>
      <c r="L126" s="126">
        <f t="shared" si="8"/>
        <v>2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1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1</v>
      </c>
      <c r="E127" s="126">
        <f>IF(ISNUMBER('Apostas - Grupos'!CV6),'Apostas - Grupos'!CV6,0)+IF(ISNUMBER('Apostas - Grupos'!CX6),'Apostas - Grupos'!CY6,0)+IF(ISNUMBER('Apostas - Grupos'!DD6),'Apostas - Grupos'!DE6,0)</f>
        <v>5</v>
      </c>
      <c r="F127" s="126">
        <f>IF(ISNUMBER('Apostas - Grupos'!CV6),'Apostas - Grupos'!CW6,0)+IF(ISNUMBER('Apostas - Grupos'!CX6),'Apostas - Grupos'!CX6,0)+IF(ISNUMBER('Apostas - Grupos'!DD6),'Apostas - Grupos'!DD6,0)</f>
        <v>8</v>
      </c>
      <c r="G127" s="126">
        <f t="shared" si="5"/>
        <v>-3</v>
      </c>
      <c r="H127" s="49">
        <f t="shared" si="6"/>
        <v>4</v>
      </c>
      <c r="I127" s="126">
        <f t="shared" si="7"/>
        <v>4197005435</v>
      </c>
      <c r="J127" s="49">
        <f>RANK(I127,$I$125:$I$128,0)</f>
        <v>2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3</v>
      </c>
      <c r="L127" s="126">
        <f t="shared" si="8"/>
        <v>1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1</v>
      </c>
      <c r="E128" s="126">
        <f>IF(ISNUMBER('Apostas - Grupos'!CV6),'Apostas - Grupos'!CW6,0)+IF(ISNUMBER('Apostas - Grupos'!CZ6),'Apostas - Grupos'!CZ6,0)+IF(ISNUMBER('Apostas - Grupos'!DB6),'Apostas - Grupos'!DB6,0)</f>
        <v>5</v>
      </c>
      <c r="F128" s="126">
        <f>IF(ISNUMBER('Apostas - Grupos'!CV6),'Apostas - Grupos'!CV6,0)+IF(ISNUMBER('Apostas - Grupos'!CZ6),'Apostas - Grupos'!DA6,0)+IF(ISNUMBER('Apostas - Grupos'!DB6),'Apostas - Grupos'!DC6,0)</f>
        <v>8</v>
      </c>
      <c r="G128" s="126">
        <f t="shared" si="5"/>
        <v>-3</v>
      </c>
      <c r="H128" s="49">
        <f t="shared" si="6"/>
        <v>1</v>
      </c>
      <c r="I128" s="126">
        <f t="shared" si="7"/>
        <v>1197005472</v>
      </c>
      <c r="J128" s="49">
        <f>RANK(I128,$I$125:$I$128,0)</f>
        <v>4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3</v>
      </c>
      <c r="L128" s="126">
        <f t="shared" si="8"/>
        <v>2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3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9</v>
      </c>
      <c r="F129" s="128">
        <f>IF(ISNUMBER('Apostas - Grupos'!DF6),'Apostas - Grupos'!DG6,0)+IF(ISNUMBER('Apostas - Grupos'!DJ6),'Apostas - Grupos'!DK6,0)+IF(ISNUMBER('Apostas - Grupos'!DP6),'Apostas - Grupos'!DP6,0)</f>
        <v>2</v>
      </c>
      <c r="G129" s="128">
        <f t="shared" si="5"/>
        <v>7</v>
      </c>
      <c r="H129" s="54">
        <f t="shared" si="6"/>
        <v>9</v>
      </c>
      <c r="I129" s="128">
        <f t="shared" si="7"/>
        <v>9207009499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3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1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1</v>
      </c>
      <c r="E130" s="128">
        <f>IF(ISNUMBER('Apostas - Grupos'!DF6),'Apostas - Grupos'!DG6,0)+IF(ISNUMBER('Apostas - Grupos'!DL6),'Apostas - Grupos'!DM6,0)+IF(ISNUMBER('Apostas - Grupos'!DN6),'Apostas - Grupos'!DN6,0)</f>
        <v>6</v>
      </c>
      <c r="F130" s="128">
        <f>IF(ISNUMBER('Apostas - Grupos'!DF6),'Apostas - Grupos'!DF6,0)+IF(ISNUMBER('Apostas - Grupos'!DL6),'Apostas - Grupos'!DL6,0)+IF(ISNUMBER('Apostas - Grupos'!DN6),'Apostas - Grupos'!DO6,0)</f>
        <v>5</v>
      </c>
      <c r="G130" s="128">
        <f t="shared" si="5"/>
        <v>1</v>
      </c>
      <c r="H130" s="54">
        <f t="shared" si="6"/>
        <v>4</v>
      </c>
      <c r="I130" s="128">
        <f t="shared" si="7"/>
        <v>4201006468</v>
      </c>
      <c r="J130" s="54">
        <f>RANK(I130,$I$129:$I$132,0)</f>
        <v>2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3</v>
      </c>
      <c r="L130" s="128">
        <f t="shared" si="8"/>
        <v>1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1</v>
      </c>
      <c r="F131" s="128">
        <f>IF(ISNUMBER('Apostas - Grupos'!DH6),'Apostas - Grupos'!DI6,0)+IF(ISNUMBER('Apostas - Grupos'!DJ6),'Apostas - Grupos'!DJ6,0)+IF(ISNUMBER('Apostas - Grupos'!DN6),'Apostas - Grupos'!DN6,0)</f>
        <v>7</v>
      </c>
      <c r="G131" s="128">
        <f t="shared" si="5"/>
        <v>-6</v>
      </c>
      <c r="H131" s="54">
        <f t="shared" si="6"/>
        <v>0</v>
      </c>
      <c r="I131" s="128">
        <f t="shared" si="7"/>
        <v>194001476</v>
      </c>
      <c r="J131" s="54">
        <f>RANK(I131,$I$129:$I$132,0)</f>
        <v>4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3</v>
      </c>
      <c r="L131" s="128">
        <f t="shared" si="8"/>
        <v>3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1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1</v>
      </c>
      <c r="E132" s="128">
        <f>IF(ISNUMBER('Apostas - Grupos'!DH6),'Apostas - Grupos'!DI6,0)+IF(ISNUMBER('Apostas - Grupos'!DL6),'Apostas - Grupos'!DL6,0)+IF(ISNUMBER('Apostas - Grupos'!DP6),'Apostas - Grupos'!DP6,0)</f>
        <v>4</v>
      </c>
      <c r="F132" s="128">
        <f>IF(ISNUMBER('Apostas - Grupos'!DH6),'Apostas - Grupos'!DH6,0)+IF(ISNUMBER('Apostas - Grupos'!DL6),'Apostas - Grupos'!DM6,0)+IF(ISNUMBER('Apostas - Grupos'!DP6),'Apostas - Grupos'!DQ6,0)</f>
        <v>6</v>
      </c>
      <c r="G132" s="128">
        <f t="shared" si="5"/>
        <v>-2</v>
      </c>
      <c r="H132" s="54">
        <f t="shared" si="6"/>
        <v>4</v>
      </c>
      <c r="I132" s="128">
        <f t="shared" si="7"/>
        <v>4198004414</v>
      </c>
      <c r="J132" s="54">
        <f>RANK(I132,$I$129:$I$132,0)</f>
        <v>3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3</v>
      </c>
      <c r="L132" s="128">
        <f t="shared" si="8"/>
        <v>1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1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1</v>
      </c>
      <c r="E133" s="130">
        <f>IF(ISNUMBER('Apostas - Grupos'!DR6),'Apostas - Grupos'!DR6,0)+IF(ISNUMBER('Apostas - Grupos'!DV6),'Apostas - Grupos'!DV6,0)+IF(ISNUMBER('Apostas - Grupos'!DZ6),'Apostas - Grupos'!EA6,0)</f>
        <v>5</v>
      </c>
      <c r="F133" s="130">
        <f>IF(ISNUMBER('Apostas - Grupos'!DR6),'Apostas - Grupos'!DS6,0)+IF(ISNUMBER('Apostas - Grupos'!DV6),'Apostas - Grupos'!DW6,0)+IF(ISNUMBER('Apostas - Grupos'!DZ6),'Apostas - Grupos'!DZ6,0)</f>
        <v>7</v>
      </c>
      <c r="G133" s="130">
        <f t="shared" si="5"/>
        <v>-2</v>
      </c>
      <c r="H133" s="59">
        <f t="shared" si="6"/>
        <v>4</v>
      </c>
      <c r="I133" s="130">
        <f t="shared" si="7"/>
        <v>4198005494</v>
      </c>
      <c r="J133" s="59">
        <f>RANK(I133,$I$133:$I$136,0)</f>
        <v>3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3</v>
      </c>
      <c r="L133" s="130">
        <f t="shared" si="8"/>
        <v>1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1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1</v>
      </c>
      <c r="E134" s="130">
        <f>IF(ISNUMBER('Apostas - Grupos'!DR6),'Apostas - Grupos'!DS6,0)+IF(ISNUMBER('Apostas - Grupos'!DX6),'Apostas - Grupos'!DY6,0)+IF(ISNUMBER('Apostas - Grupos'!EB6),'Apostas - Grupos'!EB6,0)</f>
        <v>5</v>
      </c>
      <c r="F134" s="130">
        <f>IF(ISNUMBER('Apostas - Grupos'!DR6),'Apostas - Grupos'!DR6,0)+IF(ISNUMBER('Apostas - Grupos'!DX6),'Apostas - Grupos'!DX6,0)+IF(ISNUMBER('Apostas - Grupos'!EB6),'Apostas - Grupos'!EC6,0)</f>
        <v>3</v>
      </c>
      <c r="G134" s="130">
        <f t="shared" si="5"/>
        <v>2</v>
      </c>
      <c r="H134" s="59">
        <f t="shared" si="6"/>
        <v>4</v>
      </c>
      <c r="I134" s="130">
        <f t="shared" si="7"/>
        <v>4202005443</v>
      </c>
      <c r="J134" s="59">
        <f>RANK(I134,$I$133:$I$136,0)</f>
        <v>2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3</v>
      </c>
      <c r="L134" s="130">
        <f t="shared" si="8"/>
        <v>1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1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2</v>
      </c>
      <c r="E135" s="130">
        <f>IF(ISNUMBER('Apostas - Grupos'!DT6),'Apostas - Grupos'!DT6,0)+IF(ISNUMBER('Apostas - Grupos'!DV6),'Apostas - Grupos'!DW6,0)+IF(ISNUMBER('Apostas - Grupos'!EB6),'Apostas - Grupos'!EC6,0)</f>
        <v>7</v>
      </c>
      <c r="F135" s="130">
        <f>IF(ISNUMBER('Apostas - Grupos'!DT6),'Apostas - Grupos'!DU6,0)+IF(ISNUMBER('Apostas - Grupos'!DV6),'Apostas - Grupos'!DV6,0)+IF(ISNUMBER('Apostas - Grupos'!EB6),'Apostas - Grupos'!EB6,0)</f>
        <v>3</v>
      </c>
      <c r="G135" s="130">
        <f t="shared" si="5"/>
        <v>4</v>
      </c>
      <c r="H135" s="59">
        <f t="shared" si="6"/>
        <v>5</v>
      </c>
      <c r="I135" s="130">
        <f t="shared" si="7"/>
        <v>5204007426</v>
      </c>
      <c r="J135" s="59">
        <f>RANK(I135,$I$133:$I$136,0)</f>
        <v>1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3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1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2</v>
      </c>
      <c r="F136" s="130">
        <f>IF(ISNUMBER('Apostas - Grupos'!DT6),'Apostas - Grupos'!DT6,0)+IF(ISNUMBER('Apostas - Grupos'!DX6),'Apostas - Grupos'!DY6,0)+IF(ISNUMBER('Apostas - Grupos'!DZ6),'Apostas - Grupos'!EA6,0)</f>
        <v>6</v>
      </c>
      <c r="G136" s="130">
        <f t="shared" si="5"/>
        <v>-4</v>
      </c>
      <c r="H136" s="59">
        <f t="shared" si="6"/>
        <v>3</v>
      </c>
      <c r="I136" s="130">
        <f t="shared" si="7"/>
        <v>3196002482</v>
      </c>
      <c r="J136" s="59">
        <f>RANK(I136,$I$133:$I$136,0)</f>
        <v>4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3</v>
      </c>
      <c r="L136" s="130">
        <f t="shared" si="8"/>
        <v>2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1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2</v>
      </c>
      <c r="E137" s="132">
        <f>IF(ISNUMBER('Apostas - Grupos'!ED6),'Apostas - Grupos'!ED6,0)+IF(ISNUMBER('Apostas - Grupos'!EH6),'Apostas - Grupos'!EH6,0)+IF(ISNUMBER('Apostas - Grupos'!EL6),'Apostas - Grupos'!EM6,0)</f>
        <v>7</v>
      </c>
      <c r="F137" s="132">
        <f>IF(ISNUMBER('Apostas - Grupos'!ED6),'Apostas - Grupos'!EE6,0)+IF(ISNUMBER('Apostas - Grupos'!EH6),'Apostas - Grupos'!EI6,0)+IF(ISNUMBER('Apostas - Grupos'!EL6),'Apostas - Grupos'!EL6,0)</f>
        <v>3</v>
      </c>
      <c r="G137" s="132">
        <f t="shared" si="5"/>
        <v>4</v>
      </c>
      <c r="H137" s="64">
        <f t="shared" si="6"/>
        <v>5</v>
      </c>
      <c r="I137" s="132">
        <f t="shared" si="7"/>
        <v>5204007491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3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1</v>
      </c>
      <c r="E138" s="132">
        <f>IF(ISNUMBER('Apostas - Grupos'!ED6),'Apostas - Grupos'!EE6,0)+IF(ISNUMBER('Apostas - Grupos'!EJ6),'Apostas - Grupos'!EK6,0)+IF(ISNUMBER('Apostas - Grupos'!EN6),'Apostas - Grupos'!EN6,0)</f>
        <v>2</v>
      </c>
      <c r="F138" s="132">
        <f>IF(ISNUMBER('Apostas - Grupos'!ED6),'Apostas - Grupos'!ED6,0)+IF(ISNUMBER('Apostas - Grupos'!EJ6),'Apostas - Grupos'!EJ6,0)+IF(ISNUMBER('Apostas - Grupos'!EN6),'Apostas - Grupos'!EO6,0)</f>
        <v>7</v>
      </c>
      <c r="G138" s="132">
        <f t="shared" si="5"/>
        <v>-5</v>
      </c>
      <c r="H138" s="64">
        <f t="shared" si="6"/>
        <v>1</v>
      </c>
      <c r="I138" s="132">
        <f t="shared" si="7"/>
        <v>1195002490</v>
      </c>
      <c r="J138" s="64">
        <f>RANK(I138,$I$137:$I$140,0)</f>
        <v>4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3</v>
      </c>
      <c r="L138" s="132">
        <f t="shared" si="8"/>
        <v>2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1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2</v>
      </c>
      <c r="E139" s="132">
        <f>IF(ISNUMBER('Apostas - Grupos'!EF6),'Apostas - Grupos'!EF6,0)+IF(ISNUMBER('Apostas - Grupos'!EH6),'Apostas - Grupos'!EI6,0)+IF(ISNUMBER('Apostas - Grupos'!EN6),'Apostas - Grupos'!EO6,0)</f>
        <v>6</v>
      </c>
      <c r="F139" s="132">
        <f>IF(ISNUMBER('Apostas - Grupos'!EF6),'Apostas - Grupos'!EG6,0)+IF(ISNUMBER('Apostas - Grupos'!EH6),'Apostas - Grupos'!EH6,0)+IF(ISNUMBER('Apostas - Grupos'!EN6),'Apostas - Grupos'!EN6,0)</f>
        <v>3</v>
      </c>
      <c r="G139" s="132">
        <f t="shared" si="5"/>
        <v>3</v>
      </c>
      <c r="H139" s="64">
        <f t="shared" si="6"/>
        <v>5</v>
      </c>
      <c r="I139" s="132">
        <f t="shared" si="7"/>
        <v>5203006448</v>
      </c>
      <c r="J139" s="64">
        <f>RANK(I139,$I$137:$I$140,0)</f>
        <v>2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3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1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1</v>
      </c>
      <c r="E140" s="132">
        <f>IF(ISNUMBER('Apostas - Grupos'!EF6),'Apostas - Grupos'!EG6,0)+IF(ISNUMBER('Apostas - Grupos'!EJ6),'Apostas - Grupos'!EJ6,0)+IF(ISNUMBER('Apostas - Grupos'!EL6),'Apostas - Grupos'!EL6,0)</f>
        <v>4</v>
      </c>
      <c r="F140" s="132">
        <f>IF(ISNUMBER('Apostas - Grupos'!EF6),'Apostas - Grupos'!EF6,0)+IF(ISNUMBER('Apostas - Grupos'!EJ6),'Apostas - Grupos'!EK6,0)+IF(ISNUMBER('Apostas - Grupos'!EL6),'Apostas - Grupos'!EM6,0)</f>
        <v>6</v>
      </c>
      <c r="G140" s="132">
        <f t="shared" si="5"/>
        <v>-2</v>
      </c>
      <c r="H140" s="64">
        <f t="shared" si="6"/>
        <v>4</v>
      </c>
      <c r="I140" s="132">
        <f t="shared" si="7"/>
        <v>4198004428</v>
      </c>
      <c r="J140" s="64">
        <f>RANK(I140,$I$137:$I$140,0)</f>
        <v>3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3</v>
      </c>
      <c r="L140" s="132">
        <f t="shared" si="8"/>
        <v>1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Tchequia</v>
      </c>
      <c r="C143" s="135" t="str">
        <f>IFERROR(INDEX($B$93:$B$96,MATCH(2,$J$93:$J$96,0)),"?")</f>
        <v>Mexico</v>
      </c>
      <c r="D143" s="135" t="str">
        <f>IFERROR(INDEX($B$93:$B$96,MATCH(3,$J$93:$J$96,0)),"?")</f>
        <v>Africa do Sul</v>
      </c>
      <c r="E143" s="135" t="str">
        <f>IFERROR(INDEX($B$93:$B$96,MATCH(4,$J$93:$J$96,0)),"?")</f>
        <v>Coreia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Canada</v>
      </c>
      <c r="D144" s="135" t="str">
        <f>IFERROR(INDEX($B$97:$B$100,MATCH(3,$J$97:$J$100,0)),"?")</f>
        <v>Qatar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Marrocos</v>
      </c>
      <c r="C145" s="135" t="str">
        <f>IFERROR(INDEX($B$101:$B$104,MATCH(2,$J$101:$J$104,0)),"?")</f>
        <v>Escocia</v>
      </c>
      <c r="D145" s="135" t="str">
        <f>IFERROR(INDEX($B$101:$B$104,MATCH(3,$J$101:$J$104,0)),"?")</f>
        <v>Brasil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Paraguai</v>
      </c>
      <c r="C146" s="135" t="str">
        <f>IFERROR(INDEX($B$105:$B$108,MATCH(2,$J$105:$J$108,0)),"?")</f>
        <v>Estados Unidos</v>
      </c>
      <c r="D146" s="135" t="str">
        <f>IFERROR(INDEX($B$105:$B$108,MATCH(3,$J$105:$J$108,0)),"?")</f>
        <v>Australia</v>
      </c>
      <c r="E146" s="135" t="str">
        <f>IFERROR(INDEX($B$105:$B$108,MATCH(4,$J$105:$J$108,0)),"?")</f>
        <v>Turquia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Japao</v>
      </c>
      <c r="C148" s="135" t="str">
        <f>IFERROR(INDEX($B$113:$B$116,MATCH(2,$J$113:$J$116,0)),"?")</f>
        <v>Suecia</v>
      </c>
      <c r="D148" s="135" t="str">
        <f>IFERROR(INDEX($B$113:$B$116,MATCH(3,$J$113:$J$116,0)),"?")</f>
        <v>Holanda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Nova Zelandia</v>
      </c>
      <c r="C149" s="135" t="str">
        <f>IFERROR(INDEX($B$117:$B$120,MATCH(2,$J$117:$J$120,0)),"?")</f>
        <v>Ira</v>
      </c>
      <c r="D149" s="135" t="str">
        <f>IFERROR(INDEX($B$117:$B$120,MATCH(3,$J$117:$J$120,0)),"?")</f>
        <v>Belgica</v>
      </c>
      <c r="E149" s="135" t="str">
        <f>IFERROR(INDEX($B$117:$B$120,MATCH(4,$J$117:$J$120,0)),"?")</f>
        <v>Egito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Iraque</v>
      </c>
      <c r="D151" s="135" t="str">
        <f>IFERROR(INDEX($B$125:$B$128,MATCH(3,$J$125:$J$128,0)),"?")</f>
        <v>Senegal</v>
      </c>
      <c r="E151" s="135" t="str">
        <f>IFERROR(INDEX($B$125:$B$128,MATCH(4,$J$125:$J$128,0)),"?")</f>
        <v>Noruega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Argelia</v>
      </c>
      <c r="D152" s="135" t="str">
        <f>IFERROR(INDEX($B$129:$B$132,MATCH(3,$J$129:$J$132,0)),"?")</f>
        <v>Jordania</v>
      </c>
      <c r="E152" s="135" t="str">
        <f>IFERROR(INDEX($B$129:$B$132,MATCH(4,$J$129:$J$132,0)),"?")</f>
        <v>Austria</v>
      </c>
    </row>
    <row r="153" spans="1:5">
      <c r="A153" s="145" t="s">
        <v>164</v>
      </c>
      <c r="B153" s="135" t="str">
        <f>IFERROR(INDEX($B$133:$B$136,MATCH(1,$J$133:$J$136,0)),"?")</f>
        <v>Uzbequistao</v>
      </c>
      <c r="C153" s="135" t="str">
        <f>IFERROR(INDEX($B$133:$B$136,MATCH(2,$J$133:$J$136,0)),"?")</f>
        <v>RD Congo</v>
      </c>
      <c r="D153" s="135" t="str">
        <f>IFERROR(INDEX($B$133:$B$136,MATCH(3,$J$133:$J$136,0)),"?")</f>
        <v>Portugal</v>
      </c>
      <c r="E153" s="135" t="str">
        <f>IFERROR(INDEX($B$133:$B$136,MATCH(4,$J$133:$J$136,0)),"?")</f>
        <v>Colombia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Gana</v>
      </c>
      <c r="D154" s="135" t="str">
        <f>IFERROR(INDEX($B$137:$B$140,MATCH(3,$J$137:$J$140,0)),"?")</f>
        <v>Panama</v>
      </c>
      <c r="E154" s="135" t="str">
        <f>IFERROR(INDEX($B$137:$B$140,MATCH(4,$J$137:$J$140,0)),"?")</f>
        <v>Croacia</v>
      </c>
    </row>
    <row r="156" spans="1:5">
      <c r="A156" s="148" t="s">
        <v>54</v>
      </c>
      <c r="B156" s="149" t="str">
        <f>IFERROR(INDEX($B$93:$B$96,MATCH(3,$J$93:$J$96,0)),"?")</f>
        <v>Africa do Sul</v>
      </c>
      <c r="C156" s="149">
        <f>IFERROR(INDEX($I$93:$I$96,MATCH(3,$J$93:$J$96,0)),0)</f>
        <v>4198004437</v>
      </c>
      <c r="D156" s="150">
        <f t="shared" ref="D156:D167" si="9">RANK(C156,$C$156:$C$167,0)</f>
        <v>6</v>
      </c>
    </row>
    <row r="157" spans="1:5">
      <c r="A157" s="151" t="s">
        <v>65</v>
      </c>
      <c r="B157" s="149" t="str">
        <f>IFERROR(INDEX($B$97:$B$100,MATCH(3,$J$97:$J$100,0)),"?")</f>
        <v>Qatar</v>
      </c>
      <c r="C157" s="149">
        <f>IFERROR(INDEX($I$97:$I$100,MATCH(3,$J$97:$J$100,0)),0)</f>
        <v>3200008462</v>
      </c>
      <c r="D157" s="150">
        <f t="shared" si="9"/>
        <v>10</v>
      </c>
    </row>
    <row r="158" spans="1:5">
      <c r="A158" s="152" t="s">
        <v>76</v>
      </c>
      <c r="B158" s="149" t="str">
        <f>IFERROR(INDEX($B$101:$B$104,MATCH(3,$J$101:$J$104,0)),"?")</f>
        <v>Brasil</v>
      </c>
      <c r="C158" s="149">
        <f>IFERROR(INDEX($I$101:$I$104,MATCH(3,$J$101:$J$104,0)),0)</f>
        <v>3200008495</v>
      </c>
      <c r="D158" s="150">
        <f t="shared" si="9"/>
        <v>9</v>
      </c>
    </row>
    <row r="159" spans="1:5">
      <c r="A159" s="153" t="s">
        <v>87</v>
      </c>
      <c r="B159" s="149" t="str">
        <f>IFERROR(INDEX($B$105:$B$108,MATCH(3,$J$105:$J$108,0)),"?")</f>
        <v>Australia</v>
      </c>
      <c r="C159" s="149">
        <f>IFERROR(INDEX($I$105:$I$108,MATCH(3,$J$105:$J$108,0)),0)</f>
        <v>4200004477</v>
      </c>
      <c r="D159" s="150">
        <f t="shared" si="9"/>
        <v>3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4200005459</v>
      </c>
      <c r="D160" s="150">
        <f t="shared" si="9"/>
        <v>2</v>
      </c>
    </row>
    <row r="161" spans="1:4">
      <c r="A161" s="155" t="s">
        <v>109</v>
      </c>
      <c r="B161" s="149" t="str">
        <f>IFERROR(INDEX($B$113:$B$116,MATCH(3,$J$113:$J$116,0)),"?")</f>
        <v>Holanda</v>
      </c>
      <c r="C161" s="149">
        <f>IFERROR(INDEX($I$113:$I$116,MATCH(3,$J$113:$J$116,0)),0)</f>
        <v>4199003492</v>
      </c>
      <c r="D161" s="150">
        <f t="shared" si="9"/>
        <v>4</v>
      </c>
    </row>
    <row r="162" spans="1:4">
      <c r="A162" s="156" t="s">
        <v>120</v>
      </c>
      <c r="B162" s="149" t="str">
        <f>IFERROR(INDEX($B$117:$B$120,MATCH(3,$J$117:$J$120,0)),"?")</f>
        <v>Belgica</v>
      </c>
      <c r="C162" s="149">
        <f>IFERROR(INDEX($I$117:$I$120,MATCH(3,$J$117:$J$120,0)),0)</f>
        <v>4200006497</v>
      </c>
      <c r="D162" s="150">
        <f t="shared" si="9"/>
        <v>1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1196004443</v>
      </c>
      <c r="D163" s="150">
        <f t="shared" si="9"/>
        <v>12</v>
      </c>
    </row>
    <row r="164" spans="1:4">
      <c r="A164" s="158" t="s">
        <v>142</v>
      </c>
      <c r="B164" s="149" t="str">
        <f>IFERROR(INDEX($B$125:$B$128,MATCH(3,$J$125:$J$128,0)),"?")</f>
        <v>Senegal</v>
      </c>
      <c r="C164" s="149">
        <f>IFERROR(INDEX($I$125:$I$128,MATCH(3,$J$125:$J$128,0)),0)</f>
        <v>3199006479</v>
      </c>
      <c r="D164" s="150">
        <f t="shared" si="9"/>
        <v>11</v>
      </c>
    </row>
    <row r="165" spans="1:4">
      <c r="A165" s="159" t="s">
        <v>153</v>
      </c>
      <c r="B165" s="149" t="str">
        <f>IFERROR(INDEX($B$129:$B$132,MATCH(3,$J$129:$J$132,0)),"?")</f>
        <v>Jordania</v>
      </c>
      <c r="C165" s="149">
        <f>IFERROR(INDEX($I$129:$I$132,MATCH(3,$J$129:$J$132,0)),0)</f>
        <v>4198004414</v>
      </c>
      <c r="D165" s="150">
        <f t="shared" si="9"/>
        <v>8</v>
      </c>
    </row>
    <row r="166" spans="1:4">
      <c r="A166" s="160" t="s">
        <v>164</v>
      </c>
      <c r="B166" s="149" t="str">
        <f>IFERROR(INDEX($B$133:$B$136,MATCH(3,$J$133:$J$136,0)),"?")</f>
        <v>Portugal</v>
      </c>
      <c r="C166" s="149">
        <f>IFERROR(INDEX($I$133:$I$136,MATCH(3,$J$133:$J$136,0)),0)</f>
        <v>4198005494</v>
      </c>
      <c r="D166" s="150">
        <f t="shared" si="9"/>
        <v>5</v>
      </c>
    </row>
    <row r="167" spans="1:4">
      <c r="A167" s="161" t="s">
        <v>175</v>
      </c>
      <c r="B167" s="149" t="str">
        <f>IFERROR(INDEX($B$137:$B$140,MATCH(3,$J$137:$J$140,0)),"?")</f>
        <v>Panama</v>
      </c>
      <c r="C167" s="149">
        <f>IFERROR(INDEX($I$137:$I$140,MATCH(3,$J$137:$J$140,0)),0)</f>
        <v>4198004428</v>
      </c>
      <c r="D167" s="150">
        <f t="shared" si="9"/>
        <v>7</v>
      </c>
    </row>
    <row r="169" spans="1:4">
      <c r="A169" s="163">
        <v>1</v>
      </c>
      <c r="B169" s="164" t="str">
        <f>IFERROR(INDEX($B$156:$B$167,MATCH(1,$D$156:$D$167,0)),"?")</f>
        <v>Belgica</v>
      </c>
    </row>
    <row r="170" spans="1:4">
      <c r="A170" s="163">
        <v>2</v>
      </c>
      <c r="B170" s="164" t="str">
        <f>IFERROR(INDEX($B$156:$B$167,MATCH(2,$D$156:$D$167,0)),"?")</f>
        <v>Costa do Marfim</v>
      </c>
    </row>
    <row r="171" spans="1:4">
      <c r="A171" s="163">
        <v>3</v>
      </c>
      <c r="B171" s="164" t="str">
        <f>IFERROR(INDEX($B$156:$B$167,MATCH(3,$D$156:$D$167,0)),"?")</f>
        <v>Australia</v>
      </c>
    </row>
    <row r="172" spans="1:4">
      <c r="A172" s="163">
        <v>4</v>
      </c>
      <c r="B172" s="164" t="str">
        <f>IFERROR(INDEX($B$156:$B$167,MATCH(4,$D$156:$D$167,0)),"?")</f>
        <v>Holanda</v>
      </c>
    </row>
    <row r="173" spans="1:4">
      <c r="A173" s="163">
        <v>5</v>
      </c>
      <c r="B173" s="164" t="str">
        <f>IFERROR(INDEX($B$156:$B$167,MATCH(5,$D$156:$D$167,0)),"?")</f>
        <v>Portugal</v>
      </c>
    </row>
    <row r="174" spans="1:4">
      <c r="A174" s="163">
        <v>6</v>
      </c>
      <c r="B174" s="164" t="str">
        <f>IFERROR(INDEX($B$156:$B$167,MATCH(6,$D$156:$D$167,0)),"?")</f>
        <v>Africa do Sul</v>
      </c>
    </row>
    <row r="175" spans="1:4">
      <c r="A175" s="163">
        <v>7</v>
      </c>
      <c r="B175" s="164" t="str">
        <f>IFERROR(INDEX($B$156:$B$167,MATCH(7,$D$156:$D$167,0)),"?")</f>
        <v>Panama</v>
      </c>
    </row>
    <row r="176" spans="1:4">
      <c r="A176" s="163">
        <v>8</v>
      </c>
      <c r="B176" s="164" t="str">
        <f>IFERROR(INDEX($B$156:$B$167,MATCH(8,$D$156:$D$167,0)),"?")</f>
        <v>Jordania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ADEFGJKL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20" sqref="F20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05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Canada</v>
      </c>
      <c r="F4" s="249">
        <v>1</v>
      </c>
      <c r="G4" s="249">
        <v>0</v>
      </c>
      <c r="H4" s="176"/>
      <c r="I4" s="177" t="str">
        <f t="shared" ref="I4:I35" si="0">IF(AND(F4="",G4=""),"Aguardando",IF(AND(F4=G4,H4=""),"Preencher col H",IF(ISNUMBER(F4),"Finalizado","Verificar")))</f>
        <v>Finalizado</v>
      </c>
      <c r="J4" s="178" t="str">
        <f t="shared" ref="J4:J35" si="1">IF(AND(F4="",G4=""),"",IF(F4&gt;G4,D4,IF(F4&lt;G4,E4,IF(H4="S1",D4,IF(H4="S2",E4,"")))))</f>
        <v>Coreia do Sul</v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Escocia</v>
      </c>
      <c r="F5" s="249">
        <v>2</v>
      </c>
      <c r="G5" s="249">
        <v>1</v>
      </c>
      <c r="H5" s="176"/>
      <c r="I5" s="177" t="str">
        <f t="shared" si="0"/>
        <v>Finalizado</v>
      </c>
      <c r="J5" s="178" t="str">
        <f t="shared" si="1"/>
        <v>Alemanha</v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>
        <v>1</v>
      </c>
      <c r="G6" s="249">
        <v>0</v>
      </c>
      <c r="H6" s="176"/>
      <c r="I6" s="177" t="str">
        <f t="shared" si="0"/>
        <v>Finalizado</v>
      </c>
      <c r="J6" s="178" t="str">
        <f t="shared" si="1"/>
        <v>Holanda</v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>
        <v>3</v>
      </c>
      <c r="G7" s="249">
        <v>0</v>
      </c>
      <c r="H7" s="176"/>
      <c r="I7" s="177" t="str">
        <f t="shared" si="0"/>
        <v>Finalizado</v>
      </c>
      <c r="J7" s="178" t="str">
        <f t="shared" si="1"/>
        <v>Brasil</v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>
        <v>2</v>
      </c>
      <c r="G8" s="249">
        <v>1</v>
      </c>
      <c r="H8" s="176"/>
      <c r="I8" s="177" t="str">
        <f t="shared" si="0"/>
        <v>Finalizado</v>
      </c>
      <c r="J8" s="178" t="str">
        <f t="shared" si="1"/>
        <v>Franca</v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Noruega</v>
      </c>
      <c r="F9" s="249">
        <v>0</v>
      </c>
      <c r="G9" s="249">
        <v>1</v>
      </c>
      <c r="H9" s="176"/>
      <c r="I9" s="177" t="str">
        <f t="shared" si="0"/>
        <v>Finalizado</v>
      </c>
      <c r="J9" s="178" t="str">
        <f t="shared" si="1"/>
        <v>Noruega</v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Arabia Saudita</v>
      </c>
      <c r="F10" s="249">
        <v>1</v>
      </c>
      <c r="G10" s="249">
        <v>0</v>
      </c>
      <c r="H10" s="176"/>
      <c r="I10" s="177" t="str">
        <f t="shared" si="0"/>
        <v>Finalizado</v>
      </c>
      <c r="J10" s="178" t="str">
        <f t="shared" si="1"/>
        <v>Mexico</v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Senegal</v>
      </c>
      <c r="F11" s="249">
        <v>2</v>
      </c>
      <c r="G11" s="249">
        <v>0</v>
      </c>
      <c r="H11" s="176"/>
      <c r="I11" s="177" t="str">
        <f t="shared" si="0"/>
        <v>Finalizado</v>
      </c>
      <c r="J11" s="178" t="str">
        <f t="shared" si="1"/>
        <v>Inglaterra</v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Bosnia e Herzegovina</v>
      </c>
      <c r="F12" s="249">
        <v>1</v>
      </c>
      <c r="G12" s="249">
        <v>0</v>
      </c>
      <c r="H12" s="176"/>
      <c r="I12" s="177" t="str">
        <f t="shared" si="0"/>
        <v>Finalizado</v>
      </c>
      <c r="J12" s="178" t="str">
        <f t="shared" si="1"/>
        <v>Estados Unidos</v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Tchequia</v>
      </c>
      <c r="F13" s="249">
        <v>2</v>
      </c>
      <c r="G13" s="249">
        <v>0</v>
      </c>
      <c r="H13" s="176"/>
      <c r="I13" s="177" t="str">
        <f t="shared" si="0"/>
        <v>Finalizado</v>
      </c>
      <c r="J13" s="178" t="str">
        <f t="shared" si="1"/>
        <v>Belgica</v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Gana</v>
      </c>
      <c r="F14" s="249">
        <v>2</v>
      </c>
      <c r="G14" s="249">
        <v>1</v>
      </c>
      <c r="H14" s="176"/>
      <c r="I14" s="177" t="str">
        <f t="shared" si="0"/>
        <v>Finalizado</v>
      </c>
      <c r="J14" s="178" t="str">
        <f t="shared" si="1"/>
        <v>Colombia</v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Argelia</v>
      </c>
      <c r="F15" s="249">
        <v>2</v>
      </c>
      <c r="G15" s="249">
        <v>1</v>
      </c>
      <c r="H15" s="176"/>
      <c r="I15" s="177" t="str">
        <f t="shared" si="0"/>
        <v>Finalizado</v>
      </c>
      <c r="J15" s="178" t="str">
        <f t="shared" si="1"/>
        <v>Espanha</v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Costa do Marfim</v>
      </c>
      <c r="F16" s="249">
        <v>1</v>
      </c>
      <c r="G16" s="249">
        <v>0</v>
      </c>
      <c r="H16" s="176"/>
      <c r="I16" s="177" t="str">
        <f t="shared" si="0"/>
        <v>Finalizado</v>
      </c>
      <c r="J16" s="178" t="str">
        <f t="shared" si="1"/>
        <v>Suica</v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>
        <v>1</v>
      </c>
      <c r="G17" s="249">
        <v>0</v>
      </c>
      <c r="H17" s="176"/>
      <c r="I17" s="177" t="str">
        <f t="shared" si="0"/>
        <v>Finalizado</v>
      </c>
      <c r="J17" s="178" t="str">
        <f t="shared" si="1"/>
        <v>Argentina</v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Croacia</v>
      </c>
      <c r="F18" s="249">
        <v>2</v>
      </c>
      <c r="G18" s="249">
        <v>0</v>
      </c>
      <c r="H18" s="176"/>
      <c r="I18" s="177" t="str">
        <f t="shared" si="0"/>
        <v>Finalizado</v>
      </c>
      <c r="J18" s="178" t="str">
        <f t="shared" si="1"/>
        <v>Portugal</v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Turquia</v>
      </c>
      <c r="E19" s="175" t="str">
        <f>IFERROR('Classif - Grupos'!C59,"Aguardando")</f>
        <v>Egito</v>
      </c>
      <c r="F19" s="249">
        <v>4</v>
      </c>
      <c r="G19" s="249">
        <v>3</v>
      </c>
      <c r="H19" s="176"/>
      <c r="I19" s="177" t="str">
        <f t="shared" si="0"/>
        <v>Finalizado</v>
      </c>
      <c r="J19" s="178" t="str">
        <f t="shared" si="1"/>
        <v>Turquia</v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Alemanha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Franca</v>
      </c>
      <c r="F20" s="249">
        <v>1</v>
      </c>
      <c r="G20" s="249">
        <v>2</v>
      </c>
      <c r="H20" s="176"/>
      <c r="I20" s="183" t="str">
        <f t="shared" si="0"/>
        <v>Finalizado</v>
      </c>
      <c r="J20" s="178" t="str">
        <f t="shared" si="1"/>
        <v>Franca</v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Coreia do Sul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Holanda</v>
      </c>
      <c r="F21" s="249">
        <v>1</v>
      </c>
      <c r="G21" s="249">
        <v>3</v>
      </c>
      <c r="H21" s="176"/>
      <c r="I21" s="183" t="str">
        <f t="shared" si="0"/>
        <v>Finalizado</v>
      </c>
      <c r="J21" s="178" t="str">
        <f t="shared" si="1"/>
        <v>Holanda</v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Brasil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Noruega</v>
      </c>
      <c r="F22" s="249">
        <v>2</v>
      </c>
      <c r="G22" s="249">
        <v>1</v>
      </c>
      <c r="H22" s="176"/>
      <c r="I22" s="183" t="str">
        <f t="shared" si="0"/>
        <v>Finalizado</v>
      </c>
      <c r="J22" s="178" t="str">
        <f t="shared" si="1"/>
        <v>Brasil</v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Mexico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Inglaterra</v>
      </c>
      <c r="F23" s="249">
        <v>2</v>
      </c>
      <c r="G23" s="249">
        <v>4</v>
      </c>
      <c r="H23" s="176"/>
      <c r="I23" s="183" t="str">
        <f t="shared" si="0"/>
        <v>Finalizado</v>
      </c>
      <c r="J23" s="178" t="str">
        <f t="shared" si="1"/>
        <v>Inglaterra</v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Colombia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Espanha</v>
      </c>
      <c r="F24" s="249">
        <v>1</v>
      </c>
      <c r="G24" s="249">
        <v>2</v>
      </c>
      <c r="H24" s="176"/>
      <c r="I24" s="183" t="str">
        <f t="shared" si="0"/>
        <v>Finalizado</v>
      </c>
      <c r="J24" s="178" t="str">
        <f t="shared" si="1"/>
        <v>Espanha</v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Estados Unidos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Belgica</v>
      </c>
      <c r="F25" s="249">
        <v>1</v>
      </c>
      <c r="G25" s="249">
        <v>2</v>
      </c>
      <c r="H25" s="176"/>
      <c r="I25" s="183" t="str">
        <f t="shared" si="0"/>
        <v>Finalizado</v>
      </c>
      <c r="J25" s="178" t="str">
        <f t="shared" si="1"/>
        <v>Belgica</v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Argentina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Turquia</v>
      </c>
      <c r="F26" s="249">
        <v>3</v>
      </c>
      <c r="G26" s="249">
        <v>1</v>
      </c>
      <c r="H26" s="176"/>
      <c r="I26" s="183" t="str">
        <f t="shared" si="0"/>
        <v>Finalizado</v>
      </c>
      <c r="J26" s="178" t="str">
        <f t="shared" si="1"/>
        <v>Argentina</v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Suica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Portugal</v>
      </c>
      <c r="F27" s="249">
        <v>1</v>
      </c>
      <c r="G27" s="249">
        <v>3</v>
      </c>
      <c r="H27" s="176"/>
      <c r="I27" s="183" t="str">
        <f t="shared" si="0"/>
        <v>Finalizado</v>
      </c>
      <c r="J27" s="178" t="str">
        <f t="shared" si="1"/>
        <v>Portugal</v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Franca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Holanda</v>
      </c>
      <c r="F28" s="249">
        <v>1</v>
      </c>
      <c r="G28" s="249">
        <v>0</v>
      </c>
      <c r="H28" s="176"/>
      <c r="I28" s="188" t="str">
        <f t="shared" si="0"/>
        <v>Finalizado</v>
      </c>
      <c r="J28" s="178" t="str">
        <f t="shared" si="1"/>
        <v>Franca</v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Espanha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Belgica</v>
      </c>
      <c r="F29" s="249">
        <v>2</v>
      </c>
      <c r="G29" s="249">
        <v>0</v>
      </c>
      <c r="H29" s="176"/>
      <c r="I29" s="188" t="str">
        <f t="shared" si="0"/>
        <v>Finalizado</v>
      </c>
      <c r="J29" s="178" t="str">
        <f t="shared" si="1"/>
        <v>Espanha</v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Brasil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Inglaterra</v>
      </c>
      <c r="F30" s="249">
        <v>3</v>
      </c>
      <c r="G30" s="249">
        <v>1</v>
      </c>
      <c r="H30" s="176"/>
      <c r="I30" s="188" t="str">
        <f t="shared" si="0"/>
        <v>Finalizado</v>
      </c>
      <c r="J30" s="178" t="str">
        <f t="shared" si="1"/>
        <v>Brasil</v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Argentina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Portugal</v>
      </c>
      <c r="F31" s="249">
        <v>1</v>
      </c>
      <c r="G31" s="249">
        <v>0</v>
      </c>
      <c r="H31" s="176"/>
      <c r="I31" s="188" t="str">
        <f t="shared" si="0"/>
        <v>Finalizado</v>
      </c>
      <c r="J31" s="178" t="str">
        <f t="shared" si="1"/>
        <v>Argentina</v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Franca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Espanha</v>
      </c>
      <c r="F32" s="249">
        <v>1</v>
      </c>
      <c r="G32" s="249">
        <v>2</v>
      </c>
      <c r="H32" s="176"/>
      <c r="I32" s="193" t="str">
        <f t="shared" si="0"/>
        <v>Finalizado</v>
      </c>
      <c r="J32" s="178" t="str">
        <f t="shared" si="1"/>
        <v>Espanha</v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Brasil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Argentina</v>
      </c>
      <c r="F33" s="249">
        <v>1</v>
      </c>
      <c r="G33" s="249">
        <v>0</v>
      </c>
      <c r="H33" s="176"/>
      <c r="I33" s="193" t="str">
        <f t="shared" si="0"/>
        <v>Finalizado</v>
      </c>
      <c r="J33" s="178" t="str">
        <f t="shared" si="1"/>
        <v>Brasil</v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Franca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Argentina</v>
      </c>
      <c r="F34" s="249">
        <v>2</v>
      </c>
      <c r="G34" s="249">
        <v>1</v>
      </c>
      <c r="H34" s="176"/>
      <c r="I34" s="198" t="str">
        <f t="shared" si="0"/>
        <v>Finalizado</v>
      </c>
      <c r="J34" s="178" t="str">
        <f t="shared" si="1"/>
        <v>Franca</v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Espanha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Brasil</v>
      </c>
      <c r="F35" s="249">
        <v>1</v>
      </c>
      <c r="G35" s="249">
        <v>3</v>
      </c>
      <c r="H35" s="176"/>
      <c r="I35" s="202" t="str">
        <f t="shared" si="0"/>
        <v>Finalizado</v>
      </c>
      <c r="J35" s="178" t="str">
        <f t="shared" si="1"/>
        <v>Brasil</v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05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05" customHeight="1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5">
        <v>46221</v>
      </c>
      <c r="BK4" s="253"/>
      <c r="BL4" s="278">
        <v>46222</v>
      </c>
      <c r="BM4" s="253"/>
    </row>
    <row r="5" spans="1:65" ht="22.05" customHeight="1">
      <c r="A5" s="87" t="s">
        <v>261</v>
      </c>
      <c r="B5" s="211" t="str">
        <f>IFERROR(BetClass!C53,"?")</f>
        <v>Coreia do Sul</v>
      </c>
      <c r="C5" s="211" t="str">
        <f>IFERROR(BetClass!C54,"?")</f>
        <v>Canada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Escocia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Noruega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Arabia Saudita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Senegal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Bosnia e Herzegovina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Gana</v>
      </c>
      <c r="X5" s="211" t="str">
        <f>IFERROR(BetClass!B60,"?")</f>
        <v>Espanha</v>
      </c>
      <c r="Y5" s="211" t="str">
        <f>IFERROR(BetClass!C62,"?")</f>
        <v>Argelia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Costa do Marfim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Croacia</v>
      </c>
      <c r="AF5" s="211" t="str">
        <f>IFERROR(BetClass!C56,"?")</f>
        <v>Turquia</v>
      </c>
      <c r="AG5" s="211" t="str">
        <f>IFERROR(BetClass!C59,"?")</f>
        <v>Egito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Noruega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Turquia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05" customHeight="1">
      <c r="A7" s="88" t="s">
        <v>262</v>
      </c>
      <c r="B7" s="214" t="str">
        <f>IFERROR(BetClass!C143,"?")</f>
        <v>Mexico</v>
      </c>
      <c r="C7" s="214" t="str">
        <f>IFERROR(BetClass!C144,"?")</f>
        <v>Canada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Australia</v>
      </c>
      <c r="F7" s="214" t="str">
        <f>IFERROR(BetClass!B148,"?")</f>
        <v>Japao</v>
      </c>
      <c r="G7" s="214" t="str">
        <f>IFERROR(BetClass!C145,"?")</f>
        <v>Escocia</v>
      </c>
      <c r="H7" s="214" t="str">
        <f>IFERROR(BetClass!B145,"?")</f>
        <v>Marrocos</v>
      </c>
      <c r="I7" s="214" t="str">
        <f>IFERROR(BetClass!C148,"?")</f>
        <v>Suecia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Holanda</v>
      </c>
      <c r="L7" s="214" t="str">
        <f>IFERROR(BetClass!C147,"?")</f>
        <v>Equador</v>
      </c>
      <c r="M7" s="214" t="str">
        <f>IFERROR(BetClass!C151,"?")</f>
        <v>Iraque</v>
      </c>
      <c r="N7" s="214" t="str">
        <f>IFERROR(BetClass!B143,"?")</f>
        <v>Tchequia</v>
      </c>
      <c r="O7" s="214" t="str">
        <f>IFERROR(IFERROR(INDEX(BetClass!$B$156:$B$167,MATCH(MID(IFERROR(VLOOKUP(BetClass!B178,'T495'!$A$2:$I$496,2,FALSE),""),2,1),BetClass!$A$156:$A$167,0)),"Aguardando"),"Aguardando")</f>
        <v>Costa do Marfim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Portugal</v>
      </c>
      <c r="R7" s="214" t="str">
        <f>IFERROR(BetClass!B146,"?")</f>
        <v>Paraguai</v>
      </c>
      <c r="S7" s="214" t="str">
        <f>IFERROR(IFERROR(INDEX(BetClass!$B$156:$B$167,MATCH(MID(IFERROR(VLOOKUP(BetClass!B178,'T495'!$A$2:$I$496,4,FALSE),""),2,1),BetClass!$A$156:$A$167,0)),"Aguardando"),"Aguardando")</f>
        <v>Jordania</v>
      </c>
      <c r="T7" s="214" t="str">
        <f>IFERROR(BetClass!B149,"?")</f>
        <v>Nova Zelandia</v>
      </c>
      <c r="U7" s="214" t="str">
        <f>IFERROR(IFERROR(INDEX(BetClass!$B$156:$B$167,MATCH(MID(IFERROR(VLOOKUP(BetClass!B178,'T495'!$A$2:$I$496,6,FALSE),""),2,1),BetClass!$A$156:$A$167,0)),"Aguardando"),"Aguardando")</f>
        <v>Africa do Sul</v>
      </c>
      <c r="V7" s="214" t="str">
        <f>IFERROR(BetClass!C153,"?")</f>
        <v>RD Congo</v>
      </c>
      <c r="W7" s="214" t="str">
        <f>IFERROR(BetClass!C154,"?")</f>
        <v>Gana</v>
      </c>
      <c r="X7" s="214" t="str">
        <f>IFERROR(BetClass!B150,"?")</f>
        <v>Espanha</v>
      </c>
      <c r="Y7" s="214" t="str">
        <f>IFERROR(BetClass!C152,"?")</f>
        <v>Argelia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Belgica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Uzbequistao</v>
      </c>
      <c r="AE7" s="214" t="str">
        <f>IFERROR(IFERROR(INDEX(BetClass!$B$156:$B$167,MATCH(MID(IFERROR(VLOOKUP(BetClass!B178,'T495'!$A$2:$I$496,8,FALSE),""),2,1),BetClass!$A$156:$A$167,0)),"Aguardando"),"Aguardando")</f>
        <v>Panama</v>
      </c>
      <c r="AF7" s="214" t="str">
        <f>IFERROR(BetClass!C146,"?")</f>
        <v>Estados Unidos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Mexico</v>
      </c>
      <c r="AK7" s="214" t="str">
        <f>IF('Apostas - Mata-Mata'!F8="X",'Apostas - Mata-Mata'!F7,IF('Apostas - Mata-Mata'!G8="X",'Apostas - Mata-Mata'!G7,"Aguardando"))</f>
        <v>Japao</v>
      </c>
      <c r="AL7" s="214" t="str">
        <f>IF('Apostas - Mata-Mata'!H8="X",'Apostas - Mata-Mata'!H7,IF('Apostas - Mata-Mata'!I8="X",'Apostas - Mata-Mata'!I7,"Aguardando"))</f>
        <v>Marrocos</v>
      </c>
      <c r="AM7" s="214" t="str">
        <f>IF('Apostas - Mata-Mata'!L8="X",'Apostas - Mata-Mata'!L7,IF('Apostas - Mata-Mata'!M8="X",'Apostas - Mata-Mata'!M7,"Aguardando"))</f>
        <v>Iraque</v>
      </c>
      <c r="AN7" s="214" t="str">
        <f>IF('Apostas - Mata-Mata'!N8="X",'Apostas - Mata-Mata'!N7,IF('Apostas - Mata-Mata'!O8="X",'Apostas - Mata-Mata'!O7,"Aguardando"))</f>
        <v>Tchequia</v>
      </c>
      <c r="AO7" s="214" t="str">
        <f>IF('Apostas - Mata-Mata'!P8="X",'Apostas - Mata-Mata'!P7,IF('Apostas - Mata-Mata'!Q8="X",'Apostas - Mata-Mata'!Q7,"Aguardando"))</f>
        <v>Portugal</v>
      </c>
      <c r="AP7" s="214" t="str">
        <f>IF('Apostas - Mata-Mata'!V8="X",'Apostas - Mata-Mata'!V7,IF('Apostas - Mata-Mata'!W8="X",'Apostas - Mata-Mata'!W7,"Aguardando"))</f>
        <v>RD Congo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Paraguai</v>
      </c>
      <c r="AS7" s="214" t="str">
        <f>IF('Apostas - Mata-Mata'!T8="X",'Apostas - Mata-Mata'!T7,IF('Apostas - Mata-Mata'!U8="X",'Apostas - Mata-Mata'!U7,"Aguardando"))</f>
        <v>Africa do Sul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Estados Unidos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Uzbequistao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Japao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Africa do Sul</v>
      </c>
      <c r="BB7" s="214" t="str">
        <f>IF('Apostas - Mata-Mata'!AL8="X",'Apostas - Mata-Mata'!AL7,IF('Apostas - Mata-Mata'!AM8="X",'Apostas - Mata-Mata'!AM7,"Aguardando"))</f>
        <v>Marrocos</v>
      </c>
      <c r="BC7" s="214" t="str">
        <f>IF('Apostas - Mata-Mata'!AN8="X",'Apostas - Mata-Mata'!AN7,IF('Apostas - Mata-Mata'!AO8="X",'Apostas - Mata-Mata'!AO7,"Aguardando"))</f>
        <v>Portugal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Uzbequistao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Marrocos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Marrocos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05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05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J36" sqref="J36"/>
    </sheetView>
  </sheetViews>
  <sheetFormatPr defaultRowHeight="14.4"/>
  <cols>
    <col min="1" max="1" width="22" customWidth="1"/>
    <col min="2" max="33" width="4.2187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05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3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3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3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3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3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3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3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3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3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3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3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3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3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3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3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3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5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5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5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5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5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5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5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5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8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8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8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8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12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12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10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25</v>
      </c>
      <c r="AH4" s="107">
        <f>SUM(B4:AG4)</f>
        <v>179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3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3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3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3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3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3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3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3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5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5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5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5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8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8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8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12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10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90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05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05" customHeight="1">
      <c r="A4" s="81" t="s">
        <v>261</v>
      </c>
      <c r="B4" s="217">
        <f>IFERROR(IF(AND('Apostas - Bonus'!B5&lt;&gt;"",'Apostas - Bonus'!B4&lt;&gt;""),IF('Apostas - Bonus'!B5='Apostas - Bonus'!B4,10,0),"-"),"-")</f>
        <v>0</v>
      </c>
      <c r="C4" s="217">
        <f>IFERROR(IF(AND('Apostas - Bonus'!C5&lt;&gt;"",'Apostas - Bonus'!C4&lt;&gt;""),IF('Apostas - Bonus'!C5='Apostas - Bonus'!C4,5,0),"-"),"-")</f>
        <v>5</v>
      </c>
      <c r="D4" s="218">
        <f>SUM(B4:C4)</f>
        <v>5</v>
      </c>
    </row>
    <row r="5" spans="1:4" ht="28.05" customHeight="1">
      <c r="A5" s="219" t="s">
        <v>262</v>
      </c>
      <c r="B5" s="220">
        <f>IFERROR(IF(AND('Apostas - Bonus'!B6&lt;&gt;"",'Apostas - Bonus'!B4&lt;&gt;""),IF('Apostas - Bonus'!B6='Apostas - Bonus'!B4,10,0),"-"),"-")</f>
        <v>0</v>
      </c>
      <c r="C5" s="220">
        <f>IFERROR(IF(AND('Apostas - Bonus'!C6&lt;&gt;"",'Apostas - Bonus'!C4&lt;&gt;""),IF('Apostas - Bonus'!C6='Apostas - Bonus'!C4,5,0),"-"),"-")</f>
        <v>0</v>
      </c>
      <c r="D5" s="218">
        <f t="shared" ref="D5:D7" si="0">SUM(B5:C5)</f>
        <v>0</v>
      </c>
    </row>
    <row r="6" spans="1:4" ht="28.05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05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05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049999999999997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544</v>
      </c>
      <c r="D4" s="225">
        <f>IFERROR(INDEX($J$4:$J$7,MATCH(1,$P$4:$P$7,0)),0)</f>
        <v>360</v>
      </c>
      <c r="E4" s="225">
        <f>IFERROR(INDEX($K$4:$K$7,MATCH(1,$P$4:$P$7,0)),0)</f>
        <v>179</v>
      </c>
      <c r="F4" s="225">
        <f>IFERROR(INDEX($L$4:$L$7,MATCH(1,$P$4:$P$7,0)),0)</f>
        <v>5</v>
      </c>
      <c r="G4" s="225">
        <f>IFERROR(INDEX($N$4:$N$7,MATCH(1,$P$4:$P$7,0)),0)</f>
        <v>72</v>
      </c>
      <c r="I4" s="226" t="s">
        <v>261</v>
      </c>
      <c r="J4" s="226">
        <f>'Pontuacao - Grupos'!BV5</f>
        <v>360</v>
      </c>
      <c r="K4" s="226">
        <f>'Pontuacao - Mata-Mata'!AH4</f>
        <v>179</v>
      </c>
      <c r="L4" s="226">
        <f>'Pontuacao - Bonus'!D4</f>
        <v>5</v>
      </c>
      <c r="M4" s="150">
        <f>J4+K4+L4</f>
        <v>544</v>
      </c>
      <c r="N4" s="226">
        <f>COUNTIF('Pontuacao - Grupos'!B5:BU5,5)</f>
        <v>72</v>
      </c>
      <c r="O4" s="227">
        <f>M4+K4/1000+N4/1000000+J4/1000000000</f>
        <v>544.17907235999996</v>
      </c>
      <c r="P4" s="150">
        <f>RANK(O4,$O$4:$O$7,0)+COUNTIF($O$4:O4,O4)-1</f>
        <v>1</v>
      </c>
    </row>
    <row r="5" spans="1:16" ht="34.049999999999997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221</v>
      </c>
      <c r="D5" s="230">
        <f>IFERROR(INDEX($J$4:$J$7,MATCH(2,$P$4:$P$7,0)),0)</f>
        <v>131</v>
      </c>
      <c r="E5" s="230">
        <f>IFERROR(INDEX($K$4:$K$7,MATCH(2,$P$4:$P$7,0)),0)</f>
        <v>90</v>
      </c>
      <c r="F5" s="230">
        <f>IFERROR(INDEX($L$4:$L$7,MATCH(2,$P$4:$P$7,0)),0)</f>
        <v>0</v>
      </c>
      <c r="G5" s="230">
        <f>IFERROR(INDEX($N$4:$N$7,MATCH(2,$P$4:$P$7,0)),0)</f>
        <v>18</v>
      </c>
      <c r="I5" s="226" t="s">
        <v>262</v>
      </c>
      <c r="J5" s="226">
        <f>'Pontuacao - Grupos'!BV6</f>
        <v>131</v>
      </c>
      <c r="K5" s="226">
        <f>'Pontuacao - Mata-Mata'!AH5</f>
        <v>90</v>
      </c>
      <c r="L5" s="226">
        <f>'Pontuacao - Bonus'!D5</f>
        <v>0</v>
      </c>
      <c r="M5" s="150">
        <f>J5+K5+L5</f>
        <v>221</v>
      </c>
      <c r="N5" s="226">
        <f>COUNTIF('Pontuacao - Grupos'!B6:BU6,5)</f>
        <v>18</v>
      </c>
      <c r="O5" s="227">
        <f>M5+K5/1000+N5/1000000+J5/1000000000</f>
        <v>221.09001813100002</v>
      </c>
      <c r="P5" s="150">
        <f>RANK(O5,$O$4:$O$7,0)+COUNTIF($O$4:O5,O5)-1</f>
        <v>2</v>
      </c>
    </row>
    <row r="6" spans="1:16" ht="34.049999999999997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049999999999997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/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>
      <c r="A5" s="286" t="str">
        <f>IFERROR(INDEX(Ranking!$I$4:$I$7,MATCH(1,Ranking!$P$4:$P$7,0)),"?")</f>
        <v>Pedro Brandao</v>
      </c>
      <c r="B5" s="253"/>
      <c r="C5" s="285">
        <f>IFERROR(MAX(Ranking!$M$4:$M$7),0)</f>
        <v>544</v>
      </c>
      <c r="D5" s="253"/>
      <c r="E5" s="288">
        <f>COUNTIF('Jogos - Grupos'!H3:H74,"Finalizado")</f>
        <v>72</v>
      </c>
      <c r="F5" s="253"/>
      <c r="G5" s="287">
        <f>COUNTIF('Mata-Mata - Jogos'!I4:I35,"Finalizado")</f>
        <v>32</v>
      </c>
      <c r="H5" s="253"/>
      <c r="I5" s="289" t="s">
        <v>1077</v>
      </c>
      <c r="J5" s="253"/>
    </row>
    <row r="7" spans="1:10" ht="10.050000000000001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05" customHeight="1">
      <c r="A9" s="236" t="str">
        <f>Ranking!A4</f>
        <v>1o</v>
      </c>
      <c r="B9" s="237" t="str">
        <f>Ranking!B4</f>
        <v>Pedro Brandao</v>
      </c>
      <c r="C9" s="238">
        <f>Ranking!C4</f>
        <v>544</v>
      </c>
      <c r="D9" s="238">
        <f>Ranking!D4</f>
        <v>360</v>
      </c>
      <c r="E9" s="238">
        <f>Ranking!E4</f>
        <v>179</v>
      </c>
      <c r="F9" s="238">
        <f>Ranking!F4</f>
        <v>5</v>
      </c>
      <c r="G9" s="238">
        <f>Ranking!G4</f>
        <v>72</v>
      </c>
    </row>
    <row r="10" spans="1:10" ht="28.05" customHeight="1">
      <c r="A10" s="239" t="str">
        <f>Ranking!A5</f>
        <v>2o</v>
      </c>
      <c r="B10" s="240" t="str">
        <f>Ranking!B5</f>
        <v>Joao Mello</v>
      </c>
      <c r="C10" s="241">
        <f>Ranking!C5</f>
        <v>221</v>
      </c>
      <c r="D10" s="241">
        <f>Ranking!D5</f>
        <v>131</v>
      </c>
      <c r="E10" s="241">
        <f>Ranking!E5</f>
        <v>90</v>
      </c>
      <c r="F10" s="241">
        <f>Ranking!F5</f>
        <v>0</v>
      </c>
      <c r="G10" s="241">
        <f>Ranking!G5</f>
        <v>18</v>
      </c>
    </row>
    <row r="11" spans="1:10" ht="28.05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05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2026-06-06T15:18:27Z</dcterms:modified>
</cp:coreProperties>
</file>