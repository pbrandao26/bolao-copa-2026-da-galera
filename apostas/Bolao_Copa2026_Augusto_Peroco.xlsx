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b6a5fa7625adf5b/Documentos/Augusto/Bolão 2026/"/>
    </mc:Choice>
  </mc:AlternateContent>
  <xr:revisionPtr revIDLastSave="150" documentId="13_ncr:1_{64791A48-E291-46BD-B369-BE11587A4943}" xr6:coauthVersionLast="47" xr6:coauthVersionMax="47" xr10:uidLastSave="{9A5609AB-7327-4821-A4CD-5E86961651BD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48" i="4" l="1"/>
  <c r="G41" i="4"/>
  <c r="H35" i="4"/>
  <c r="G34" i="4"/>
  <c r="H34" i="4"/>
  <c r="I34" i="4" s="1"/>
  <c r="H29" i="4"/>
  <c r="H26" i="4"/>
  <c r="H24" i="4"/>
  <c r="G25" i="4"/>
  <c r="G23" i="4"/>
  <c r="H21" i="4"/>
  <c r="H20" i="4"/>
  <c r="I20" i="4" s="1"/>
  <c r="H19" i="4"/>
  <c r="H14" i="4"/>
  <c r="G14" i="4"/>
  <c r="H13" i="4"/>
  <c r="H11" i="4"/>
  <c r="G11" i="4"/>
  <c r="G7" i="4"/>
  <c r="G10" i="4"/>
  <c r="H8" i="4"/>
  <c r="G3" i="4"/>
  <c r="H3" i="4"/>
  <c r="G12" i="4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H47" i="4"/>
  <c r="I47" i="4" s="1"/>
  <c r="H12" i="4"/>
  <c r="I12" i="4" s="1"/>
  <c r="H50" i="4"/>
  <c r="I50" i="4" s="1"/>
  <c r="G4" i="4"/>
  <c r="H10" i="4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G19" i="4"/>
  <c r="G29" i="4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43" i="4" l="1"/>
  <c r="I28" i="4"/>
  <c r="I25" i="4"/>
  <c r="J24" i="4" s="1"/>
  <c r="I19" i="4"/>
  <c r="I15" i="4"/>
  <c r="I11" i="4"/>
  <c r="J12" i="4" s="1"/>
  <c r="I10" i="4"/>
  <c r="I7" i="4"/>
  <c r="J7" i="4" s="1"/>
  <c r="I33" i="4"/>
  <c r="I42" i="4"/>
  <c r="J41" i="4" s="1"/>
  <c r="I44" i="4"/>
  <c r="I27" i="4"/>
  <c r="J42" i="4"/>
  <c r="I6" i="4"/>
  <c r="J39" i="4"/>
  <c r="B31" i="2" s="1"/>
  <c r="I49" i="4"/>
  <c r="J47" i="4" s="1"/>
  <c r="AO31" i="2" s="1"/>
  <c r="I16" i="4"/>
  <c r="I36" i="4"/>
  <c r="J10" i="4"/>
  <c r="I4" i="4"/>
  <c r="I38" i="4"/>
  <c r="J9" i="4"/>
  <c r="I37" i="4"/>
  <c r="J8" i="4"/>
  <c r="I17" i="4"/>
  <c r="J13" i="4"/>
  <c r="J40" i="4"/>
  <c r="I32" i="4"/>
  <c r="J31" i="4" s="1"/>
  <c r="I22" i="4"/>
  <c r="J22" i="4" s="1"/>
  <c r="I18" i="4"/>
  <c r="J18" i="4" s="1"/>
  <c r="J11" i="4"/>
  <c r="I45" i="4"/>
  <c r="J14" i="4"/>
  <c r="J48" i="4" l="1"/>
  <c r="J43" i="4"/>
  <c r="C75" i="4"/>
  <c r="J27" i="4"/>
  <c r="J30" i="4"/>
  <c r="J23" i="4"/>
  <c r="AO18" i="2" s="1"/>
  <c r="J25" i="4"/>
  <c r="J26" i="4"/>
  <c r="AP20" i="2" s="1"/>
  <c r="AH18" i="2"/>
  <c r="C71" i="4"/>
  <c r="AR20" i="2"/>
  <c r="AR19" i="2"/>
  <c r="AT17" i="2"/>
  <c r="AQ20" i="2"/>
  <c r="AR18" i="2"/>
  <c r="AH19" i="2"/>
  <c r="AO19" i="2"/>
  <c r="AT19" i="2"/>
  <c r="AV17" i="2"/>
  <c r="AP19" i="2"/>
  <c r="AU17" i="2"/>
  <c r="AV19" i="2"/>
  <c r="AH20" i="2"/>
  <c r="AO11" i="2"/>
  <c r="AF12" i="2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P31" i="2"/>
  <c r="J49" i="4"/>
  <c r="I31" i="2"/>
  <c r="B62" i="4"/>
  <c r="E58" i="4"/>
  <c r="AN20" i="2"/>
  <c r="B75" i="4"/>
  <c r="K33" i="2"/>
  <c r="J36" i="4"/>
  <c r="J4" i="4"/>
  <c r="J50" i="4"/>
  <c r="AQ34" i="2" s="1"/>
  <c r="J35" i="4"/>
  <c r="AQ24" i="2" s="1"/>
  <c r="J6" i="4"/>
  <c r="AT18" i="2"/>
  <c r="AH17" i="2"/>
  <c r="N33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AH31" i="2"/>
  <c r="AV31" i="2"/>
  <c r="D54" i="4"/>
  <c r="J16" i="4"/>
  <c r="AR31" i="2"/>
  <c r="AC12" i="2"/>
  <c r="AF11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V11" i="2"/>
  <c r="AP11" i="2"/>
  <c r="AU13" i="2"/>
  <c r="H33" i="2"/>
  <c r="J44" i="4"/>
  <c r="AR11" i="2"/>
  <c r="I33" i="2"/>
  <c r="AR10" i="2"/>
  <c r="AS10" i="2"/>
  <c r="J33" i="2"/>
  <c r="M33" i="2"/>
  <c r="B55" i="4"/>
  <c r="AT12" i="2"/>
  <c r="AQ11" i="2"/>
  <c r="J46" i="4"/>
  <c r="AU10" i="2"/>
  <c r="J17" i="4"/>
  <c r="P32" i="2"/>
  <c r="O10" i="2"/>
  <c r="P10" i="2"/>
  <c r="B53" i="4"/>
  <c r="B10" i="2"/>
  <c r="K10" i="2"/>
  <c r="N10" i="2"/>
  <c r="M10" i="2"/>
  <c r="L10" i="2"/>
  <c r="I10" i="2"/>
  <c r="H10" i="2"/>
  <c r="J10" i="2"/>
  <c r="I32" i="2"/>
  <c r="B60" i="4"/>
  <c r="R24" i="2"/>
  <c r="AE24" i="2"/>
  <c r="AF24" i="2"/>
  <c r="R27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B63" i="4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B32" i="2"/>
  <c r="J34" i="2"/>
  <c r="L32" i="2"/>
  <c r="C62" i="4"/>
  <c r="M34" i="2"/>
  <c r="M32" i="2"/>
  <c r="AP12" i="2"/>
  <c r="AP34" i="2" l="1"/>
  <c r="AH34" i="2"/>
  <c r="AT33" i="2"/>
  <c r="AV32" i="2"/>
  <c r="AN32" i="2"/>
  <c r="AO32" i="2"/>
  <c r="AN33" i="2"/>
  <c r="AU33" i="2"/>
  <c r="AH32" i="2"/>
  <c r="AT32" i="2"/>
  <c r="AR33" i="2"/>
  <c r="AP33" i="2"/>
  <c r="AU32" i="2"/>
  <c r="AQ33" i="2"/>
  <c r="AS32" i="2"/>
  <c r="C77" i="4"/>
  <c r="C64" i="4"/>
  <c r="D64" i="4"/>
  <c r="AQ32" i="2"/>
  <c r="AO33" i="2"/>
  <c r="AP32" i="2"/>
  <c r="AR32" i="2"/>
  <c r="AC33" i="2"/>
  <c r="H24" i="2"/>
  <c r="L24" i="2"/>
  <c r="J24" i="2"/>
  <c r="B24" i="2"/>
  <c r="O24" i="2"/>
  <c r="P24" i="2"/>
  <c r="I24" i="2"/>
  <c r="B59" i="4"/>
  <c r="K24" i="2"/>
  <c r="M24" i="2"/>
  <c r="N24" i="2"/>
  <c r="N25" i="2"/>
  <c r="H26" i="2"/>
  <c r="K25" i="2"/>
  <c r="K27" i="2"/>
  <c r="C59" i="4"/>
  <c r="M26" i="2"/>
  <c r="N27" i="2"/>
  <c r="D59" i="4"/>
  <c r="H27" i="2"/>
  <c r="L25" i="2"/>
  <c r="P25" i="2"/>
  <c r="B27" i="2"/>
  <c r="J25" i="2"/>
  <c r="J26" i="2"/>
  <c r="P26" i="2"/>
  <c r="N26" i="2"/>
  <c r="L27" i="2"/>
  <c r="B26" i="2"/>
  <c r="E59" i="4"/>
  <c r="K26" i="2"/>
  <c r="B72" i="4"/>
  <c r="I26" i="2"/>
  <c r="AT2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<sst xmlns="http://schemas.openxmlformats.org/spreadsheetml/2006/main" count="6670" uniqueCount="1553">
  <si>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</si>
  <si>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</si>
  <si>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</si>
  <si>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</si>
  <si>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</si>
  <si>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</si>
  <si>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</si>
  <si>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</si>
  <si>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</si>
  <si>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</si>
  <si>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</si>
  <si>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</si>
  <si>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</si>
  <si>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</si>
  <si>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</si>
  <si>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</si>
  <si>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</si>
  <si>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</si>
  <si>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</si>
  <si>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</si>
  <si>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</si>
  <si>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</si>
  <si>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</si>
  <si>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</si>
  <si>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</si>
  <si>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</si>
  <si>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</si>
  <si>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</si>
  <si>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</si>
  <si>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</si>
  <si>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</si>
  <si>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</si>
  <si>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</si>
  <si>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</si>
  <si>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</si>
  <si>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</si>
  <si>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</si>
  <si>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</si>
  <si>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</si>
  <si>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</si>
  <si>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</si>
  <si>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</si>
  <si>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</si>
  <si>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</si>
  <si>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</si>
  <si>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</si>
  <si>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</si>
  <si>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</si>
  <si>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</si>
  <si>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</si>
  <si>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</si>
  <si>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</si>
  <si>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</si>
  <si>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</si>
  <si>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</si>
  <si>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</si>
  <si>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</si>
  <si>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</si>
  <si>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</si>
  <si>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</si>
  <si>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</si>
  <si>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</si>
  <si>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</si>
  <si>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</si>
  <si>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</si>
  <si>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</si>
  <si>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</si>
  <si>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</si>
  <si>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</si>
  <si>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</si>
  <si>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</si>
  <si>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</si>
  <si>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</si>
  <si>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</si>
  <si>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</si>
  <si>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</si>
  <si>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</si>
  <si>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</si>
  <si>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</si>
  <si>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</si>
  <si>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</si>
  <si>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</si>
  <si>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</si>
  <si>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</si>
  <si>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</si>
  <si>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</si>
  <si>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</si>
  <si>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</si>
  <si>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</si>
  <si>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</si>
  <si>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</si>
  <si>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</si>
  <si>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</si>
  <si>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</si>
  <si>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</si>
  <si>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</si>
  <si>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</si>
  <si>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</si>
  <si>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</si>
  <si>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</si>
  <si>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</si>
  <si>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</si>
  <si>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</si>
  <si>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</si>
  <si>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</si>
  <si>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</si>
  <si>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</si>
  <si>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</si>
  <si>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</si>
  <si>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</si>
  <si>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</si>
  <si>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</si>
  <si>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</si>
  <si>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</si>
  <si>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</si>
  <si>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</si>
  <si>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</si>
  <si>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</si>
  <si>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</si>
  <si>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</si>
  <si>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</si>
  <si>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</si>
  <si>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</si>
  <si>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</si>
  <si>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</si>
  <si>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</si>
  <si>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</si>
  <si>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</si>
  <si>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</si>
  <si>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</si>
  <si>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</si>
  <si>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</si>
  <si>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</si>
  <si>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</si>
  <si>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</si>
  <si>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</si>
  <si>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</si>
  <si>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</si>
  <si>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</si>
  <si>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</si>
  <si>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</si>
  <si>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</si>
  <si>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</si>
  <si>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</si>
  <si>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</si>
  <si>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</si>
  <si>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</si>
  <si>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</si>
  <si>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</si>
  <si>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</si>
  <si>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</si>
  <si>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</si>
  <si>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</si>
  <si>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</si>
  <si>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</si>
  <si>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</si>
  <si>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</si>
  <si>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</si>
  <si>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</si>
  <si>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</si>
  <si>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</si>
  <si>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</si>
  <si>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</si>
  <si>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</si>
  <si>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</si>
  <si>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</si>
  <si>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</si>
  <si>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</si>
  <si>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</si>
  <si>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</si>
  <si>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</si>
  <si>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</si>
  <si>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</si>
  <si>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</si>
  <si>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</si>
  <si>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</si>
  <si>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</si>
  <si>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</si>
  <si>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</si>
  <si>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</si>
  <si>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</si>
  <si>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</si>
  <si>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</si>
  <si>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</si>
  <si>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</si>
  <si>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</si>
  <si>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</si>
  <si>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</si>
  <si>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</si>
  <si>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</si>
  <si>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</si>
  <si>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</si>
  <si>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</si>
  <si>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</si>
  <si>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</si>
  <si>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</si>
  <si>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</si>
  <si>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</si>
  <si>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</si>
  <si>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</si>
  <si>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</si>
  <si>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</si>
  <si>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</si>
  <si>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</si>
  <si>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</si>
  <si>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</si>
  <si>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</si>
  <si>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</si>
  <si>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</si>
  <si>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</si>
  <si>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</si>
  <si>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</si>
  <si>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</si>
  <si>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</si>
  <si>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</si>
  <si>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</si>
  <si>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</si>
  <si>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</si>
  <si>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</si>
  <si>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</si>
  <si>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</si>
  <si>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</si>
  <si>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</si>
  <si>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</si>
  <si>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</si>
  <si>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</si>
  <si>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</si>
  <si>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</si>
  <si>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</si>
  <si>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</si>
  <si>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</si>
  <si>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</si>
  <si>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</si>
  <si>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</si>
  <si>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</si>
  <si>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</si>
  <si>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</si>
  <si>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</si>
  <si>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</si>
  <si>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</si>
  <si>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</si>
  <si>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</si>
  <si>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</si>
  <si>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</si>
  <si>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</si>
  <si>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</si>
  <si>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</si>
  <si>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</si>
  <si>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</si>
  <si>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</si>
  <si>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</si>
  <si>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</si>
  <si>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</si>
  <si>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</si>
  <si>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</si>
  <si>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</si>
  <si>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</si>
  <si>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</si>
  <si>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</si>
  <si>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</si>
  <si>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</si>
  <si>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</si>
  <si>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</si>
  <si>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</si>
  <si>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</si>
  <si>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</si>
  <si>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</si>
  <si>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</si>
  <si>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</si>
  <si>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</si>
  <si>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</si>
  <si>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</si>
  <si>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</si>
  <si>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</si>
  <si>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</si>
  <si>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</si>
  <si>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</si>
  <si>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</si>
  <si>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</si>
  <si>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</si>
  <si>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</si>
  <si>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</si>
  <si>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</si>
  <si>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</si>
  <si>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</si>
  <si>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</si>
  <si>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</si>
  <si>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</si>
  <si>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</si>
  <si>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</si>
  <si>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</si>
  <si>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</si>
  <si>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</si>
  <si>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</si>
  <si>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</si>
  <si>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</si>
  <si>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</si>
  <si>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</si>
  <si>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</si>
  <si>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</si>
  <si>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</si>
  <si>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</si>
  <si>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</si>
  <si>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</si>
  <si>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</si>
  <si>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</si>
  <si>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</si>
  <si>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</si>
  <si>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</si>
  <si>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</si>
  <si>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</si>
  <si>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</si>
  <si>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</si>
  <si>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</si>
  <si>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</si>
  <si>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</si>
  <si>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</si>
  <si>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</si>
  <si>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</si>
  <si>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</si>
  <si>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</si>
  <si>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</si>
  <si>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</si>
  <si>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</si>
  <si>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</si>
  <si>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</si>
  <si>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</si>
  <si>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</si>
  <si>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</si>
  <si>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</si>
  <si>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</si>
  <si>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</si>
  <si>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</si>
  <si>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</si>
  <si>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</si>
  <si>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</si>
  <si>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</si>
  <si>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</si>
  <si>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</si>
  <si>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</si>
  <si>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</si>
  <si>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</si>
  <si>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</si>
  <si>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</si>
  <si>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</si>
  <si>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</si>
  <si>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</si>
  <si>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</si>
  <si>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</si>
  <si>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</si>
  <si>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</si>
  <si>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</si>
  <si>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</si>
  <si>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</si>
  <si>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</si>
  <si>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</si>
  <si>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</si>
  <si>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</si>
  <si>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</si>
  <si>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</si>
  <si>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</si>
  <si>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</si>
  <si>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</si>
  <si>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</si>
  <si>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</si>
  <si>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</si>
  <si>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</si>
  <si>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</si>
  <si>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</si>
  <si>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</si>
  <si>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</si>
  <si>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</si>
  <si>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</si>
  <si>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</si>
  <si>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</si>
  <si>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</si>
  <si>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</si>
  <si>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</si>
  <si>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</si>
  <si>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</si>
  <si>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</si>
  <si>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</si>
  <si>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</si>
  <si>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</si>
  <si>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</si>
  <si>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</si>
  <si>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</si>
  <si>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</si>
  <si>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</si>
  <si>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</si>
  <si>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</si>
  <si>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</si>
  <si>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</si>
  <si>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</si>
  <si>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</si>
  <si>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</si>
  <si>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</si>
  <si>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</si>
  <si>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</si>
  <si>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</si>
  <si>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</si>
  <si>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</si>
  <si>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</si>
  <si>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</si>
  <si>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</si>
  <si>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</si>
  <si>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</si>
  <si>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</si>
  <si>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</si>
  <si>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</si>
  <si>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</si>
  <si>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</si>
  <si>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</si>
  <si>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</si>
  <si>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</si>
  <si>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</si>
  <si>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</si>
  <si>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</si>
  <si>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</si>
  <si>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</si>
  <si>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</si>
  <si>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</si>
  <si>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</si>
  <si>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</si>
  <si>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</si>
  <si>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</si>
  <si>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</si>
  <si>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</si>
  <si>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</si>
  <si>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</si>
  <si>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</si>
  <si>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</si>
  <si>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</si>
  <si>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</si>
  <si>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</si>
  <si>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</si>
  <si>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</si>
  <si>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</si>
  <si>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</si>
  <si>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</si>
  <si>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</si>
  <si>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</si>
  <si>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</si>
  <si>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</si>
  <si>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</si>
  <si>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</si>
  <si>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</si>
  <si>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</si>
  <si>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</si>
  <si>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</si>
  <si>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</si>
  <si>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</si>
  <si>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</si>
  <si>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</si>
  <si>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</si>
  <si>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</si>
  <si>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</si>
  <si>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</si>
  <si>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</si>
  <si>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</si>
  <si>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</si>
  <si>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</si>
  <si>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</si>
  <si>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</si>
  <si>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</si>
  <si>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</si>
  <si>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</si>
  <si>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</si>
  <si>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</si>
  <si>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</si>
  <si>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</si>
  <si>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</si>
  <si>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</si>
  <si>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</si>
  <si>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</si>
  <si>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</si>
  <si>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</si>
  <si>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</si>
  <si>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</si>
  <si>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</si>
  <si>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</si>
  <si>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</si>
  <si>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</si>
  <si>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</si>
  <si>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</si>
  <si>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</si>
  <si>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</si>
  <si>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</si>
  <si>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</si>
  <si>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</si>
  <si>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</si>
  <si>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</si>
  <si>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</si>
  <si>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</si>
  <si>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</si>
  <si>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</si>
  <si>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</si>
  <si>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</si>
  <si>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</si>
  <si>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</si>
  <si>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</si>
  <si>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</si>
  <si>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</si>
  <si>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</si>
  <si>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</si>
  <si>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</si>
  <si>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</si>
  <si>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</si>
  <si>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</si>
  <si>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</si>
  <si>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</si>
  <si>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</si>
  <si>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</si>
  <si>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</si>
  <si>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</si>
  <si>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</si>
  <si>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</si>
  <si>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</si>
  <si>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</si>
  <si>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</si>
  <si>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</si>
  <si>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</si>
  <si>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</si>
  <si>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</si>
  <si>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</si>
  <si>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</si>
  <si>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</si>
  <si>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</si>
  <si>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</si>
  <si>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</si>
  <si>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</si>
  <si>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</si>
  <si>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</si>
  <si>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</si>
  <si>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</si>
  <si>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</si>
  <si>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</si>
  <si>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</si>
  <si>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</si>
  <si>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</si>
  <si>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</si>
  <si>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</si>
  <si>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</si>
  <si>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</si>
  <si>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</si>
  <si>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</si>
  <si>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</si>
  <si>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</si>
  <si>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</si>
  <si>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</si>
  <si>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</si>
  <si>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</si>
  <si>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</si>
  <si>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</si>
  <si>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</si>
  <si>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</si>
  <si>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</si>
  <si>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</si>
  <si>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</si>
  <si>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</si>
  <si>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</si>
  <si>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</si>
  <si>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</si>
  <si>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</si>
  <si>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</si>
  <si>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</si>
  <si>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</si>
  <si>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</si>
  <si>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</si>
  <si>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</si>
  <si>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</si>
  <si>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</si>
  <si>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</si>
  <si>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</si>
  <si>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</si>
  <si>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</si>
  <si>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</si>
  <si>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</si>
  <si>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</si>
  <si>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</si>
  <si>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</si>
  <si>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</si>
  <si>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</si>
  <si>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</si>
  <si>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</si>
  <si>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</si>
  <si>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</si>
  <si>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</si>
  <si>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</si>
  <si>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</si>
  <si>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</si>
  <si>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</si>
  <si>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</si>
  <si>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</si>
  <si>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</si>
  <si>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</si>
  <si>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</si>
  <si>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</si>
  <si>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</si>
  <si>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</si>
  <si>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</si>
  <si>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</si>
  <si>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</si>
  <si>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</si>
  <si>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</si>
  <si>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</si>
  <si>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</si>
  <si>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</si>
  <si>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</si>
  <si>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</si>
  <si>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</si>
  <si>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</si>
  <si>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</si>
  <si>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</si>
  <si>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</si>
  <si>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</si>
  <si>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</si>
  <si>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</si>
  <si>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</si>
  <si>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</si>
  <si>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</si>
  <si>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</si>
  <si>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</si>
  <si>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</si>
  <si>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</si>
  <si>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</si>
  <si>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</si>
  <si>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</si>
  <si>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</si>
  <si>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</si>
  <si>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</si>
  <si>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</si>
  <si>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</si>
  <si>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</si>
  <si>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</si>
  <si>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</si>
  <si>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</si>
  <si>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</si>
  <si>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</si>
  <si>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</si>
  <si>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</si>
  <si>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</si>
  <si>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</si>
  <si>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</si>
  <si>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</si>
  <si>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</si>
  <si>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</si>
  <si>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</si>
  <si>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</si>
  <si>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</si>
  <si>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</si>
  <si>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</si>
  <si>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</si>
  <si>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</si>
  <si>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</si>
  <si>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</si>
  <si>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</si>
  <si>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</si>
  <si>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</si>
  <si>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</si>
  <si>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</si>
  <si>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</si>
  <si>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</si>
  <si>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</si>
  <si>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</si>
  <si>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</si>
  <si>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</si>
  <si>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</si>
  <si>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</si>
  <si>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</si>
  <si>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</si>
  <si>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</si>
  <si>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</si>
  <si>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</si>
  <si>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</si>
  <si>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</si>
  <si>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</si>
  <si>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</si>
  <si>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</si>
  <si>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</si>
  <si>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</si>
  <si>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</si>
  <si>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</si>
  <si>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</si>
  <si>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</si>
  <si>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</si>
  <si>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</si>
  <si>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</si>
  <si>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</si>
  <si>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</si>
  <si>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</si>
  <si>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</si>
  <si>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</si>
  <si>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</si>
  <si>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</si>
  <si>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</si>
  <si>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</si>
  <si>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</si>
  <si>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</si>
  <si>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</si>
  <si>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</si>
  <si>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</si>
  <si>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</si>
  <si>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</si>
  <si>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</si>
  <si>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</si>
  <si>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</si>
  <si>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</si>
  <si>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</si>
  <si>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</si>
  <si>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</si>
  <si>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</si>
  <si>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</si>
  <si>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</si>
  <si>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</si>
  <si>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</si>
  <si>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</si>
  <si>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</si>
  <si>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</si>
  <si>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</si>
  <si>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</si>
  <si>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</si>
  <si>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</si>
  <si>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</si>
  <si>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</si>
  <si>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</si>
  <si>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</si>
  <si>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</si>
  <si>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</si>
  <si>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</si>
  <si>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</si>
  <si>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</si>
  <si>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</si>
  <si>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</si>
  <si>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</si>
  <si>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</si>
  <si>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</si>
  <si>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</si>
  <si>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</si>
  <si>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</si>
  <si>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</si>
  <si>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</si>
  <si>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</si>
  <si>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</si>
  <si>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</si>
  <si>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</si>
  <si>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</si>
  <si>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</si>
  <si>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</si>
  <si>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</si>
  <si>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</si>
  <si>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</si>
  <si>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</si>
  <si>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</si>
  <si>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</si>
  <si>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</si>
  <si>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</si>
  <si>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</si>
  <si>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</si>
  <si>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</si>
  <si>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</si>
  <si>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</si>
  <si>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</si>
  <si>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</si>
  <si>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</si>
  <si>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</si>
  <si>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</si>
  <si>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</si>
  <si>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</si>
  <si>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</si>
  <si>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</si>
  <si>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</si>
  <si>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</si>
  <si>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</si>
  <si>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</si>
  <si>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</si>
  <si>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</si>
  <si>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</si>
  <si>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</si>
  <si>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</si>
  <si>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</si>
  <si>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</si>
  <si>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</si>
  <si>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</si>
  <si>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</si>
  <si>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</si>
  <si>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</si>
  <si>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</si>
  <si>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</si>
  <si>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</si>
  <si>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</si>
  <si>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</si>
  <si>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</si>
  <si>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</si>
  <si>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</si>
  <si>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</si>
  <si>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</si>
  <si>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</si>
  <si>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</si>
  <si>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</si>
  <si>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</si>
  <si>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</si>
  <si>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</si>
  <si>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</si>
  <si>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</si>
  <si>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</si>
  <si>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</si>
  <si>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</si>
  <si>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</si>
  <si>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</si>
  <si>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</si>
  <si>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</si>
  <si>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</si>
  <si>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</si>
  <si>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</si>
  <si>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</si>
  <si>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</si>
  <si>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</si>
  <si>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</si>
  <si>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</si>
  <si>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</si>
  <si>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</si>
  <si>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</si>
  <si>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</si>
  <si>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</si>
  <si>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</si>
  <si>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</si>
  <si>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</si>
  <si>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</si>
  <si>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</si>
  <si>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</si>
  <si>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</si>
  <si>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</si>
  <si>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</si>
  <si>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</si>
  <si>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</si>
  <si>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</si>
  <si>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</si>
  <si>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</si>
  <si>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</si>
  <si>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</si>
  <si>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</si>
  <si>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</si>
  <si>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</si>
  <si>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</si>
  <si>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</si>
  <si>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</si>
  <si>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</si>
  <si>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</si>
  <si>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</si>
  <si>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</si>
  <si>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</si>
  <si>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</si>
  <si>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</si>
  <si>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</si>
  <si>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</si>
  <si>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</si>
  <si>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</si>
  <si>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</si>
  <si>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</si>
  <si>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</si>
  <si>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</si>
  <si>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</si>
  <si>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</si>
  <si>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</si>
  <si>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</si>
  <si>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</si>
  <si>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</si>
  <si>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</si>
  <si>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</si>
  <si>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</si>
  <si>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</si>
  <si>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</si>
  <si>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</si>
  <si>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</si>
  <si>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</si>
  <si>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</si>
  <si>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</si>
  <si>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</si>
  <si>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</si>
  <si>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</si>
  <si>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</si>
  <si>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</si>
  <si>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</si>
  <si>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</si>
  <si>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</si>
  <si>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</si>
  <si>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</si>
  <si>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</si>
  <si>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</si>
  <si>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</si>
  <si>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</si>
  <si>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</si>
  <si>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</si>
  <si>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</si>
  <si>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</si>
  <si>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</si>
  <si>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</si>
  <si>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</si>
  <si>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</si>
  <si>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</si>
  <si>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</si>
  <si>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</si>
  <si>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</si>
  <si>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</si>
  <si>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</si>
  <si>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</si>
  <si>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</si>
  <si>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</si>
  <si>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</si>
  <si>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</si>
  <si>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</si>
  <si>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</si>
  <si>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</si>
  <si>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</si>
  <si>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</si>
  <si>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</si>
  <si>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</si>
  <si>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</si>
  <si>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</si>
  <si>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</si>
  <si>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</si>
  <si>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</si>
  <si>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</si>
  <si>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</si>
  <si>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</si>
  <si>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</si>
  <si>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</si>
  <si>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</si>
  <si>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</si>
  <si>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</si>
  <si>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</si>
  <si>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</si>
  <si>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</si>
  <si>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</si>
  <si>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</si>
  <si>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</si>
  <si>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</si>
  <si>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</si>
  <si>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</si>
  <si>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</si>
  <si>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</si>
  <si>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</si>
  <si>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</si>
  <si>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</si>
  <si>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</si>
  <si>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</si>
  <si>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</si>
  <si>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</si>
  <si>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</si>
  <si>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</si>
  <si>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</si>
  <si>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</si>
  <si>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</si>
  <si>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</si>
  <si>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</si>
  <si>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</si>
  <si>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</si>
  <si>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</si>
  <si>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</si>
  <si>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</si>
  <si>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</si>
  <si>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</si>
  <si>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</si>
  <si>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</si>
  <si>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</si>
  <si>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</si>
  <si>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</si>
  <si>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</si>
  <si>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</si>
  <si>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</si>
  <si>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</si>
  <si>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</si>
  <si>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</si>
  <si>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</si>
  <si>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</si>
  <si>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</si>
  <si>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</si>
  <si>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</si>
  <si>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</si>
  <si>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</si>
  <si>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</si>
  <si>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</si>
  <si>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</si>
  <si>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</si>
  <si>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</si>
  <si>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</si>
  <si>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</si>
  <si>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</si>
  <si>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</si>
  <si>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</si>
  <si>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</si>
  <si>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</si>
  <si>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</si>
  <si>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</si>
  <si>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</si>
  <si>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</si>
  <si>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</si>
  <si>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</si>
  <si>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</si>
  <si>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</si>
  <si>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</si>
  <si>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</si>
  <si>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</si>
  <si>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</si>
  <si>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</si>
  <si>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</si>
  <si>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</si>
  <si>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</si>
  <si>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</si>
  <si>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</si>
  <si>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</si>
  <si>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</si>
  <si>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</si>
  <si>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</si>
  <si>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</si>
  <si>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</si>
  <si>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</si>
  <si>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</si>
  <si>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</si>
  <si>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</si>
  <si>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</si>
  <si>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</si>
  <si>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</si>
  <si>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</si>
  <si>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</si>
  <si>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</si>
  <si>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</si>
  <si>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</si>
  <si>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</si>
  <si>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</si>
  <si>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</si>
  <si>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</si>
  <si>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</si>
  <si>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</si>
  <si>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</si>
  <si>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</si>
  <si>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</si>
  <si>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</si>
  <si>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</si>
  <si>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</si>
  <si>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</si>
  <si>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</si>
  <si>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</si>
  <si>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</si>
  <si>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</si>
  <si>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</si>
  <si>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</si>
  <si>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</si>
  <si>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</si>
  <si>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</si>
  <si>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</si>
  <si>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</si>
  <si>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</si>
  <si>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</si>
  <si>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</si>
  <si>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</si>
  <si>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</si>
  <si>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</si>
  <si>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</si>
  <si>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</si>
  <si>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</si>
  <si>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</si>
  <si>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</si>
  <si>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</si>
  <si>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</si>
  <si>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</si>
  <si>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</si>
  <si>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</si>
  <si>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</si>
  <si>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</si>
  <si>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</si>
  <si>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</si>
  <si>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</si>
  <si>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</si>
  <si>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</si>
  <si>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</si>
  <si>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</si>
  <si>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</si>
  <si>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</si>
  <si>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</si>
  <si>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</si>
  <si>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</si>
  <si>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</si>
  <si>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</si>
  <si>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</si>
  <si>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</si>
  <si>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</si>
  <si>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</si>
  <si>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</si>
  <si>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</si>
  <si>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</si>
  <si>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</si>
  <si>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</si>
  <si>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</si>
  <si>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</si>
  <si>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</si>
  <si>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</si>
  <si>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</si>
  <si>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</si>
  <si>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</si>
  <si>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</si>
  <si>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</si>
  <si>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</si>
  <si>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</si>
  <si>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</si>
  <si>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</si>
  <si>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</si>
  <si>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</si>
  <si>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</si>
  <si>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</si>
  <si>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</si>
  <si>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</si>
  <si>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</si>
  <si>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</si>
  <si>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</si>
  <si>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</si>
  <si>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</si>
  <si>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</si>
  <si>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</si>
  <si>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</si>
  <si>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</si>
  <si>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</si>
  <si>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</si>
  <si>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</si>
  <si>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</si>
  <si>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</si>
  <si>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</si>
  <si>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</si>
  <si>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</si>
  <si>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</si>
  <si>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</si>
  <si>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</si>
  <si>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</si>
  <si>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</si>
  <si>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</si>
  <si>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</si>
  <si>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</si>
  <si>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</si>
  <si>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</si>
  <si>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</si>
  <si>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</si>
  <si>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</si>
  <si>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</si>
  <si>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</si>
  <si>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</si>
  <si>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</si>
  <si>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</si>
  <si>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</si>
  <si>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</si>
  <si>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</si>
  <si>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</si>
  <si>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</si>
  <si>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</si>
  <si>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</si>
  <si>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</si>
  <si>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</si>
  <si>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</si>
  <si>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</si>
  <si>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</si>
  <si>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</si>
  <si>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</si>
  <si>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</si>
  <si>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</si>
  <si>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</si>
  <si>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</si>
  <si>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</si>
  <si>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</si>
  <si>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</si>
  <si>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</si>
  <si>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</si>
  <si>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</si>
  <si>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</si>
  <si>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</si>
  <si>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</si>
  <si>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</si>
  <si>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</si>
  <si>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</si>
  <si>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</si>
  <si>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</si>
  <si>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</si>
  <si>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</si>
  <si>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</si>
  <si>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</si>
  <si>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</si>
  <si>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</si>
  <si>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</si>
  <si>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</si>
  <si>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</si>
  <si>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</si>
  <si>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</si>
  <si>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</si>
  <si>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</si>
  <si>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</si>
  <si>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</si>
  <si>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</si>
  <si>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</si>
  <si>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</si>
  <si>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</si>
  <si>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</si>
  <si>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</si>
  <si>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</si>
  <si>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</si>
  <si>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</si>
  <si>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</si>
  <si>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</si>
  <si>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</si>
  <si>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</si>
  <si>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</si>
  <si>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</si>
  <si>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</si>
  <si>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</si>
  <si>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</si>
  <si>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</si>
  <si>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</si>
  <si>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</si>
  <si>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</si>
  <si>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</si>
  <si>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</si>
  <si>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</si>
  <si>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</si>
  <si>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</si>
  <si>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</si>
  <si>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</si>
  <si>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</si>
  <si>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</si>
  <si>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</si>
  <si>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</si>
  <si>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</si>
  <si>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</si>
  <si>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</si>
  <si>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</si>
  <si>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</si>
  <si>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</si>
  <si>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</si>
  <si>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</si>
  <si>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</si>
  <si>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</si>
  <si>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</si>
  <si>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</si>
  <si>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</si>
  <si>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</si>
  <si>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</si>
  <si>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</si>
  <si>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</si>
  <si>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</si>
  <si>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</si>
  <si>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</si>
  <si>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</si>
  <si>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</si>
  <si>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</si>
  <si>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</si>
  <si>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</si>
  <si>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</si>
  <si>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</si>
  <si>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</si>
  <si>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</si>
  <si>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</si>
  <si>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</si>
  <si>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</si>
  <si>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</si>
  <si>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</si>
  <si>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</si>
  <si>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</si>
  <si>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</si>
  <si>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</si>
  <si>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</si>
  <si>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</si>
  <si>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</si>
  <si>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</si>
  <si>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</si>
  <si>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</si>
  <si>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</si>
  <si>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</si>
  <si>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</si>
  <si>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</si>
  <si>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</si>
  <si>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</si>
  <si>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</si>
  <si>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</si>
  <si>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</si>
  <si>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</si>
  <si>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</si>
  <si>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</si>
  <si>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</si>
  <si>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</si>
  <si>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</si>
  <si>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</si>
  <si>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</si>
  <si>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</si>
  <si>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</si>
  <si>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</si>
  <si>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</si>
  <si>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</si>
  <si>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</si>
  <si>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</si>
  <si>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</si>
  <si>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</si>
  <si>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</si>
  <si>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</si>
  <si>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</si>
  <si>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</si>
  <si>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</si>
  <si>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</si>
  <si>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</si>
  <si>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</si>
  <si>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</si>
  <si>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</si>
  <si>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</si>
  <si>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</si>
  <si>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</si>
  <si>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</si>
  <si>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</si>
  <si>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</si>
  <si>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</si>
  <si>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</si>
  <si>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</si>
  <si>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</si>
  <si>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</si>
  <si>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</si>
  <si>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</si>
  <si>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</si>
  <si>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</si>
  <si>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</si>
  <si>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</si>
  <si>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</si>
  <si>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</si>
  <si>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</si>
  <si>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</si>
  <si>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</si>
  <si>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</si>
  <si>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</si>
  <si>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</si>
  <si>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</si>
  <si>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</si>
  <si>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</si>
  <si>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</si>
  <si>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</si>
  <si>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</si>
  <si>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</si>
  <si>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</si>
  <si>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</si>
  <si>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</si>
  <si>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</si>
  <si>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</si>
  <si>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</si>
  <si>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</si>
  <si>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</si>
  <si>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</si>
  <si>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</si>
  <si>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</si>
  <si>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</si>
  <si>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</si>
  <si>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</si>
  <si>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</si>
  <si>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</si>
  <si>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</si>
  <si>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</si>
  <si>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</si>
  <si>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</si>
  <si>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</si>
  <si>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</si>
  <si>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</si>
  <si>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</si>
  <si>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</si>
  <si>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</si>
  <si>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</si>
  <si>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</si>
  <si>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</si>
  <si>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</si>
  <si>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</si>
  <si>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</si>
  <si>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</si>
  <si>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</si>
  <si>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</si>
  <si>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</si>
  <si>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</si>
  <si>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</si>
  <si>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</si>
  <si>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</si>
  <si>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</si>
  <si>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</si>
  <si>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</si>
  <si>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</si>
  <si>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</si>
  <si>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</si>
  <si>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</si>
  <si>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</si>
  <si>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</si>
  <si>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</si>
  <si>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</si>
  <si>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</si>
  <si>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</si>
  <si>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</si>
  <si>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</si>
  <si>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</si>
  <si>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</si>
  <si>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</si>
  <si>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</si>
  <si>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</si>
  <si>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</si>
  <si>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</si>
  <si>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</si>
  <si>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</si>
  <si>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</si>
  <si>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</si>
  <si>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</si>
  <si>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</si>
  <si>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</si>
  <si>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</si>
  <si>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</si>
  <si>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</si>
  <si>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</si>
  <si>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</si>
  <si>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</si>
  <si>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</si>
  <si>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</si>
  <si>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</si>
  <si>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</si>
  <si>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</si>
  <si>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</si>
  <si>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</si>
  <si>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</si>
  <si>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</si>
  <si>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</si>
  <si>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</si>
  <si>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</si>
  <si>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</si>
  <si>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</si>
  <si>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</si>
  <si>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</si>
  <si>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</si>
  <si>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</si>
  <si>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</si>
  <si>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</si>
  <si>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</si>
  <si>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</si>
  <si>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</si>
  <si>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</si>
  <si>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</si>
  <si>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</si>
  <si>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</si>
  <si>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</si>
  <si>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</si>
  <si>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</si>
  <si>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</si>
  <si>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</si>
  <si>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</si>
  <si>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</si>
  <si>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</si>
  <si>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</si>
  <si>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</si>
  <si>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</si>
  <si>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</si>
  <si>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</si>
  <si>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</si>
  <si>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</si>
  <si>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</si>
  <si>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</si>
  <si>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</si>
  <si>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</si>
  <si>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</si>
  <si>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</si>
  <si>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</si>
  <si>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</si>
  <si>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</si>
  <si>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</si>
  <si>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</si>
  <si>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</si>
  <si>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</si>
  <si>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</si>
  <si>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</si>
  <si>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</si>
  <si>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</si>
  <si>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</si>
  <si>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</si>
  <si>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</si>
  <si>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</si>
  <si>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</si>
  <si>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</si>
  <si>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</si>
  <si>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</si>
  <si>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</si>
  <si>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</si>
  <si>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</si>
  <si>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</si>
  <si>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</si>
  <si>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</si>
  <si>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</si>
  <si>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</si>
  <si>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</si>
  <si>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</si>
  <si>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</si>
  <si>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</si>
  <si>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</si>
  <si>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</si>
  <si>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</si>
  <si>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</si>
  <si>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</si>
  <si>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</si>
  <si>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</si>
  <si>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</si>
  <si>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</si>
  <si>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</si>
  <si>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</si>
  <si>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</si>
  <si>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</si>
  <si>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</si>
  <si>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</si>
  <si>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</si>
  <si>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</si>
  <si>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</si>
  <si>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</si>
  <si>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</si>
  <si>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</si>
  <si>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</si>
  <si>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</si>
  <si>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</si>
  <si>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</si>
  <si>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</si>
  <si>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</si>
  <si>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</si>
  <si>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</si>
  <si>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</si>
  <si>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</si>
  <si>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</si>
  <si>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</si>
  <si>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</si>
  <si>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</si>
  <si>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</si>
  <si>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</si>
  <si>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</si>
  <si>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</si>
  <si>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</si>
  <si>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</si>
  <si>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</si>
  <si>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</si>
  <si>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</si>
  <si>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</si>
  <si>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</si>
  <si>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</si>
  <si>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</si>
  <si>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</si>
  <si>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</si>
  <si>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</si>
  <si>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</si>
  <si>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</si>
  <si>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</si>
  <si>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</si>
  <si>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</si>
  <si>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</si>
  <si>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</si>
  <si>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Augusto Peroco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</si>
</sst>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tabSelected="1" topLeftCell="A4" workbookViewId="0">
      <selection activeCell="J18" sqref="J18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32" t="s">
        <v>1538</v>
      </c>
      <c r="C1" s="133"/>
    </row>
    <row r="2" spans="2:3" ht="27.95" customHeight="1">
      <c r="B2" s="134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5" t="s">
        <v>1539</v>
      </c>
    </row>
    <row r="5" spans="2:3" ht="42" customHeight="1">
      <c r="B5" s="3" t="s">
        <v>1548</v>
      </c>
      <c r="C5" s="135"/>
    </row>
    <row r="6" spans="2:3" ht="42" customHeight="1">
      <c r="B6" s="119" t="s">
        <v>1540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50" zoomScaleNormal="15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66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5" customHeight="1">
      <c r="A3" s="5" t="s">
        <v>10</v>
      </c>
      <c r="B3" s="154" t="s">
        <v>11</v>
      </c>
      <c r="C3" s="133"/>
      <c r="D3" s="154" t="s">
        <v>12</v>
      </c>
      <c r="E3" s="133"/>
      <c r="F3" s="154" t="s">
        <v>13</v>
      </c>
      <c r="G3" s="133"/>
      <c r="H3" s="154" t="s">
        <v>14</v>
      </c>
      <c r="I3" s="133"/>
      <c r="J3" s="154" t="s">
        <v>15</v>
      </c>
      <c r="K3" s="133"/>
      <c r="L3" s="154" t="s">
        <v>16</v>
      </c>
      <c r="M3" s="133"/>
      <c r="N3" s="136" t="s">
        <v>17</v>
      </c>
      <c r="O3" s="133"/>
      <c r="P3" s="136" t="s">
        <v>18</v>
      </c>
      <c r="Q3" s="133"/>
      <c r="R3" s="136" t="s">
        <v>19</v>
      </c>
      <c r="S3" s="133"/>
      <c r="T3" s="136" t="s">
        <v>20</v>
      </c>
      <c r="U3" s="133"/>
      <c r="V3" s="136" t="s">
        <v>21</v>
      </c>
      <c r="W3" s="133"/>
      <c r="X3" s="136" t="s">
        <v>22</v>
      </c>
      <c r="Y3" s="133"/>
      <c r="Z3" s="160" t="s">
        <v>23</v>
      </c>
      <c r="AA3" s="133"/>
      <c r="AB3" s="160" t="s">
        <v>24</v>
      </c>
      <c r="AC3" s="133"/>
      <c r="AD3" s="160" t="s">
        <v>25</v>
      </c>
      <c r="AE3" s="133"/>
      <c r="AF3" s="160" t="s">
        <v>26</v>
      </c>
      <c r="AG3" s="133"/>
      <c r="AH3" s="160" t="s">
        <v>27</v>
      </c>
      <c r="AI3" s="133"/>
      <c r="AJ3" s="160" t="s">
        <v>28</v>
      </c>
      <c r="AK3" s="133"/>
      <c r="AL3" s="137" t="s">
        <v>29</v>
      </c>
      <c r="AM3" s="133"/>
      <c r="AN3" s="137" t="s">
        <v>30</v>
      </c>
      <c r="AO3" s="133"/>
      <c r="AP3" s="137" t="s">
        <v>31</v>
      </c>
      <c r="AQ3" s="133"/>
      <c r="AR3" s="137" t="s">
        <v>32</v>
      </c>
      <c r="AS3" s="133"/>
      <c r="AT3" s="137" t="s">
        <v>33</v>
      </c>
      <c r="AU3" s="133"/>
      <c r="AV3" s="137" t="s">
        <v>34</v>
      </c>
      <c r="AW3" s="133"/>
      <c r="AX3" s="149" t="s">
        <v>35</v>
      </c>
      <c r="AY3" s="133"/>
      <c r="AZ3" s="149" t="s">
        <v>36</v>
      </c>
      <c r="BA3" s="133"/>
      <c r="BB3" s="149" t="s">
        <v>37</v>
      </c>
      <c r="BC3" s="133"/>
      <c r="BD3" s="149" t="s">
        <v>38</v>
      </c>
      <c r="BE3" s="133"/>
      <c r="BF3" s="149" t="s">
        <v>39</v>
      </c>
      <c r="BG3" s="133"/>
      <c r="BH3" s="149" t="s">
        <v>40</v>
      </c>
      <c r="BI3" s="133"/>
      <c r="BJ3" s="139" t="s">
        <v>41</v>
      </c>
      <c r="BK3" s="133"/>
      <c r="BL3" s="139" t="s">
        <v>42</v>
      </c>
      <c r="BM3" s="133"/>
      <c r="BN3" s="139" t="s">
        <v>43</v>
      </c>
      <c r="BO3" s="133"/>
      <c r="BP3" s="139" t="s">
        <v>44</v>
      </c>
      <c r="BQ3" s="133"/>
      <c r="BR3" s="139" t="s">
        <v>45</v>
      </c>
      <c r="BS3" s="133"/>
      <c r="BT3" s="139" t="s">
        <v>46</v>
      </c>
      <c r="BU3" s="133"/>
      <c r="BV3" s="140" t="s">
        <v>47</v>
      </c>
      <c r="BW3" s="133"/>
      <c r="BX3" s="140" t="s">
        <v>48</v>
      </c>
      <c r="BY3" s="133"/>
      <c r="BZ3" s="140" t="s">
        <v>49</v>
      </c>
      <c r="CA3" s="133"/>
      <c r="CB3" s="140" t="s">
        <v>50</v>
      </c>
      <c r="CC3" s="133"/>
      <c r="CD3" s="140" t="s">
        <v>51</v>
      </c>
      <c r="CE3" s="133"/>
      <c r="CF3" s="140" t="s">
        <v>52</v>
      </c>
      <c r="CG3" s="133"/>
      <c r="CH3" s="144" t="s">
        <v>53</v>
      </c>
      <c r="CI3" s="133"/>
      <c r="CJ3" s="144" t="s">
        <v>54</v>
      </c>
      <c r="CK3" s="133"/>
      <c r="CL3" s="144" t="s">
        <v>55</v>
      </c>
      <c r="CM3" s="133"/>
      <c r="CN3" s="144" t="s">
        <v>56</v>
      </c>
      <c r="CO3" s="133"/>
      <c r="CP3" s="144" t="s">
        <v>57</v>
      </c>
      <c r="CQ3" s="133"/>
      <c r="CR3" s="144" t="s">
        <v>58</v>
      </c>
      <c r="CS3" s="133"/>
      <c r="CT3" s="145" t="s">
        <v>59</v>
      </c>
      <c r="CU3" s="133"/>
      <c r="CV3" s="145" t="s">
        <v>60</v>
      </c>
      <c r="CW3" s="133"/>
      <c r="CX3" s="145" t="s">
        <v>61</v>
      </c>
      <c r="CY3" s="133"/>
      <c r="CZ3" s="145" t="s">
        <v>62</v>
      </c>
      <c r="DA3" s="133"/>
      <c r="DB3" s="145" t="s">
        <v>63</v>
      </c>
      <c r="DC3" s="133"/>
      <c r="DD3" s="145" t="s">
        <v>64</v>
      </c>
      <c r="DE3" s="133"/>
      <c r="DF3" s="148" t="s">
        <v>65</v>
      </c>
      <c r="DG3" s="133"/>
      <c r="DH3" s="148" t="s">
        <v>66</v>
      </c>
      <c r="DI3" s="133"/>
      <c r="DJ3" s="148" t="s">
        <v>67</v>
      </c>
      <c r="DK3" s="133"/>
      <c r="DL3" s="148" t="s">
        <v>68</v>
      </c>
      <c r="DM3" s="133"/>
      <c r="DN3" s="148" t="s">
        <v>69</v>
      </c>
      <c r="DO3" s="133"/>
      <c r="DP3" s="148" t="s">
        <v>70</v>
      </c>
      <c r="DQ3" s="133"/>
      <c r="DR3" s="147" t="s">
        <v>71</v>
      </c>
      <c r="DS3" s="133"/>
      <c r="DT3" s="147" t="s">
        <v>72</v>
      </c>
      <c r="DU3" s="133"/>
      <c r="DV3" s="147" t="s">
        <v>73</v>
      </c>
      <c r="DW3" s="133"/>
      <c r="DX3" s="147" t="s">
        <v>74</v>
      </c>
      <c r="DY3" s="133"/>
      <c r="DZ3" s="147" t="s">
        <v>75</v>
      </c>
      <c r="EA3" s="133"/>
      <c r="EB3" s="147" t="s">
        <v>76</v>
      </c>
      <c r="EC3" s="133"/>
      <c r="ED3" s="143" t="s">
        <v>77</v>
      </c>
      <c r="EE3" s="133"/>
      <c r="EF3" s="143" t="s">
        <v>78</v>
      </c>
      <c r="EG3" s="133"/>
      <c r="EH3" s="143" t="s">
        <v>79</v>
      </c>
      <c r="EI3" s="133"/>
      <c r="EJ3" s="143" t="s">
        <v>80</v>
      </c>
      <c r="EK3" s="133"/>
      <c r="EL3" s="143" t="s">
        <v>81</v>
      </c>
      <c r="EM3" s="133"/>
      <c r="EN3" s="143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3</v>
      </c>
      <c r="C5" s="121">
        <v>1</v>
      </c>
      <c r="D5" s="121">
        <v>2</v>
      </c>
      <c r="E5" s="121">
        <v>0</v>
      </c>
      <c r="F5" s="121">
        <v>1</v>
      </c>
      <c r="G5" s="121">
        <v>1</v>
      </c>
      <c r="H5" s="121">
        <v>2</v>
      </c>
      <c r="I5" s="121">
        <v>2</v>
      </c>
      <c r="J5" s="121">
        <v>0</v>
      </c>
      <c r="K5" s="121">
        <v>4</v>
      </c>
      <c r="L5" s="121">
        <v>1</v>
      </c>
      <c r="M5" s="121">
        <v>0</v>
      </c>
      <c r="N5" s="121">
        <v>0</v>
      </c>
      <c r="O5" s="121">
        <v>0</v>
      </c>
      <c r="P5" s="121">
        <v>0</v>
      </c>
      <c r="Q5" s="121">
        <v>1</v>
      </c>
      <c r="R5" s="121">
        <v>2</v>
      </c>
      <c r="S5" s="121">
        <v>0</v>
      </c>
      <c r="T5" s="121">
        <v>2</v>
      </c>
      <c r="U5" s="121">
        <v>2</v>
      </c>
      <c r="V5" s="121">
        <v>1</v>
      </c>
      <c r="W5" s="121">
        <v>2</v>
      </c>
      <c r="X5" s="121">
        <v>1</v>
      </c>
      <c r="Y5" s="121">
        <v>3</v>
      </c>
      <c r="Z5" s="121">
        <v>2</v>
      </c>
      <c r="AA5" s="121">
        <v>1</v>
      </c>
      <c r="AB5" s="121">
        <v>0</v>
      </c>
      <c r="AC5" s="121">
        <v>4</v>
      </c>
      <c r="AD5" s="121">
        <v>2</v>
      </c>
      <c r="AE5" s="121">
        <v>0</v>
      </c>
      <c r="AF5" s="121">
        <v>6</v>
      </c>
      <c r="AG5" s="121">
        <v>1</v>
      </c>
      <c r="AH5" s="121">
        <v>2</v>
      </c>
      <c r="AI5" s="121">
        <v>3</v>
      </c>
      <c r="AJ5" s="121">
        <v>2</v>
      </c>
      <c r="AK5" s="121">
        <v>2</v>
      </c>
      <c r="AL5" s="121">
        <v>1</v>
      </c>
      <c r="AM5" s="121">
        <v>0</v>
      </c>
      <c r="AN5" s="121">
        <v>0</v>
      </c>
      <c r="AO5" s="121">
        <v>0</v>
      </c>
      <c r="AP5" s="121">
        <v>2</v>
      </c>
      <c r="AQ5" s="121">
        <v>2</v>
      </c>
      <c r="AR5" s="121">
        <v>0</v>
      </c>
      <c r="AS5" s="121">
        <v>0</v>
      </c>
      <c r="AT5" s="121">
        <v>0</v>
      </c>
      <c r="AU5" s="121">
        <v>3</v>
      </c>
      <c r="AV5" s="121">
        <v>2</v>
      </c>
      <c r="AW5" s="121">
        <v>0</v>
      </c>
      <c r="AX5" s="121">
        <v>3</v>
      </c>
      <c r="AY5" s="121">
        <v>1</v>
      </c>
      <c r="AZ5" s="121">
        <v>2</v>
      </c>
      <c r="BA5" s="121">
        <v>0</v>
      </c>
      <c r="BB5" s="121">
        <v>3</v>
      </c>
      <c r="BC5" s="121">
        <v>1</v>
      </c>
      <c r="BD5" s="121">
        <v>1</v>
      </c>
      <c r="BE5" s="121">
        <v>0</v>
      </c>
      <c r="BF5" s="121">
        <v>0</v>
      </c>
      <c r="BG5" s="121">
        <v>4</v>
      </c>
      <c r="BH5" s="121">
        <v>1</v>
      </c>
      <c r="BI5" s="121">
        <v>1</v>
      </c>
      <c r="BJ5" s="121">
        <v>2</v>
      </c>
      <c r="BK5" s="121">
        <v>2</v>
      </c>
      <c r="BL5" s="121">
        <v>0</v>
      </c>
      <c r="BM5" s="121">
        <v>0</v>
      </c>
      <c r="BN5" s="121">
        <v>2</v>
      </c>
      <c r="BO5" s="121">
        <v>1</v>
      </c>
      <c r="BP5" s="121">
        <v>0</v>
      </c>
      <c r="BQ5" s="121">
        <v>2</v>
      </c>
      <c r="BR5" s="121">
        <v>0</v>
      </c>
      <c r="BS5" s="121">
        <v>1</v>
      </c>
      <c r="BT5" s="121">
        <v>0</v>
      </c>
      <c r="BU5" s="121">
        <v>3</v>
      </c>
      <c r="BV5" s="121">
        <v>1</v>
      </c>
      <c r="BW5" s="121">
        <v>1</v>
      </c>
      <c r="BX5" s="121">
        <v>2</v>
      </c>
      <c r="BY5" s="121">
        <v>2</v>
      </c>
      <c r="BZ5" s="121">
        <v>2</v>
      </c>
      <c r="CA5" s="121">
        <v>0</v>
      </c>
      <c r="CB5" s="121">
        <v>1</v>
      </c>
      <c r="CC5" s="121">
        <v>2</v>
      </c>
      <c r="CD5" s="121">
        <v>1</v>
      </c>
      <c r="CE5" s="121">
        <v>0</v>
      </c>
      <c r="CF5" s="121">
        <v>1</v>
      </c>
      <c r="CG5" s="121">
        <v>2</v>
      </c>
      <c r="CH5" s="121">
        <v>3</v>
      </c>
      <c r="CI5" s="121">
        <v>1</v>
      </c>
      <c r="CJ5" s="121">
        <v>0</v>
      </c>
      <c r="CK5" s="121">
        <v>0</v>
      </c>
      <c r="CL5" s="121">
        <v>1</v>
      </c>
      <c r="CM5" s="121">
        <v>0</v>
      </c>
      <c r="CN5" s="121">
        <v>2</v>
      </c>
      <c r="CO5" s="121">
        <v>1</v>
      </c>
      <c r="CP5" s="121">
        <v>0</v>
      </c>
      <c r="CQ5" s="121">
        <v>1</v>
      </c>
      <c r="CR5" s="121">
        <v>0</v>
      </c>
      <c r="CS5" s="121">
        <v>3</v>
      </c>
      <c r="CT5" s="121">
        <v>3</v>
      </c>
      <c r="CU5" s="121">
        <v>0</v>
      </c>
      <c r="CV5" s="121">
        <v>1</v>
      </c>
      <c r="CW5" s="121">
        <v>0</v>
      </c>
      <c r="CX5" s="121">
        <v>1</v>
      </c>
      <c r="CY5" s="121">
        <v>0</v>
      </c>
      <c r="CZ5" s="121">
        <v>2</v>
      </c>
      <c r="DA5" s="121">
        <v>2</v>
      </c>
      <c r="DB5" s="121">
        <v>1</v>
      </c>
      <c r="DC5" s="121">
        <v>3</v>
      </c>
      <c r="DD5" s="121">
        <v>1</v>
      </c>
      <c r="DE5" s="121">
        <v>3</v>
      </c>
      <c r="DF5" s="121">
        <v>5</v>
      </c>
      <c r="DG5" s="121">
        <v>0</v>
      </c>
      <c r="DH5" s="121">
        <v>2</v>
      </c>
      <c r="DI5" s="121">
        <v>2</v>
      </c>
      <c r="DJ5" s="121">
        <v>2</v>
      </c>
      <c r="DK5" s="121">
        <v>1</v>
      </c>
      <c r="DL5" s="121">
        <v>0</v>
      </c>
      <c r="DM5" s="121">
        <v>1</v>
      </c>
      <c r="DN5" s="121">
        <v>1</v>
      </c>
      <c r="DO5" s="121">
        <v>1</v>
      </c>
      <c r="DP5" s="121">
        <v>1</v>
      </c>
      <c r="DQ5" s="121">
        <v>3</v>
      </c>
      <c r="DR5" s="121">
        <v>2</v>
      </c>
      <c r="DS5" s="121">
        <v>0</v>
      </c>
      <c r="DT5" s="121">
        <v>0</v>
      </c>
      <c r="DU5" s="121">
        <v>1</v>
      </c>
      <c r="DV5" s="121">
        <v>3</v>
      </c>
      <c r="DW5" s="121">
        <v>0</v>
      </c>
      <c r="DX5" s="121">
        <v>0</v>
      </c>
      <c r="DY5" s="121">
        <v>0</v>
      </c>
      <c r="DZ5" s="121">
        <v>0</v>
      </c>
      <c r="EA5" s="121">
        <v>0</v>
      </c>
      <c r="EB5" s="121">
        <v>0</v>
      </c>
      <c r="EC5" s="121">
        <v>1</v>
      </c>
      <c r="ED5" s="121">
        <v>2</v>
      </c>
      <c r="EE5" s="121">
        <v>0</v>
      </c>
      <c r="EF5" s="121">
        <v>1</v>
      </c>
      <c r="EG5" s="121">
        <v>1</v>
      </c>
      <c r="EH5" s="121">
        <v>3</v>
      </c>
      <c r="EI5" s="121">
        <v>0</v>
      </c>
      <c r="EJ5" s="121">
        <v>0</v>
      </c>
      <c r="EK5" s="121">
        <v>3</v>
      </c>
      <c r="EL5" s="121">
        <v>0</v>
      </c>
      <c r="EM5" s="121">
        <v>5</v>
      </c>
      <c r="EN5" s="121">
        <v>4</v>
      </c>
      <c r="EO5" s="121">
        <v>1</v>
      </c>
    </row>
    <row r="7" spans="1:145" ht="21.95" customHeight="1">
      <c r="A7" s="165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5" customHeight="1">
      <c r="A8" s="159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53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46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55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55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55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50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9</v>
      </c>
      <c r="N10" s="23">
        <f>IFERROR(INDEX(Calc!$F$3:$F$6,MATCH(1,Calc!$J$3:$J$6,0)),0)</f>
        <v>3</v>
      </c>
      <c r="O10" s="23">
        <f>IFERROR(INDEX(Calc!$G$3:$G$6,MATCH(1,Calc!$J$3:$J$6,0)),0)</f>
        <v>6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0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6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0</v>
      </c>
      <c r="AB10" s="23">
        <f>IFERROR(INDEX(Calc!$L$7:$L$10,MATCH(1,Calc!$J$7:$J$10,0)),0)</f>
        <v>1</v>
      </c>
      <c r="AC10" s="23">
        <f>IFERROR(INDEX(Calc!$E$7:$E$10,MATCH(1,Calc!$J$7:$J$10,0)),0)</f>
        <v>4</v>
      </c>
      <c r="AD10" s="23">
        <f>IFERROR(INDEX(Calc!$F$7:$F$10,MATCH(1,Calc!$J$7:$J$10,0)),0)</f>
        <v>2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67</v>
      </c>
      <c r="AG10" s="22">
        <v>1</v>
      </c>
      <c r="AH10" s="150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11</v>
      </c>
      <c r="AT10" s="23">
        <f>IFERROR(INDEX(Calc!$F$11:$F$14,MATCH(1,Calc!$J$11:$J$14,0)),0)</f>
        <v>4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38" t="str">
        <f>IFERROR(INDEX(Calc!$B$3:$B$6,MATCH(2,Calc!$J$3:$J$6,0)),"?")</f>
        <v>Coreia do Sul</v>
      </c>
      <c r="C11" s="133"/>
      <c r="D11" s="133"/>
      <c r="E11" s="133"/>
      <c r="F11" s="133"/>
      <c r="G11" s="133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38" t="str">
        <f>IFERROR(INDEX(Calc!$B$7:$B$10,MATCH(2,Calc!$J$7:$J$10,0)),"?")</f>
        <v>Canada</v>
      </c>
      <c r="S11" s="133"/>
      <c r="T11" s="133"/>
      <c r="U11" s="133"/>
      <c r="V11" s="133"/>
      <c r="W11" s="133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38" t="str">
        <f>IFERROR(INDEX(Calc!$B$11:$B$14,MATCH(2,Calc!$J$11:$J$14,0)),"?")</f>
        <v>Escocia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8</v>
      </c>
      <c r="AT11" s="25">
        <f>IFERROR(INDEX(Calc!$F$11:$F$14,MATCH(2,Calc!$J$11:$J$14,0)),0)</f>
        <v>3</v>
      </c>
      <c r="AU11" s="25">
        <f>IFERROR(INDEX(Calc!$G$11:$G$14,MATCH(2,Calc!$J$11:$J$14,0)),0)</f>
        <v>5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2" t="str">
        <f>IFERROR(INDEX(Calc!$B$3:$B$6,MATCH(3,Calc!$J$3:$J$6,0)),"?")</f>
        <v>Africa do Sul</v>
      </c>
      <c r="C12" s="133"/>
      <c r="D12" s="133"/>
      <c r="E12" s="133"/>
      <c r="F12" s="133"/>
      <c r="G12" s="133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2" t="str">
        <f>IFERROR(INDEX(Calc!$B$7:$B$10,MATCH(3,Calc!$J$7:$J$10,0)),"?")</f>
        <v>Qatar</v>
      </c>
      <c r="S12" s="133"/>
      <c r="T12" s="133"/>
      <c r="U12" s="133"/>
      <c r="V12" s="133"/>
      <c r="W12" s="133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5</v>
      </c>
      <c r="AD12" s="27">
        <f>IFERROR(INDEX(Calc!$F$7:$F$10,MATCH(3,Calc!$J$7:$J$10,0)),0)</f>
        <v>4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52" t="str">
        <f>IFERROR(INDEX(Calc!$B$11:$B$14,MATCH(3,Calc!$J$11:$J$14,0)),"?")</f>
        <v>Marrocos</v>
      </c>
      <c r="AI12" s="133"/>
      <c r="AJ12" s="133"/>
      <c r="AK12" s="133"/>
      <c r="AL12" s="133"/>
      <c r="AM12" s="133"/>
      <c r="AN12" s="27">
        <f>IFERROR(INDEX(Calc!$H$11:$H$14,MATCH(3,Calc!$J$11:$J$14,0)),0)</f>
        <v>1</v>
      </c>
      <c r="AO12" s="27">
        <f>IFERROR(INDEX(Calc!$K$11:$K$14,MATCH(3,Calc!$J$11:$J$14,0)),0)</f>
        <v>3</v>
      </c>
      <c r="AP12" s="27">
        <f>IFERROR(INDEX(Calc!$C$11:$C$14,MATCH(3,Calc!$J$11:$J$14,0)),0)</f>
        <v>0</v>
      </c>
      <c r="AQ12" s="27">
        <f>IFERROR(INDEX(Calc!$D$11:$D$14,MATCH(3,Calc!$J$11:$J$14,0)),0)</f>
        <v>1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6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11</v>
      </c>
    </row>
    <row r="13" spans="1:145" ht="18" customHeight="1">
      <c r="A13" s="28">
        <v>4</v>
      </c>
      <c r="B13" s="151" t="str">
        <f>IFERROR(INDEX(Calc!$B$3:$B$6,MATCH(4,Calc!$J$3:$J$6,0)),"?")</f>
        <v>Tchequia</v>
      </c>
      <c r="C13" s="133"/>
      <c r="D13" s="133"/>
      <c r="E13" s="133"/>
      <c r="F13" s="133"/>
      <c r="G13" s="133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7</v>
      </c>
      <c r="O13" s="29">
        <f>IFERROR(INDEX(Calc!$G$3:$G$6,MATCH(4,Calc!$J$3:$J$6,0)),0)</f>
        <v>-6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51" t="str">
        <f>IFERROR(INDEX(Calc!$B$7:$B$10,MATCH(4,Calc!$J$7:$J$10,0)),"?")</f>
        <v>Bosnia e Herzegovina</v>
      </c>
      <c r="S13" s="133"/>
      <c r="T13" s="133"/>
      <c r="U13" s="133"/>
      <c r="V13" s="133"/>
      <c r="W13" s="133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5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51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1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1</v>
      </c>
      <c r="AR13" s="29">
        <f>IFERROR(INDEX(Calc!$L$11:$L$14,MATCH(4,Calc!$J$11:$J$14,0)),0)</f>
        <v>2</v>
      </c>
      <c r="AS13" s="29">
        <f>IFERROR(INDEX(Calc!$E$11:$E$14,MATCH(4,Calc!$J$11:$J$14,0)),0)</f>
        <v>3</v>
      </c>
      <c r="AT13" s="29">
        <f>IFERROR(INDEX(Calc!$F$11:$F$14,MATCH(4,Calc!$J$11:$J$14,0)),0)</f>
        <v>12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11</v>
      </c>
    </row>
    <row r="15" spans="1:145" ht="21.95" customHeight="1">
      <c r="A15" s="142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67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41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55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55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55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50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0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2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0" t="str">
        <f>IFERROR(INDEX(Calc!$B$23:$B$26,MATCH(1,Calc!$J$23:$J$26,0)),"?")</f>
        <v>Holanda</v>
      </c>
      <c r="AI17" s="133"/>
      <c r="AJ17" s="133"/>
      <c r="AK17" s="133"/>
      <c r="AL17" s="133"/>
      <c r="AM17" s="133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3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38" t="str">
        <f>IFERROR(INDEX(Calc!$B$15:$B$18,MATCH(2,Calc!$J$15:$J$18,0)),"?")</f>
        <v>Paraguai</v>
      </c>
      <c r="C18" s="133"/>
      <c r="D18" s="133"/>
      <c r="E18" s="133"/>
      <c r="F18" s="133"/>
      <c r="G18" s="133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2</v>
      </c>
      <c r="N18" s="25">
        <f>IFERROR(INDEX(Calc!$F$15:$F$18,MATCH(2,Calc!$J$15:$J$18,0)),0)</f>
        <v>1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38" t="str">
        <f>IFERROR(INDEX(Calc!$B$19:$B$22,MATCH(2,Calc!$J$19:$J$22,0)),"?")</f>
        <v>Costa do Marfim</v>
      </c>
      <c r="S18" s="133"/>
      <c r="T18" s="133"/>
      <c r="U18" s="133"/>
      <c r="V18" s="133"/>
      <c r="W18" s="133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4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38" t="str">
        <f>IFERROR(INDEX(Calc!$B$23:$B$26,MATCH(2,Calc!$J$23:$J$26,0)),"?")</f>
        <v>Japao</v>
      </c>
      <c r="AI18" s="133"/>
      <c r="AJ18" s="133"/>
      <c r="AK18" s="133"/>
      <c r="AL18" s="133"/>
      <c r="AM18" s="133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2" t="str">
        <f>IFERROR(INDEX(Calc!$B$15:$B$18,MATCH(3,Calc!$J$15:$J$18,0)),"?")</f>
        <v>Australia</v>
      </c>
      <c r="C19" s="133"/>
      <c r="D19" s="133"/>
      <c r="E19" s="133"/>
      <c r="F19" s="133"/>
      <c r="G19" s="133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4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52" t="str">
        <f>IFERROR(INDEX(Calc!$B$19:$B$22,MATCH(3,Calc!$J$19:$J$22,0)),"?")</f>
        <v>Equador</v>
      </c>
      <c r="S19" s="133"/>
      <c r="T19" s="133"/>
      <c r="U19" s="133"/>
      <c r="V19" s="133"/>
      <c r="W19" s="133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1</v>
      </c>
      <c r="AD19" s="27">
        <f>IFERROR(INDEX(Calc!$F$19:$F$22,MATCH(3,Calc!$J$19:$J$22,0)),0)</f>
        <v>6</v>
      </c>
      <c r="AE19" s="27">
        <f>IFERROR(INDEX(Calc!$G$19:$G$22,MATCH(3,Calc!$J$19:$J$22,0)),0)</f>
        <v>-5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52" t="str">
        <f>IFERROR(INDEX(Calc!$B$23:$B$26,MATCH(3,Calc!$J$23:$J$26,0)),"?")</f>
        <v>Suecia</v>
      </c>
      <c r="AI19" s="133"/>
      <c r="AJ19" s="133"/>
      <c r="AK19" s="133"/>
      <c r="AL19" s="133"/>
      <c r="AM19" s="133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2</v>
      </c>
      <c r="AT19" s="27">
        <f>IFERROR(INDEX(Calc!$F$23:$F$26,MATCH(3,Calc!$J$23:$J$26,0)),0)</f>
        <v>2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51" t="str">
        <f>IFERROR(INDEX(Calc!$B$15:$B$18,MATCH(4,Calc!$J$15:$J$18,0)),"?")</f>
        <v>Turquia</v>
      </c>
      <c r="C20" s="133"/>
      <c r="D20" s="133"/>
      <c r="E20" s="133"/>
      <c r="F20" s="133"/>
      <c r="G20" s="133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0</v>
      </c>
      <c r="N20" s="29">
        <f>IFERROR(INDEX(Calc!$F$15:$F$18,MATCH(4,Calc!$J$15:$J$18,0)),0)</f>
        <v>3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51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2</v>
      </c>
      <c r="AD20" s="29">
        <f>IFERROR(INDEX(Calc!$F$19:$F$22,MATCH(4,Calc!$J$19:$J$22,0)),0)</f>
        <v>5</v>
      </c>
      <c r="AE20" s="29">
        <f>IFERROR(INDEX(Calc!$G$19:$G$22,MATCH(4,Calc!$J$19:$J$22,0)),0)</f>
        <v>-3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51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163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62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57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55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55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55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50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2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50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1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0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38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38" t="str">
        <f>IFERROR(INDEX(Calc!$B$31:$B$34,MATCH(2,Calc!$J$31:$J$34,0)),"?")</f>
        <v>Arabia Saudita</v>
      </c>
      <c r="S25" s="133"/>
      <c r="T25" s="133"/>
      <c r="U25" s="133"/>
      <c r="V25" s="133"/>
      <c r="W25" s="133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1</v>
      </c>
      <c r="AD25" s="25">
        <f>IFERROR(INDEX(Calc!$F$31:$F$34,MATCH(2,Calc!$J$31:$J$34,0)),0)</f>
        <v>1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38" t="str">
        <f>IFERROR(INDEX(Calc!$B$35:$B$38,MATCH(2,Calc!$J$35:$J$38,0)),"?")</f>
        <v>Iraque</v>
      </c>
      <c r="AI25" s="133"/>
      <c r="AJ25" s="133"/>
      <c r="AK25" s="133"/>
      <c r="AL25" s="133"/>
      <c r="AM25" s="133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2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2" t="str">
        <f>IFERROR(INDEX(Calc!$B$27:$B$30,MATCH(3,Calc!$J$27:$J$30,0)),"?")</f>
        <v>Nova Zelandia</v>
      </c>
      <c r="C26" s="133"/>
      <c r="D26" s="133"/>
      <c r="E26" s="133"/>
      <c r="F26" s="133"/>
      <c r="G26" s="133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6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52" t="str">
        <f>IFERROR(INDEX(Calc!$B$31:$B$34,MATCH(3,Calc!$J$31:$J$34,0)),"?")</f>
        <v>Uruguai</v>
      </c>
      <c r="S26" s="133"/>
      <c r="T26" s="133"/>
      <c r="U26" s="133"/>
      <c r="V26" s="133"/>
      <c r="W26" s="133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2</v>
      </c>
      <c r="AD26" s="27">
        <f>IFERROR(INDEX(Calc!$F$31:$F$34,MATCH(3,Calc!$J$31:$J$34,0)),0)</f>
        <v>4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52" t="str">
        <f>IFERROR(INDEX(Calc!$B$35:$B$38,MATCH(3,Calc!$J$35:$J$38,0)),"?")</f>
        <v>Noruega</v>
      </c>
      <c r="AI26" s="133"/>
      <c r="AJ26" s="133"/>
      <c r="AK26" s="133"/>
      <c r="AL26" s="133"/>
      <c r="AM26" s="133"/>
      <c r="AN26" s="27">
        <f>IFERROR(INDEX(Calc!$H$35:$H$38,MATCH(3,Calc!$J$35:$J$38,0)),0)</f>
        <v>1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1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6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11</v>
      </c>
    </row>
    <row r="27" spans="1:48" ht="18" customHeight="1">
      <c r="A27" s="28">
        <v>4</v>
      </c>
      <c r="B27" s="151" t="str">
        <f>IFERROR(INDEX(Calc!$B$27:$B$30,MATCH(4,Calc!$J$27:$J$30,0)),"?")</f>
        <v>Ira</v>
      </c>
      <c r="C27" s="133"/>
      <c r="D27" s="133"/>
      <c r="E27" s="133"/>
      <c r="F27" s="133"/>
      <c r="G27" s="133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2</v>
      </c>
      <c r="N27" s="29">
        <f>IFERROR(INDEX(Calc!$F$27:$F$30,MATCH(4,Calc!$J$27:$J$30,0)),0)</f>
        <v>5</v>
      </c>
      <c r="O27" s="29">
        <f>IFERROR(INDEX(Calc!$G$27:$G$30,MATCH(4,Calc!$J$27:$J$30,0)),0)</f>
        <v>-3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51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2</v>
      </c>
      <c r="AD27" s="29">
        <f>IFERROR(INDEX(Calc!$F$31:$F$34,MATCH(4,Calc!$J$31:$J$34,0)),0)</f>
        <v>6</v>
      </c>
      <c r="AE27" s="29">
        <f>IFERROR(INDEX(Calc!$G$31:$G$34,MATCH(4,Calc!$J$31:$J$34,0)),0)</f>
        <v>-4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51" t="str">
        <f>IFERROR(INDEX(Calc!$B$35:$B$38,MATCH(4,Calc!$J$35:$J$38,0)),"?")</f>
        <v>Senegal</v>
      </c>
      <c r="AI27" s="133"/>
      <c r="AJ27" s="133"/>
      <c r="AK27" s="133"/>
      <c r="AL27" s="133"/>
      <c r="AM27" s="133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3</v>
      </c>
      <c r="AT27" s="29">
        <f>IFERROR(INDEX(Calc!$F$35:$F$38,MATCH(4,Calc!$J$35:$J$38,0)),0)</f>
        <v>8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11</v>
      </c>
    </row>
    <row r="29" spans="1:48" ht="21.95" customHeight="1">
      <c r="A29" s="164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61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56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55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55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55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50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10</v>
      </c>
      <c r="N31" s="23">
        <f>IFERROR(INDEX(Calc!$F$39:$F$42,MATCH(1,Calc!$J$39:$J$42,0)),0)</f>
        <v>2</v>
      </c>
      <c r="O31" s="23">
        <f>IFERROR(INDEX(Calc!$G$39:$G$42,MATCH(1,Calc!$J$39:$J$42,0)),0)</f>
        <v>8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0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5</v>
      </c>
      <c r="AD31" s="23">
        <f>IFERROR(INDEX(Calc!$F$43:$F$46,MATCH(1,Calc!$J$43:$J$46,0)),0)</f>
        <v>0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0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10</v>
      </c>
      <c r="AT31" s="23">
        <f>IFERROR(INDEX(Calc!$F$47:$F$50,MATCH(1,Calc!$J$47:$J$50,0)),0)</f>
        <v>0</v>
      </c>
      <c r="AU31" s="23">
        <f>IFERROR(INDEX(Calc!$G$47:$G$50,MATCH(1,Calc!$J$47:$J$50,0)),0)</f>
        <v>10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38" t="str">
        <f>IFERROR(INDEX(Calc!$B$39:$B$42,MATCH(2,Calc!$J$39:$J$42,0)),"?")</f>
        <v>Argelia</v>
      </c>
      <c r="C32" s="133"/>
      <c r="D32" s="133"/>
      <c r="E32" s="133"/>
      <c r="F32" s="133"/>
      <c r="G32" s="133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6</v>
      </c>
      <c r="O32" s="25">
        <f>IFERROR(INDEX(Calc!$G$39:$G$42,MATCH(2,Calc!$J$39:$J$42,0)),0)</f>
        <v>-4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38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1</v>
      </c>
      <c r="AD32" s="25">
        <f>IFERROR(INDEX(Calc!$F$43:$F$46,MATCH(2,Calc!$J$43:$J$46,0)),0)</f>
        <v>0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38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7</v>
      </c>
      <c r="AT32" s="25">
        <f>IFERROR(INDEX(Calc!$F$47:$F$50,MATCH(2,Calc!$J$47:$J$50,0)),0)</f>
        <v>3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2" t="str">
        <f>IFERROR(INDEX(Calc!$B$39:$B$42,MATCH(3,Calc!$J$39:$J$42,0)),"?")</f>
        <v>Austria</v>
      </c>
      <c r="C33" s="133"/>
      <c r="D33" s="133"/>
      <c r="E33" s="133"/>
      <c r="F33" s="133"/>
      <c r="G33" s="133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5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52" t="str">
        <f>IFERROR(INDEX(Calc!$B$43:$B$46,MATCH(3,Calc!$J$43:$J$46,0)),"?")</f>
        <v>Uzbequistao</v>
      </c>
      <c r="S33" s="133"/>
      <c r="T33" s="133"/>
      <c r="U33" s="133"/>
      <c r="V33" s="133"/>
      <c r="W33" s="133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4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2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8</v>
      </c>
      <c r="AU33" s="27">
        <f>IFERROR(INDEX(Calc!$G$47:$G$50,MATCH(3,Calc!$J$47:$J$50,0)),0)</f>
        <v>-6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3</v>
      </c>
      <c r="N34" s="29">
        <f>IFERROR(INDEX(Calc!$F$39:$F$42,MATCH(4,Calc!$J$39:$J$42,0)),0)</f>
        <v>6</v>
      </c>
      <c r="O34" s="29">
        <f>IFERROR(INDEX(Calc!$G$39:$G$42,MATCH(4,Calc!$J$39:$J$42,0)),0)</f>
        <v>-3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51" t="str">
        <f>IFERROR(INDEX(Calc!$B$43:$B$46,MATCH(4,Calc!$J$43:$J$46,0)),"?")</f>
        <v>RD Congo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3</v>
      </c>
      <c r="AE34" s="29">
        <f>IFERROR(INDEX(Calc!$G$43:$G$46,MATCH(4,Calc!$J$43:$J$46,0)),0)</f>
        <v>-3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51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9</v>
      </c>
      <c r="AU34" s="29">
        <f>IFERROR(INDEX(Calc!$G$47:$G$50,MATCH(4,Calc!$J$47:$J$50,0)),0)</f>
        <v>-8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6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9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6</v>
      </c>
      <c r="H3" s="38">
        <f t="shared" ref="H3:H50" si="1">3*C3+D3</f>
        <v>7</v>
      </c>
      <c r="I3" s="37">
        <f t="shared" ref="I3:I50" si="2">H3*1000000000+(G3+200)*1000000+E3*1000+(500-M3)</f>
        <v>7206009484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-1</v>
      </c>
      <c r="H4" s="38">
        <f t="shared" si="1"/>
        <v>4</v>
      </c>
      <c r="I4" s="37">
        <f t="shared" si="2"/>
        <v>4199003437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4</v>
      </c>
      <c r="I5" s="37">
        <f t="shared" si="2"/>
        <v>4201004477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7</v>
      </c>
      <c r="G6" s="37">
        <f t="shared" si="0"/>
        <v>-6</v>
      </c>
      <c r="H6" s="38">
        <f t="shared" si="1"/>
        <v>1</v>
      </c>
      <c r="I6" s="37">
        <f t="shared" si="2"/>
        <v>1194001462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1</v>
      </c>
      <c r="H7" s="42">
        <f t="shared" si="1"/>
        <v>5</v>
      </c>
      <c r="I7" s="41">
        <f t="shared" si="2"/>
        <v>5201004456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-4</v>
      </c>
      <c r="H8" s="42">
        <f t="shared" si="1"/>
        <v>1</v>
      </c>
      <c r="I8" s="41">
        <f t="shared" si="2"/>
        <v>1196001445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5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1</v>
      </c>
      <c r="H9" s="42">
        <f t="shared" si="1"/>
        <v>4</v>
      </c>
      <c r="I9" s="41">
        <f t="shared" si="2"/>
        <v>4201005462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2</v>
      </c>
      <c r="H10" s="42">
        <f t="shared" si="1"/>
        <v>6</v>
      </c>
      <c r="I10" s="41">
        <f t="shared" si="2"/>
        <v>6202004480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11</v>
      </c>
      <c r="F11" s="45">
        <f>IF(ISNUMBER('Apostas - Grupos'!Z5),'Apostas - Grupos'!AA5,0)+IF(ISNUMBER('Apostas - Grupos'!AF5),'Apostas - Grupos'!AG5,0)+IF(ISNUMBER('Apostas - Grupos'!AH5),'Apostas - Grupos'!AH5,0)</f>
        <v>4</v>
      </c>
      <c r="G11" s="45">
        <f t="shared" si="0"/>
        <v>7</v>
      </c>
      <c r="H11" s="46">
        <f t="shared" si="1"/>
        <v>9</v>
      </c>
      <c r="I11" s="45">
        <f t="shared" si="2"/>
        <v>9207011495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0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6</v>
      </c>
      <c r="G12" s="45">
        <f t="shared" si="0"/>
        <v>-3</v>
      </c>
      <c r="H12" s="46">
        <f t="shared" si="1"/>
        <v>1</v>
      </c>
      <c r="I12" s="45">
        <f t="shared" si="2"/>
        <v>1197003486</v>
      </c>
      <c r="J12" s="46">
        <f>RANK(I12,$I$11:$I$14,0)</f>
        <v>3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2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45">
        <f>IF(ISNUMBER('Apostas - Grupos'!AB5),'Apostas - Grupos'!AB5,0)+IF(ISNUMBER('Apostas - Grupos'!AF5),'Apostas - Grupos'!AG5,0)+IF(ISNUMBER('Apostas - Grupos'!AJ5),'Apostas - Grupos'!AK5,0)</f>
        <v>3</v>
      </c>
      <c r="F13" s="45">
        <f>IF(ISNUMBER('Apostas - Grupos'!AB5),'Apostas - Grupos'!AC5,0)+IF(ISNUMBER('Apostas - Grupos'!AF5),'Apostas - Grupos'!AF5,0)+IF(ISNUMBER('Apostas - Grupos'!AJ5),'Apostas - Grupos'!AJ5,0)</f>
        <v>12</v>
      </c>
      <c r="G13" s="45">
        <f t="shared" si="0"/>
        <v>-9</v>
      </c>
      <c r="H13" s="46">
        <f t="shared" si="1"/>
        <v>1</v>
      </c>
      <c r="I13" s="45">
        <f t="shared" si="2"/>
        <v>1191003414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2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8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5</v>
      </c>
      <c r="H14" s="46">
        <f t="shared" si="1"/>
        <v>6</v>
      </c>
      <c r="I14" s="45">
        <f t="shared" si="2"/>
        <v>6205008473</v>
      </c>
      <c r="J14" s="46">
        <f>RANK(I14,$I$11:$I$14,0)</f>
        <v>2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7</v>
      </c>
      <c r="I15" s="49">
        <f t="shared" si="2"/>
        <v>7204006489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1</v>
      </c>
      <c r="G16" s="49">
        <f t="shared" si="0"/>
        <v>1</v>
      </c>
      <c r="H16" s="50">
        <f t="shared" si="1"/>
        <v>4</v>
      </c>
      <c r="I16" s="49">
        <f t="shared" si="2"/>
        <v>4201002449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-2</v>
      </c>
      <c r="H17" s="50">
        <f t="shared" si="1"/>
        <v>2</v>
      </c>
      <c r="I17" s="49">
        <f t="shared" si="2"/>
        <v>2198002477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0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-3</v>
      </c>
      <c r="H18" s="50">
        <f t="shared" si="1"/>
        <v>2</v>
      </c>
      <c r="I18" s="49">
        <f t="shared" si="2"/>
        <v>2197000464</v>
      </c>
      <c r="J18" s="50">
        <f>RANK(I18,$I$15:$I$18,0)</f>
        <v>4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8</v>
      </c>
      <c r="H19" s="54">
        <f t="shared" si="1"/>
        <v>9</v>
      </c>
      <c r="I19" s="53">
        <f t="shared" si="2"/>
        <v>9208010488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5</v>
      </c>
      <c r="G20" s="53">
        <f t="shared" si="0"/>
        <v>-3</v>
      </c>
      <c r="H20" s="54">
        <f t="shared" si="1"/>
        <v>1</v>
      </c>
      <c r="I20" s="53">
        <f t="shared" si="2"/>
        <v>1197002417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1</v>
      </c>
      <c r="F22" s="53">
        <f>IF(ISNUMBER('Apostas - Grupos'!AZ5),'Apostas - Grupos'!AZ5,0)+IF(ISNUMBER('Apostas - Grupos'!BD5),'Apostas - Grupos'!BE5,0)+IF(ISNUMBER('Apostas - Grupos'!BF5),'Apostas - Grupos'!BG5,0)</f>
        <v>6</v>
      </c>
      <c r="G22" s="53">
        <f t="shared" si="0"/>
        <v>-5</v>
      </c>
      <c r="H22" s="54">
        <f t="shared" si="1"/>
        <v>3</v>
      </c>
      <c r="I22" s="53">
        <f t="shared" si="2"/>
        <v>3195001461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4</v>
      </c>
      <c r="H23" s="58">
        <f t="shared" si="1"/>
        <v>7</v>
      </c>
      <c r="I23" s="57">
        <f t="shared" si="2"/>
        <v>7204007492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4</v>
      </c>
      <c r="I24" s="57">
        <f t="shared" si="2"/>
        <v>4201004485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0</v>
      </c>
      <c r="H25" s="58">
        <f t="shared" si="1"/>
        <v>4</v>
      </c>
      <c r="I25" s="57">
        <f t="shared" si="2"/>
        <v>4200002474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1</v>
      </c>
      <c r="I26" s="57">
        <f t="shared" si="2"/>
        <v>1195000470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3</v>
      </c>
      <c r="H27" s="62">
        <f t="shared" si="1"/>
        <v>7</v>
      </c>
      <c r="I27" s="61">
        <f t="shared" si="2"/>
        <v>7203005497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7</v>
      </c>
      <c r="I28" s="61">
        <f t="shared" si="2"/>
        <v>7202004464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-3</v>
      </c>
      <c r="H29" s="62">
        <f t="shared" si="1"/>
        <v>1</v>
      </c>
      <c r="I29" s="61">
        <f t="shared" si="2"/>
        <v>1197002475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4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-2</v>
      </c>
      <c r="H30" s="62">
        <f t="shared" si="1"/>
        <v>1</v>
      </c>
      <c r="I30" s="61">
        <f t="shared" si="2"/>
        <v>1198004402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6</v>
      </c>
      <c r="H31" s="66">
        <f t="shared" si="1"/>
        <v>9</v>
      </c>
      <c r="I31" s="65">
        <f t="shared" si="2"/>
        <v>9206007496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-4</v>
      </c>
      <c r="H32" s="66">
        <f t="shared" si="1"/>
        <v>0</v>
      </c>
      <c r="I32" s="65">
        <f t="shared" si="2"/>
        <v>196002412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1</v>
      </c>
      <c r="G33" s="65">
        <f t="shared" si="0"/>
        <v>0</v>
      </c>
      <c r="H33" s="66">
        <f t="shared" si="1"/>
        <v>4</v>
      </c>
      <c r="I33" s="65">
        <f t="shared" si="2"/>
        <v>4200001443</v>
      </c>
      <c r="J33" s="66">
        <f>RANK(I33,$I$31:$I$34,0)</f>
        <v>2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2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-2</v>
      </c>
      <c r="H34" s="66">
        <f t="shared" si="1"/>
        <v>4</v>
      </c>
      <c r="I34" s="65">
        <f t="shared" si="2"/>
        <v>4198002483</v>
      </c>
      <c r="J34" s="66">
        <f>RANK(I34,$I$31:$I$34,0)</f>
        <v>3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8</v>
      </c>
      <c r="G36" s="69">
        <f t="shared" si="0"/>
        <v>-5</v>
      </c>
      <c r="H36" s="70">
        <f t="shared" si="1"/>
        <v>1</v>
      </c>
      <c r="I36" s="69">
        <f t="shared" si="2"/>
        <v>1195003479</v>
      </c>
      <c r="J36" s="70">
        <f>RANK(I36,$I$35:$I$38,0)</f>
        <v>4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2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4</v>
      </c>
      <c r="F37" s="69">
        <f>IF(ISNUMBER('Apostas - Grupos'!CV5),'Apostas - Grupos'!CW5,0)+IF(ISNUMBER('Apostas - Grupos'!CX5),'Apostas - Grupos'!CX5,0)+IF(ISNUMBER('Apostas - Grupos'!DD5),'Apostas - Grupos'!DD5,0)</f>
        <v>2</v>
      </c>
      <c r="G37" s="69">
        <f t="shared" si="0"/>
        <v>2</v>
      </c>
      <c r="H37" s="70">
        <f t="shared" si="1"/>
        <v>6</v>
      </c>
      <c r="I37" s="69">
        <f t="shared" si="2"/>
        <v>6202004435</v>
      </c>
      <c r="J37" s="70">
        <f>RANK(I37,$I$35:$I$38,0)</f>
        <v>2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1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-3</v>
      </c>
      <c r="H38" s="70">
        <f t="shared" si="1"/>
        <v>1</v>
      </c>
      <c r="I38" s="69">
        <f t="shared" si="2"/>
        <v>1197003472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2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10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8</v>
      </c>
      <c r="H39" s="74">
        <f t="shared" si="1"/>
        <v>9</v>
      </c>
      <c r="I39" s="73">
        <f t="shared" si="2"/>
        <v>9208010499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-4</v>
      </c>
      <c r="H40" s="74">
        <f t="shared" si="1"/>
        <v>4</v>
      </c>
      <c r="I40" s="73">
        <f t="shared" si="2"/>
        <v>4196002468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5</v>
      </c>
      <c r="G41" s="73">
        <f t="shared" si="0"/>
        <v>-1</v>
      </c>
      <c r="H41" s="74">
        <f t="shared" si="1"/>
        <v>2</v>
      </c>
      <c r="I41" s="73">
        <f t="shared" si="2"/>
        <v>2199004476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-3</v>
      </c>
      <c r="H42" s="74">
        <f t="shared" si="1"/>
        <v>1</v>
      </c>
      <c r="I42" s="73">
        <f t="shared" si="2"/>
        <v>1197003414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0</v>
      </c>
      <c r="G43" s="77">
        <f t="shared" si="0"/>
        <v>5</v>
      </c>
      <c r="H43" s="78">
        <f t="shared" si="1"/>
        <v>7</v>
      </c>
      <c r="I43" s="77">
        <f t="shared" si="2"/>
        <v>7205005494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3</v>
      </c>
      <c r="G44" s="77">
        <f t="shared" si="0"/>
        <v>-3</v>
      </c>
      <c r="H44" s="78">
        <f t="shared" si="1"/>
        <v>1</v>
      </c>
      <c r="I44" s="77">
        <f t="shared" si="2"/>
        <v>1197000443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-3</v>
      </c>
      <c r="H45" s="78">
        <f t="shared" si="1"/>
        <v>3</v>
      </c>
      <c r="I45" s="77">
        <f t="shared" si="2"/>
        <v>3197001426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1</v>
      </c>
      <c r="F46" s="77">
        <f>IF(ISNUMBER('Apostas - Grupos'!DT5),'Apostas - Grupos'!DT5,0)+IF(ISNUMBER('Apostas - Grupos'!DX5),'Apostas - Grupos'!DY5,0)+IF(ISNUMBER('Apostas - Grupos'!DZ5),'Apostas - Grupos'!EA5,0)</f>
        <v>0</v>
      </c>
      <c r="G46" s="77">
        <f t="shared" si="0"/>
        <v>1</v>
      </c>
      <c r="H46" s="78">
        <f t="shared" si="1"/>
        <v>5</v>
      </c>
      <c r="I46" s="77">
        <f t="shared" si="2"/>
        <v>5201001482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10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10</v>
      </c>
      <c r="H47" s="82">
        <f t="shared" si="1"/>
        <v>9</v>
      </c>
      <c r="I47" s="81">
        <f t="shared" si="2"/>
        <v>9210010491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4</v>
      </c>
      <c r="H48" s="82">
        <f t="shared" si="1"/>
        <v>6</v>
      </c>
      <c r="I48" s="81">
        <f t="shared" si="2"/>
        <v>6204007490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8</v>
      </c>
      <c r="G49" s="81">
        <f t="shared" si="0"/>
        <v>-6</v>
      </c>
      <c r="H49" s="82">
        <f t="shared" si="1"/>
        <v>1</v>
      </c>
      <c r="I49" s="81">
        <f t="shared" si="2"/>
        <v>1194002448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9</v>
      </c>
      <c r="G50" s="81">
        <f t="shared" si="0"/>
        <v>-8</v>
      </c>
      <c r="H50" s="82">
        <f t="shared" si="1"/>
        <v>1</v>
      </c>
      <c r="I50" s="81">
        <f t="shared" si="2"/>
        <v>1192001428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158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Escocia</v>
      </c>
      <c r="D55" s="84" t="str">
        <f>IFERROR(INDEX($B$11:$B$14,MATCH(3,$J$11:$J$14,0)),"?")</f>
        <v>Marrocos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Australia</v>
      </c>
      <c r="E56" s="84" t="str">
        <f>IFERROR(INDEX($B$15:$B$18,MATCH(4,$J$15:$J$18,0)),"?")</f>
        <v>Turquia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Arabia Saudita</v>
      </c>
      <c r="D60" s="84" t="str">
        <f>IFERROR(INDEX($B$31:$B$34,MATCH(3,$J$31:$J$34,0)),"?")</f>
        <v>Uruguai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Iraque</v>
      </c>
      <c r="D61" s="84" t="str">
        <f>IFERROR(INDEX($B$35:$B$38,MATCH(3,$J$35:$J$38,0)),"?")</f>
        <v>Noruega</v>
      </c>
      <c r="E61" s="84" t="str">
        <f>IFERROR(INDEX($B$35:$B$38,MATCH(4,$J$35:$J$38,0)),"?")</f>
        <v>Senegal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Africa do Sul</v>
      </c>
      <c r="C66" s="97">
        <f>IFERROR(INDEX($I$3:$I$6,MATCH(3,$J$3:$J$6,0)),0)</f>
        <v>4199003437</v>
      </c>
      <c r="D66" s="98">
        <f t="shared" ref="D66:D77" si="4">RANK(C66,$C$66:$C$77,0)</f>
        <v>3</v>
      </c>
    </row>
    <row r="67" spans="1:4">
      <c r="A67" s="99" t="s">
        <v>158</v>
      </c>
      <c r="B67" s="97" t="str">
        <f>IFERROR(INDEX($B$7:$B$10,MATCH(3,$J$7:$J$10,0)),"?")</f>
        <v>Qatar</v>
      </c>
      <c r="C67" s="97">
        <f>IFERROR(INDEX($I$7:$I$10,MATCH(3,$J$7:$J$10,0)),0)</f>
        <v>4201005462</v>
      </c>
      <c r="D67" s="98">
        <f t="shared" si="4"/>
        <v>1</v>
      </c>
    </row>
    <row r="68" spans="1:4">
      <c r="A68" s="100" t="s">
        <v>159</v>
      </c>
      <c r="B68" s="97" t="str">
        <f>IFERROR(INDEX($B$11:$B$14,MATCH(3,$J$11:$J$14,0)),"?")</f>
        <v>Marrocos</v>
      </c>
      <c r="C68" s="97">
        <f>IFERROR(INDEX($I$11:$I$14,MATCH(3,$J$11:$J$14,0)),0)</f>
        <v>1197003486</v>
      </c>
      <c r="D68" s="98">
        <f t="shared" si="4"/>
        <v>10</v>
      </c>
    </row>
    <row r="69" spans="1:4">
      <c r="A69" s="101" t="s">
        <v>140</v>
      </c>
      <c r="B69" s="97" t="str">
        <f>IFERROR(INDEX($B$15:$B$18,MATCH(3,$J$15:$J$18,0)),"?")</f>
        <v>Australia</v>
      </c>
      <c r="C69" s="97">
        <f>IFERROR(INDEX($I$15:$I$18,MATCH(3,$J$15:$J$18,0)),0)</f>
        <v>2198002477</v>
      </c>
      <c r="D69" s="98">
        <f t="shared" si="4"/>
        <v>8</v>
      </c>
    </row>
    <row r="70" spans="1:4">
      <c r="A70" s="102" t="s">
        <v>139</v>
      </c>
      <c r="B70" s="97" t="str">
        <f>IFERROR(INDEX($B$19:$B$22,MATCH(3,$J$19:$J$22,0)),"?")</f>
        <v>Equador</v>
      </c>
      <c r="C70" s="97">
        <f>IFERROR(INDEX($I$19:$I$22,MATCH(3,$J$19:$J$22,0)),0)</f>
        <v>3195001461</v>
      </c>
      <c r="D70" s="98">
        <f t="shared" si="4"/>
        <v>6</v>
      </c>
    </row>
    <row r="71" spans="1:4">
      <c r="A71" s="103" t="s">
        <v>160</v>
      </c>
      <c r="B71" s="97" t="str">
        <f>IFERROR(INDEX($B$23:$B$26,MATCH(3,$J$23:$J$26,0)),"?")</f>
        <v>Suecia</v>
      </c>
      <c r="C71" s="97">
        <f>IFERROR(INDEX($I$23:$I$26,MATCH(3,$J$23:$J$26,0)),0)</f>
        <v>4200002474</v>
      </c>
      <c r="D71" s="98">
        <f t="shared" si="4"/>
        <v>2</v>
      </c>
    </row>
    <row r="72" spans="1:4">
      <c r="A72" s="104" t="s">
        <v>161</v>
      </c>
      <c r="B72" s="97" t="str">
        <f>IFERROR(INDEX($B$27:$B$30,MATCH(3,$J$27:$J$30,0)),"?")</f>
        <v>Nova Zelandia</v>
      </c>
      <c r="C72" s="97">
        <f>IFERROR(INDEX($I$27:$I$30,MATCH(3,$J$27:$J$30,0)),0)</f>
        <v>1198004402</v>
      </c>
      <c r="D72" s="98">
        <f t="shared" si="4"/>
        <v>9</v>
      </c>
    </row>
    <row r="73" spans="1:4">
      <c r="A73" s="105" t="s">
        <v>162</v>
      </c>
      <c r="B73" s="97" t="str">
        <f>IFERROR(INDEX($B$31:$B$34,MATCH(3,$J$31:$J$34,0)),"?")</f>
        <v>Uruguai</v>
      </c>
      <c r="C73" s="97">
        <f>IFERROR(INDEX($I$31:$I$34,MATCH(3,$J$31:$J$34,0)),0)</f>
        <v>4198002483</v>
      </c>
      <c r="D73" s="98">
        <f t="shared" si="4"/>
        <v>4</v>
      </c>
    </row>
    <row r="74" spans="1:4">
      <c r="A74" s="106" t="s">
        <v>163</v>
      </c>
      <c r="B74" s="97" t="str">
        <f>IFERROR(INDEX($B$35:$B$38,MATCH(3,$J$35:$J$38,0)),"?")</f>
        <v>Noruega</v>
      </c>
      <c r="C74" s="97">
        <f>IFERROR(INDEX($I$35:$I$38,MATCH(3,$J$35:$J$38,0)),0)</f>
        <v>1197003472</v>
      </c>
      <c r="D74" s="98">
        <f t="shared" si="4"/>
        <v>11</v>
      </c>
    </row>
    <row r="75" spans="1:4">
      <c r="A75" s="107" t="s">
        <v>137</v>
      </c>
      <c r="B75" s="97" t="str">
        <f>IFERROR(INDEX($B$39:$B$42,MATCH(3,$J$39:$J$42,0)),"?")</f>
        <v>Austria</v>
      </c>
      <c r="C75" s="97">
        <f>IFERROR(INDEX($I$39:$I$42,MATCH(3,$J$39:$J$42,0)),0)</f>
        <v>2199004476</v>
      </c>
      <c r="D75" s="98">
        <f t="shared" si="4"/>
        <v>7</v>
      </c>
    </row>
    <row r="76" spans="1:4">
      <c r="A76" s="108" t="s">
        <v>164</v>
      </c>
      <c r="B76" s="97" t="str">
        <f>IFERROR(INDEX($B$43:$B$46,MATCH(3,$J$43:$J$46,0)),"?")</f>
        <v>Uzbequistao</v>
      </c>
      <c r="C76" s="97">
        <f>IFERROR(INDEX($I$43:$I$46,MATCH(3,$J$43:$J$46,0)),0)</f>
        <v>3197001426</v>
      </c>
      <c r="D76" s="98">
        <f t="shared" si="4"/>
        <v>5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1194002448</v>
      </c>
      <c r="D77" s="98">
        <f t="shared" si="4"/>
        <v>12</v>
      </c>
    </row>
    <row r="79" spans="1:4">
      <c r="A79" s="110">
        <v>1</v>
      </c>
      <c r="B79" s="111" t="str">
        <f>IFERROR(INDEX($B$66:$B$77,MATCH(1,$D$66:$D$77,0)),"?")</f>
        <v>Qatar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Africa do Sul</v>
      </c>
    </row>
    <row r="82" spans="1:2">
      <c r="A82" s="110">
        <v>4</v>
      </c>
      <c r="B82" s="111" t="str">
        <f>IFERROR(INDEX($B$66:$B$77,MATCH(4,$D$66:$D$77,0)),"?")</f>
        <v>Uruguai</v>
      </c>
    </row>
    <row r="83" spans="1:2">
      <c r="A83" s="110">
        <v>5</v>
      </c>
      <c r="B83" s="111" t="str">
        <f>IFERROR(INDEX($B$66:$B$77,MATCH(5,$D$66:$D$77,0)),"?")</f>
        <v>Uzbequistao</v>
      </c>
    </row>
    <row r="84" spans="1:2">
      <c r="A84" s="110">
        <v>6</v>
      </c>
      <c r="B84" s="111" t="str">
        <f>IFERROR(INDEX($B$66:$B$77,MATCH(6,$D$66:$D$77,0)),"?")</f>
        <v>Equador</v>
      </c>
    </row>
    <row r="85" spans="1:2">
      <c r="A85" s="110">
        <v>7</v>
      </c>
      <c r="B85" s="111" t="str">
        <f>IFERROR(INDEX($B$66:$B$77,MATCH(7,$D$66:$D$77,0)),"?")</f>
        <v>Austria</v>
      </c>
    </row>
    <row r="86" spans="1:2">
      <c r="A86" s="110">
        <v>8</v>
      </c>
      <c r="B86" s="111" t="str">
        <f>IFERROR(INDEX($B$66:$B$77,MATCH(8,$D$66:$D$77,0)),"?")</f>
        <v>Australia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ABDEFHJK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66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5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workbookViewId="0">
      <selection activeCell="B4" sqref="B4"/>
    </sheetView>
  </sheetViews>
  <sheetFormatPr defaultRowHeight="15"/>
  <cols>
    <col min="1" max="1" width="25.85546875" bestFit="1" customWidth="1"/>
    <col min="2" max="2" width="16.42578125" bestFit="1" customWidth="1"/>
  </cols>
  <sheetData>
    <row r="1" spans="1:2" ht="44.1" customHeight="1">
      <c r="A1" s="166" t="s">
        <v>1531</v>
      </c>
      <c r="B1" s="133"/>
    </row>
    <row r="2" spans="1:2" ht="27" customHeight="1">
      <c r="A2" s="168" t="s">
        <v>1546</v>
      </c>
      <c r="B2" s="168"/>
    </row>
    <row r="3" spans="1:2" ht="27.95" customHeight="1">
      <c r="A3" s="30" t="s">
        <v>10</v>
      </c>
      <c r="B3" s="31" t="s">
        <v>154</v>
      </c>
    </row>
    <row r="4" spans="1:2" ht="27.95" customHeight="1">
      <c r="A4" s="32" t="s">
        <v>155</v>
      </c>
      <c r="B4" s="33"/>
    </row>
    <row r="5" spans="1:2" ht="27.95" customHeight="1">
      <c r="A5" s="34" t="str">
        <f>'Apostas - Grupos'!A5</f>
        <v>Augusto Peroco</v>
      </c>
      <c r="B5" s="20" t="s">
        <v>1344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Waldheim</cp:lastModifiedBy>
  <dcterms:created xsi:type="dcterms:W3CDTF">2026-05-13T21:26:19Z</dcterms:created>
  <dcterms:modified xsi:type="dcterms:W3CDTF">2026-06-07T18:05:59Z</dcterms:modified>
</cp:coreProperties>
</file>