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b834fbff7d72deb0/Documentos/Área de Trabalho/"/>
    </mc:Choice>
  </mc:AlternateContent>
  <bookViews>
    <workbookView xWindow="0" yWindow="0" windowWidth="20490" windowHeight="6900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48" i="4" l="1"/>
  <c r="G39" i="4"/>
  <c r="G41" i="4"/>
  <c r="H35" i="4"/>
  <c r="G31" i="4"/>
  <c r="H34" i="4"/>
  <c r="H26" i="4"/>
  <c r="G25" i="4"/>
  <c r="G23" i="4"/>
  <c r="G20" i="4"/>
  <c r="H21" i="4"/>
  <c r="H19" i="4"/>
  <c r="G11" i="4"/>
  <c r="H13" i="4"/>
  <c r="H11" i="4"/>
  <c r="I11" i="4" s="1"/>
  <c r="G7" i="4"/>
  <c r="H3" i="4"/>
  <c r="G12" i="4"/>
  <c r="I26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3" i="4"/>
  <c r="I30" i="4"/>
  <c r="I23" i="4"/>
  <c r="I21" i="4"/>
  <c r="I12" i="4"/>
  <c r="I5" i="4"/>
  <c r="I33" i="4"/>
  <c r="I42" i="4"/>
  <c r="J42" i="4" s="1"/>
  <c r="J26" i="4"/>
  <c r="I44" i="4"/>
  <c r="I27" i="4"/>
  <c r="J30" i="4" s="1"/>
  <c r="J25" i="4"/>
  <c r="J24" i="4"/>
  <c r="AP19" i="2" s="1"/>
  <c r="I6" i="4"/>
  <c r="J23" i="4"/>
  <c r="J39" i="4"/>
  <c r="B31" i="2" s="1"/>
  <c r="I49" i="4"/>
  <c r="J12" i="4"/>
  <c r="I16" i="4"/>
  <c r="I36" i="4"/>
  <c r="J48" i="4"/>
  <c r="J10" i="4"/>
  <c r="I4" i="4"/>
  <c r="I38" i="4"/>
  <c r="AU17" i="2"/>
  <c r="J9" i="4"/>
  <c r="I37" i="4"/>
  <c r="J8" i="4"/>
  <c r="J7" i="4"/>
  <c r="AF12" i="2" s="1"/>
  <c r="I17" i="4"/>
  <c r="AH19" i="2"/>
  <c r="J13" i="4"/>
  <c r="AR18" i="2"/>
  <c r="I32" i="4"/>
  <c r="J31" i="4" s="1"/>
  <c r="I22" i="4"/>
  <c r="J22" i="4" s="1"/>
  <c r="AO19" i="2"/>
  <c r="I18" i="4"/>
  <c r="J18" i="4" s="1"/>
  <c r="J11" i="4"/>
  <c r="AO11" i="2" s="1"/>
  <c r="I45" i="4"/>
  <c r="J43" i="4" s="1"/>
  <c r="AQ20" i="2"/>
  <c r="AV19" i="2"/>
  <c r="AP20" i="2"/>
  <c r="J14" i="4"/>
  <c r="J41" i="4"/>
  <c r="J47" i="4" l="1"/>
  <c r="J40" i="4"/>
  <c r="C75" i="4" s="1"/>
  <c r="J27" i="4"/>
  <c r="N24" i="2" s="1"/>
  <c r="AR19" i="2"/>
  <c r="AT17" i="2"/>
  <c r="AT20" i="2"/>
  <c r="AO18" i="2"/>
  <c r="AH20" i="2"/>
  <c r="AV17" i="2"/>
  <c r="AH18" i="2"/>
  <c r="AR20" i="2"/>
  <c r="C71" i="4"/>
  <c r="AT19" i="2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AQ18" i="2"/>
  <c r="AU20" i="2"/>
  <c r="D58" i="4"/>
  <c r="C58" i="4"/>
  <c r="AR17" i="2"/>
  <c r="AS18" i="2"/>
  <c r="AS20" i="2"/>
  <c r="H31" i="2"/>
  <c r="AS19" i="2"/>
  <c r="AU19" i="2"/>
  <c r="P31" i="2"/>
  <c r="J49" i="4"/>
  <c r="AP32" i="2" s="1"/>
  <c r="I31" i="2"/>
  <c r="B62" i="4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N33" i="2"/>
  <c r="H24" i="2"/>
  <c r="J5" i="4"/>
  <c r="AO12" i="2"/>
  <c r="AP10" i="2"/>
  <c r="J37" i="4"/>
  <c r="E55" i="4"/>
  <c r="J32" i="4"/>
  <c r="Y27" i="2" s="1"/>
  <c r="AV13" i="2"/>
  <c r="AV10" i="2"/>
  <c r="AN13" i="2"/>
  <c r="C68" i="4"/>
  <c r="AH11" i="2"/>
  <c r="J34" i="4"/>
  <c r="C55" i="4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Q13" i="2"/>
  <c r="AN12" i="2"/>
  <c r="AV12" i="2"/>
  <c r="X12" i="2"/>
  <c r="AE11" i="2"/>
  <c r="R12" i="2"/>
  <c r="AF10" i="2"/>
  <c r="AA12" i="2"/>
  <c r="R10" i="2"/>
  <c r="C54" i="4"/>
  <c r="AH31" i="2"/>
  <c r="D54" i="4"/>
  <c r="J16" i="4"/>
  <c r="AR31" i="2"/>
  <c r="AC12" i="2"/>
  <c r="AF11" i="2"/>
  <c r="AN32" i="2"/>
  <c r="AS12" i="2"/>
  <c r="AD12" i="2"/>
  <c r="AT11" i="2"/>
  <c r="Y12" i="2"/>
  <c r="AR12" i="2"/>
  <c r="AC13" i="2"/>
  <c r="AS13" i="2"/>
  <c r="Z11" i="2"/>
  <c r="AD10" i="2"/>
  <c r="AB12" i="2"/>
  <c r="AD13" i="2"/>
  <c r="AP13" i="2"/>
  <c r="AB10" i="2"/>
  <c r="AE10" i="2"/>
  <c r="C67" i="4"/>
  <c r="AD11" i="2"/>
  <c r="B67" i="4"/>
  <c r="AB13" i="2"/>
  <c r="AS11" i="2"/>
  <c r="AC10" i="2"/>
  <c r="Z13" i="2"/>
  <c r="O33" i="2"/>
  <c r="AR13" i="2"/>
  <c r="R13" i="2"/>
  <c r="J38" i="4"/>
  <c r="AQ12" i="2"/>
  <c r="AE12" i="2"/>
  <c r="E54" i="4"/>
  <c r="AO13" i="2"/>
  <c r="AA11" i="2"/>
  <c r="J15" i="4"/>
  <c r="AU12" i="2"/>
  <c r="AT10" i="2"/>
  <c r="AR32" i="2"/>
  <c r="J45" i="4"/>
  <c r="Y31" i="2" s="1"/>
  <c r="AS32" i="2"/>
  <c r="AV11" i="2"/>
  <c r="AP11" i="2"/>
  <c r="AV32" i="2"/>
  <c r="AU13" i="2"/>
  <c r="J44" i="4"/>
  <c r="B63" i="4" s="1"/>
  <c r="AR11" i="2"/>
  <c r="I33" i="2"/>
  <c r="AR10" i="2"/>
  <c r="AS10" i="2"/>
  <c r="J33" i="2"/>
  <c r="AH32" i="2"/>
  <c r="AO32" i="2"/>
  <c r="AT32" i="2"/>
  <c r="B55" i="4"/>
  <c r="AU32" i="2"/>
  <c r="AT12" i="2"/>
  <c r="AQ11" i="2"/>
  <c r="J46" i="4"/>
  <c r="AQ32" i="2"/>
  <c r="C64" i="4"/>
  <c r="AU10" i="2"/>
  <c r="J17" i="4"/>
  <c r="O10" i="2"/>
  <c r="K10" i="2"/>
  <c r="I10" i="2"/>
  <c r="R24" i="2"/>
  <c r="Z24" i="2"/>
  <c r="Y24" i="2"/>
  <c r="AH12" i="2"/>
  <c r="H32" i="2"/>
  <c r="K34" i="2"/>
  <c r="P34" i="2"/>
  <c r="J32" i="2"/>
  <c r="E62" i="4"/>
  <c r="B32" i="2"/>
  <c r="C62" i="4"/>
  <c r="M34" i="2"/>
  <c r="M32" i="2"/>
  <c r="AP12" i="2"/>
  <c r="AR33" i="2" l="1"/>
  <c r="AU31" i="2"/>
  <c r="AT31" i="2"/>
  <c r="AN31" i="2"/>
  <c r="B64" i="4"/>
  <c r="AS31" i="2"/>
  <c r="AP31" i="2"/>
  <c r="AQ31" i="2"/>
  <c r="AV31" i="2"/>
  <c r="AQ34" i="2"/>
  <c r="AO31" i="2"/>
  <c r="AH34" i="2"/>
  <c r="AP34" i="2"/>
  <c r="D64" i="4"/>
  <c r="AT33" i="2"/>
  <c r="AN33" i="2"/>
  <c r="AO33" i="2"/>
  <c r="AQ33" i="2"/>
  <c r="AU33" i="2"/>
  <c r="C77" i="4"/>
  <c r="AP33" i="2"/>
  <c r="AB31" i="2"/>
  <c r="AC31" i="2"/>
  <c r="AA31" i="2"/>
  <c r="Z31" i="2"/>
  <c r="R31" i="2"/>
  <c r="AD31" i="2"/>
  <c r="AE31" i="2"/>
  <c r="X31" i="2"/>
  <c r="AF31" i="2"/>
  <c r="AC33" i="2"/>
  <c r="L32" i="2"/>
  <c r="I34" i="2"/>
  <c r="M33" i="2"/>
  <c r="P33" i="2"/>
  <c r="K32" i="2"/>
  <c r="N32" i="2"/>
  <c r="L34" i="2"/>
  <c r="L33" i="2"/>
  <c r="J34" i="2"/>
  <c r="H34" i="2"/>
  <c r="O34" i="2"/>
  <c r="N34" i="2"/>
  <c r="I32" i="2"/>
  <c r="P32" i="2"/>
  <c r="H33" i="2"/>
  <c r="O32" i="2"/>
  <c r="B34" i="2"/>
  <c r="D62" i="4"/>
  <c r="B33" i="2"/>
  <c r="AA24" i="2"/>
  <c r="AC24" i="2"/>
  <c r="B60" i="4"/>
  <c r="AB24" i="2"/>
  <c r="AF24" i="2"/>
  <c r="X24" i="2"/>
  <c r="AD24" i="2"/>
  <c r="AE24" i="2"/>
  <c r="R27" i="2"/>
  <c r="B59" i="4"/>
  <c r="M24" i="2"/>
  <c r="K24" i="2"/>
  <c r="O24" i="2"/>
  <c r="L24" i="2"/>
  <c r="P27" i="2"/>
  <c r="B24" i="2"/>
  <c r="P24" i="2"/>
  <c r="J24" i="2"/>
  <c r="I24" i="2"/>
  <c r="N25" i="2"/>
  <c r="E59" i="4"/>
  <c r="C59" i="4"/>
  <c r="P25" i="2"/>
  <c r="J26" i="2"/>
  <c r="M26" i="2"/>
  <c r="K25" i="2"/>
  <c r="K26" i="2"/>
  <c r="L27" i="2"/>
  <c r="P26" i="2"/>
  <c r="B27" i="2"/>
  <c r="N27" i="2"/>
  <c r="K27" i="2"/>
  <c r="B26" i="2"/>
  <c r="I26" i="2"/>
  <c r="B72" i="4"/>
  <c r="H26" i="2"/>
  <c r="J25" i="2"/>
  <c r="H27" i="2"/>
  <c r="L25" i="2"/>
  <c r="N26" i="2"/>
  <c r="D59" i="4"/>
  <c r="L10" i="2"/>
  <c r="B10" i="2"/>
  <c r="J10" i="2"/>
  <c r="M10" i="2"/>
  <c r="B53" i="4"/>
  <c r="H10" i="2"/>
  <c r="N10" i="2"/>
  <c r="P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<sst xmlns="http://schemas.openxmlformats.org/spreadsheetml/2006/main" count="6670" uniqueCount="1553">
  <si>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</si>
  <si>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</si>
  <si>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</si>
  <si>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</si>
  <si>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</si>
  <si>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</si>
  <si>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</si>
  <si>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</si>
  <si>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</si>
  <si>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</si>
  <si>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</si>
  <si>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</si>
  <si>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</si>
  <si>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</si>
  <si>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</si>
  <si>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</si>
  <si>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</si>
  <si>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</si>
  <si>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</si>
  <si>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</si>
  <si>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</si>
  <si>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</si>
  <si>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</si>
  <si>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</si>
  <si>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</si>
  <si>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</si>
  <si>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</si>
  <si>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</si>
  <si>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</si>
  <si>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</si>
  <si>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</si>
  <si>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</si>
  <si>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</si>
  <si>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</si>
  <si>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</si>
  <si>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</si>
  <si>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</si>
  <si>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</si>
  <si>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</si>
  <si>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</si>
  <si>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</si>
  <si>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</si>
  <si>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</si>
  <si>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</si>
  <si>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</si>
  <si>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</si>
  <si>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</si>
  <si>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</si>
  <si>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</si>
  <si>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</si>
  <si>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</si>
  <si>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</si>
  <si>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</si>
  <si>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</si>
  <si>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</si>
  <si>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</si>
  <si>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</si>
  <si>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</si>
  <si>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</si>
  <si>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</si>
  <si>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</si>
  <si>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</si>
  <si>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</si>
  <si>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</si>
  <si>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</si>
  <si>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</si>
  <si>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</si>
  <si>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</si>
  <si>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</si>
  <si>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</si>
  <si>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</si>
  <si>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</si>
  <si>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</si>
  <si>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</si>
  <si>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</si>
  <si>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</si>
  <si>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</si>
  <si>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</si>
  <si>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</si>
  <si>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</si>
  <si>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</si>
  <si>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</si>
  <si>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</si>
  <si>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</si>
  <si>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</si>
  <si>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</si>
  <si>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</si>
  <si>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</si>
  <si>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</si>
  <si>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</si>
  <si>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</si>
  <si>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</si>
  <si>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</si>
  <si>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</si>
  <si>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</si>
  <si>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</si>
  <si>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</si>
  <si>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</si>
  <si>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</si>
  <si>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</si>
  <si>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</si>
  <si>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</si>
  <si>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</si>
  <si>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</si>
  <si>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</si>
  <si>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</si>
  <si>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</si>
  <si>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</si>
  <si>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</si>
  <si>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</si>
  <si>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</si>
  <si>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</si>
  <si>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</si>
  <si>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</si>
  <si>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</si>
  <si>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</si>
  <si>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</si>
  <si>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</si>
  <si>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</si>
  <si>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</si>
  <si>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</si>
  <si>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</si>
  <si>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</si>
  <si>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</si>
  <si>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</si>
  <si>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</si>
  <si>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</si>
  <si>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</si>
  <si>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</si>
  <si>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</si>
  <si>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</si>
  <si>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</si>
  <si>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</si>
  <si>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</si>
  <si>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</si>
  <si>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</si>
  <si>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</si>
  <si>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</si>
  <si>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</si>
  <si>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</si>
  <si>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</si>
  <si>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</si>
  <si>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</si>
  <si>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</si>
  <si>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</si>
  <si>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</si>
  <si>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</si>
  <si>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</si>
  <si>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</si>
  <si>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</si>
  <si>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</si>
  <si>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</si>
  <si>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</si>
  <si>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</si>
  <si>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</si>
  <si>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</si>
  <si>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</si>
  <si>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</si>
  <si>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</si>
  <si>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</si>
  <si>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</si>
  <si>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</si>
  <si>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</si>
  <si>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</si>
  <si>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</si>
  <si>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</si>
  <si>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</si>
  <si>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</si>
  <si>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</si>
  <si>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</si>
  <si>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</si>
  <si>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</si>
  <si>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</si>
  <si>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</si>
  <si>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</si>
  <si>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</si>
  <si>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</si>
  <si>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</si>
  <si>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</si>
  <si>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</si>
  <si>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</si>
  <si>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</si>
  <si>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</si>
  <si>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</si>
  <si>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</si>
  <si>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</si>
  <si>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</si>
  <si>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</si>
  <si>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</si>
  <si>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</si>
  <si>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</si>
  <si>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</si>
  <si>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</si>
  <si>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</si>
  <si>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</si>
  <si>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</si>
  <si>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</si>
  <si>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</si>
  <si>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</si>
  <si>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</si>
  <si>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</si>
  <si>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</si>
  <si>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</si>
  <si>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</si>
  <si>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</si>
  <si>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</si>
  <si>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</si>
  <si>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</si>
  <si>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</si>
  <si>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</si>
  <si>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</si>
  <si>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</si>
  <si>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</si>
  <si>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</si>
  <si>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</si>
  <si>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</si>
  <si>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</si>
  <si>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</si>
  <si>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</si>
  <si>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</si>
  <si>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</si>
  <si>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</si>
  <si>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</si>
  <si>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</si>
  <si>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</si>
  <si>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</si>
  <si>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</si>
  <si>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</si>
  <si>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</si>
  <si>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</si>
  <si>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</si>
  <si>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</si>
  <si>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</si>
  <si>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</si>
  <si>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</si>
  <si>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</si>
  <si>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</si>
  <si>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</si>
  <si>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</si>
  <si>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</si>
  <si>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</si>
  <si>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</si>
  <si>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</si>
  <si>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</si>
  <si>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</si>
  <si>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</si>
  <si>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</si>
  <si>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</si>
  <si>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</si>
  <si>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</si>
  <si>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</si>
  <si>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</si>
  <si>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</si>
  <si>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</si>
  <si>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</si>
  <si>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</si>
  <si>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</si>
  <si>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</si>
  <si>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</si>
  <si>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</si>
  <si>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</si>
  <si>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</si>
  <si>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</si>
  <si>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</si>
  <si>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</si>
  <si>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</si>
  <si>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</si>
  <si>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</si>
  <si>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</si>
  <si>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</si>
  <si>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</si>
  <si>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</si>
  <si>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</si>
  <si>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</si>
  <si>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</si>
  <si>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</si>
  <si>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</si>
  <si>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</si>
  <si>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</si>
  <si>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</si>
  <si>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</si>
  <si>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</si>
  <si>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</si>
  <si>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</si>
  <si>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</si>
  <si>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</si>
  <si>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</si>
  <si>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</si>
  <si>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</si>
  <si>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</si>
  <si>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</si>
  <si>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</si>
  <si>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</si>
  <si>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</si>
  <si>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</si>
  <si>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</si>
  <si>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</si>
  <si>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</si>
  <si>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</si>
  <si>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</si>
  <si>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</si>
  <si>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</si>
  <si>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</si>
  <si>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</si>
  <si>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</si>
  <si>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</si>
  <si>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</si>
  <si>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</si>
  <si>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</si>
  <si>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</si>
  <si>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</si>
  <si>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</si>
  <si>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</si>
  <si>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</si>
  <si>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</si>
  <si>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</si>
  <si>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</si>
  <si>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</si>
  <si>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</si>
  <si>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</si>
  <si>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</si>
  <si>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</si>
  <si>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</si>
  <si>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</si>
  <si>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</si>
  <si>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</si>
  <si>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</si>
  <si>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</si>
  <si>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</si>
  <si>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</si>
  <si>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</si>
  <si>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</si>
  <si>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</si>
  <si>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</si>
  <si>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</si>
  <si>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</si>
  <si>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</si>
  <si>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</si>
  <si>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</si>
  <si>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</si>
  <si>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</si>
  <si>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</si>
  <si>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</si>
  <si>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</si>
  <si>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</si>
  <si>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</si>
  <si>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</si>
  <si>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</si>
  <si>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</si>
  <si>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</si>
  <si>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</si>
  <si>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</si>
  <si>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</si>
  <si>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</si>
  <si>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</si>
  <si>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</si>
  <si>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</si>
  <si>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</si>
  <si>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</si>
  <si>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</si>
  <si>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</si>
  <si>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</si>
  <si>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</si>
  <si>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</si>
  <si>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</si>
  <si>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</si>
  <si>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</si>
  <si>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</si>
  <si>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</si>
  <si>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</si>
  <si>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</si>
  <si>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</si>
  <si>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</si>
  <si>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</si>
  <si>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</si>
  <si>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</si>
  <si>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</si>
  <si>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</si>
  <si>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</si>
  <si>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</si>
  <si>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</si>
  <si>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</si>
  <si>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</si>
  <si>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</si>
  <si>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</si>
  <si>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</si>
  <si>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</si>
  <si>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</si>
  <si>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</si>
  <si>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</si>
  <si>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</si>
  <si>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</si>
  <si>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</si>
  <si>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</si>
  <si>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</si>
  <si>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</si>
  <si>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</si>
  <si>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</si>
  <si>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</si>
  <si>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</si>
  <si>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</si>
  <si>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</si>
  <si>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</si>
  <si>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</si>
  <si>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</si>
  <si>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</si>
  <si>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</si>
  <si>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</si>
  <si>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</si>
  <si>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</si>
  <si>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</si>
  <si>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</si>
  <si>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</si>
  <si>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</si>
  <si>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</si>
  <si>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</si>
  <si>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</si>
  <si>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</si>
  <si>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</si>
  <si>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</si>
  <si>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</si>
  <si>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</si>
  <si>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</si>
  <si>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</si>
  <si>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</si>
  <si>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</si>
  <si>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</si>
  <si>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</si>
  <si>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</si>
  <si>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</si>
  <si>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</si>
  <si>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</si>
  <si>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</si>
  <si>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</si>
  <si>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</si>
  <si>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</si>
  <si>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</si>
  <si>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</si>
  <si>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</si>
  <si>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</si>
  <si>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</si>
  <si>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</si>
  <si>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</si>
  <si>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</si>
  <si>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</si>
  <si>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</si>
  <si>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</si>
  <si>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</si>
  <si>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</si>
  <si>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</si>
  <si>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</si>
  <si>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</si>
  <si>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</si>
  <si>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</si>
  <si>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</si>
  <si>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</si>
  <si>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</si>
  <si>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</si>
  <si>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</si>
  <si>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</si>
  <si>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</si>
  <si>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</si>
  <si>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</si>
  <si>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</si>
  <si>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</si>
  <si>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</si>
  <si>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</si>
  <si>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</si>
  <si>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</si>
  <si>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</si>
  <si>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</si>
  <si>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</si>
  <si>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</si>
  <si>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</si>
  <si>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</si>
  <si>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</si>
  <si>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</si>
  <si>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</si>
  <si>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</si>
  <si>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</si>
  <si>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</si>
  <si>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</si>
  <si>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</si>
  <si>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</si>
  <si>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</si>
  <si>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</si>
  <si>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</si>
  <si>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</si>
  <si>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</si>
  <si>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</si>
  <si>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</si>
  <si>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</si>
  <si>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</si>
  <si>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</si>
  <si>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</si>
  <si>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</si>
  <si>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</si>
  <si>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</si>
  <si>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</si>
  <si>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</si>
  <si>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</si>
  <si>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</si>
  <si>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</si>
  <si>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</si>
  <si>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</si>
  <si>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</si>
  <si>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</si>
  <si>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</si>
  <si>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</si>
  <si>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</si>
  <si>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</si>
  <si>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</si>
  <si>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</si>
  <si>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</si>
  <si>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</si>
  <si>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</si>
  <si>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</si>
  <si>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</si>
  <si>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</si>
  <si>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</si>
  <si>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</si>
  <si>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</si>
  <si>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</si>
  <si>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</si>
  <si>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</si>
  <si>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</si>
  <si>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</si>
  <si>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</si>
  <si>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</si>
  <si>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</si>
  <si>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</si>
  <si>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</si>
  <si>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</si>
  <si>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</si>
  <si>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</si>
  <si>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</si>
  <si>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</si>
  <si>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</si>
  <si>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</si>
  <si>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</si>
  <si>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</si>
  <si>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</si>
  <si>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</si>
  <si>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</si>
  <si>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</si>
  <si>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</si>
  <si>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</si>
  <si>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</si>
  <si>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</si>
  <si>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</si>
  <si>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</si>
  <si>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</si>
  <si>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</si>
  <si>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</si>
  <si>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</si>
  <si>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</si>
  <si>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</si>
  <si>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</si>
  <si>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</si>
  <si>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</si>
  <si>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</si>
  <si>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</si>
  <si>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</si>
  <si>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</si>
  <si>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</si>
  <si>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</si>
  <si>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</si>
  <si>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</si>
  <si>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</si>
  <si>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</si>
  <si>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</si>
  <si>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</si>
  <si>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</si>
  <si>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</si>
  <si>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</si>
  <si>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</si>
  <si>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</si>
  <si>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</si>
  <si>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</si>
  <si>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</si>
  <si>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</si>
  <si>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</si>
  <si>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</si>
  <si>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</si>
  <si>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</si>
  <si>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</si>
  <si>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</si>
  <si>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</si>
  <si>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</si>
  <si>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</si>
  <si>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</si>
  <si>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</si>
  <si>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</si>
  <si>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</si>
  <si>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</si>
  <si>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</si>
  <si>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</si>
  <si>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</si>
  <si>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</si>
  <si>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</si>
  <si>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</si>
  <si>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</si>
  <si>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</si>
  <si>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</si>
  <si>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</si>
  <si>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</si>
  <si>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</si>
  <si>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</si>
  <si>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</si>
  <si>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</si>
  <si>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</si>
  <si>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</si>
  <si>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</si>
  <si>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</si>
  <si>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</si>
  <si>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</si>
  <si>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</si>
  <si>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</si>
  <si>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</si>
  <si>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</si>
  <si>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</si>
  <si>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</si>
  <si>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</si>
  <si>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</si>
  <si>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</si>
  <si>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</si>
  <si>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</si>
  <si>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</si>
  <si>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</si>
  <si>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</si>
  <si>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</si>
  <si>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</si>
  <si>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</si>
  <si>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</si>
  <si>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</si>
  <si>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</si>
  <si>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</si>
  <si>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</si>
  <si>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</si>
  <si>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</si>
  <si>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</si>
  <si>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</si>
  <si>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</si>
  <si>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</si>
  <si>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</si>
  <si>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</si>
  <si>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</si>
  <si>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</si>
  <si>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</si>
  <si>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</si>
  <si>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</si>
  <si>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</si>
  <si>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</si>
  <si>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</si>
  <si>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</si>
  <si>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</si>
  <si>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</si>
  <si>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</si>
  <si>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</si>
  <si>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</si>
  <si>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</si>
  <si>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</si>
  <si>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</si>
  <si>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</si>
  <si>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</si>
  <si>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</si>
  <si>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</si>
  <si>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</si>
  <si>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</si>
  <si>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</si>
  <si>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</si>
  <si>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</si>
  <si>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</si>
  <si>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</si>
  <si>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</si>
  <si>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</si>
  <si>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</si>
  <si>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</si>
  <si>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</si>
  <si>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</si>
  <si>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</si>
  <si>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</si>
  <si>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</si>
  <si>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</si>
  <si>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</si>
  <si>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</si>
  <si>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</si>
  <si>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</si>
  <si>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</si>
  <si>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</si>
  <si>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</si>
  <si>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</si>
  <si>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</si>
  <si>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</si>
  <si>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</si>
  <si>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</si>
  <si>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</si>
  <si>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</si>
  <si>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</si>
  <si>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</si>
  <si>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</si>
  <si>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</si>
  <si>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</si>
  <si>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</si>
  <si>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</si>
  <si>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</si>
  <si>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</si>
  <si>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</si>
  <si>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</si>
  <si>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</si>
  <si>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</si>
  <si>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</si>
  <si>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</si>
  <si>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</si>
  <si>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</si>
  <si>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</si>
  <si>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</si>
  <si>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</si>
  <si>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</si>
  <si>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</si>
  <si>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</si>
  <si>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</si>
  <si>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</si>
  <si>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</si>
  <si>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</si>
  <si>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</si>
  <si>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</si>
  <si>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</si>
  <si>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</si>
  <si>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</si>
  <si>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</si>
  <si>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</si>
  <si>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</si>
  <si>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</si>
  <si>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</si>
  <si>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</si>
  <si>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</si>
  <si>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</si>
  <si>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</si>
  <si>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</si>
  <si>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</si>
  <si>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</si>
  <si>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</si>
  <si>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</si>
  <si>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</si>
  <si>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</si>
  <si>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</si>
  <si>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</si>
  <si>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</si>
  <si>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</si>
  <si>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</si>
  <si>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</si>
  <si>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</si>
  <si>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</si>
  <si>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</si>
  <si>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</si>
  <si>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</si>
  <si>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</si>
  <si>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</si>
  <si>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</si>
  <si>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</si>
  <si>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</si>
  <si>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</si>
  <si>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</si>
  <si>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</si>
  <si>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</si>
  <si>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</si>
  <si>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</si>
  <si>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</si>
  <si>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</si>
  <si>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</si>
  <si>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</si>
  <si>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</si>
  <si>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</si>
  <si>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</si>
  <si>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</si>
  <si>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</si>
  <si>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</si>
  <si>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</si>
  <si>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</si>
  <si>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</si>
  <si>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</si>
  <si>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</si>
  <si>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</si>
  <si>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</si>
  <si>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</si>
  <si>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</si>
  <si>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</si>
  <si>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</si>
  <si>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</si>
  <si>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</si>
  <si>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</si>
  <si>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</si>
  <si>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</si>
  <si>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</si>
  <si>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</si>
  <si>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</si>
  <si>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</si>
  <si>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</si>
  <si>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</si>
  <si>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</si>
  <si>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</si>
  <si>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</si>
  <si>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</si>
  <si>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</si>
  <si>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</si>
  <si>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</si>
  <si>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</si>
  <si>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</si>
  <si>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</si>
  <si>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</si>
  <si>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</si>
  <si>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</si>
  <si>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</si>
  <si>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</si>
  <si>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</si>
  <si>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</si>
  <si>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</si>
  <si>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</si>
  <si>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</si>
  <si>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</si>
  <si>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</si>
  <si>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</si>
  <si>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</si>
  <si>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</si>
  <si>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</si>
  <si>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</si>
  <si>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</si>
  <si>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</si>
  <si>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</si>
  <si>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</si>
  <si>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</si>
  <si>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</si>
  <si>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</si>
  <si>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</si>
  <si>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</si>
  <si>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</si>
  <si>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</si>
  <si>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</si>
  <si>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</si>
  <si>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</si>
  <si>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</si>
  <si>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</si>
  <si>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</si>
  <si>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</si>
  <si>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</si>
  <si>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</si>
  <si>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</si>
  <si>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</si>
  <si>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</si>
  <si>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</si>
  <si>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</si>
  <si>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</si>
  <si>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</si>
  <si>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</si>
  <si>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</si>
  <si>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</si>
  <si>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</si>
  <si>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</si>
  <si>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</si>
  <si>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</si>
  <si>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</si>
  <si>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</si>
  <si>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</si>
  <si>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</si>
  <si>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</si>
  <si>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</si>
  <si>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</si>
  <si>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</si>
  <si>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</si>
  <si>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</si>
  <si>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</si>
  <si>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</si>
  <si>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</si>
  <si>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</si>
  <si>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</si>
  <si>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</si>
  <si>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</si>
  <si>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</si>
  <si>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</si>
  <si>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</si>
  <si>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</si>
  <si>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</si>
  <si>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</si>
  <si>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</si>
  <si>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</si>
  <si>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</si>
  <si>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</si>
  <si>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</si>
  <si>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</si>
  <si>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</si>
  <si>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</si>
  <si>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</si>
  <si>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</si>
  <si>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</si>
  <si>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</si>
  <si>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</si>
  <si>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</si>
  <si>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</si>
  <si>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</si>
  <si>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</si>
  <si>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</si>
  <si>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</si>
  <si>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</si>
  <si>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</si>
  <si>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</si>
  <si>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</si>
  <si>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</si>
  <si>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</si>
  <si>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</si>
  <si>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</si>
  <si>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</si>
  <si>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</si>
  <si>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</si>
  <si>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</si>
  <si>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</si>
  <si>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</si>
  <si>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</si>
  <si>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</si>
  <si>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</si>
  <si>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</si>
  <si>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</si>
  <si>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</si>
  <si>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</si>
  <si>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</si>
  <si>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</si>
  <si>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</si>
  <si>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</si>
  <si>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</si>
  <si>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</si>
  <si>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</si>
  <si>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</si>
  <si>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</si>
  <si>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</si>
  <si>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</si>
  <si>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</si>
  <si>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</si>
  <si>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</si>
  <si>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</si>
  <si>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</si>
  <si>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</si>
  <si>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</si>
  <si>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</si>
  <si>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</si>
  <si>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</si>
  <si>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</si>
  <si>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</si>
  <si>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</si>
  <si>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</si>
  <si>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</si>
  <si>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</si>
  <si>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</si>
  <si>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</si>
  <si>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</si>
  <si>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</si>
  <si>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</si>
  <si>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</si>
  <si>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</si>
  <si>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</si>
  <si>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</si>
  <si>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</si>
  <si>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</si>
  <si>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</si>
  <si>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</si>
  <si>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</si>
  <si>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</si>
  <si>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</si>
  <si>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</si>
  <si>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</si>
  <si>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</si>
  <si>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</si>
  <si>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</si>
  <si>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</si>
  <si>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</si>
  <si>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</si>
  <si>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</si>
  <si>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</si>
  <si>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</si>
  <si>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</si>
  <si>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</si>
  <si>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</si>
  <si>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</si>
  <si>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</si>
  <si>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</si>
  <si>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</si>
  <si>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</si>
  <si>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</si>
  <si>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</si>
  <si>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</si>
  <si>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</si>
  <si>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</si>
  <si>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</si>
  <si>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</si>
  <si>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</si>
  <si>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</si>
  <si>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</si>
  <si>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</si>
  <si>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</si>
  <si>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</si>
  <si>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</si>
  <si>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</si>
  <si>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</si>
  <si>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</si>
  <si>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</si>
  <si>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</si>
  <si>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</si>
  <si>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</si>
  <si>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</si>
  <si>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</si>
  <si>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</si>
  <si>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</si>
  <si>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</si>
  <si>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</si>
  <si>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</si>
  <si>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</si>
  <si>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</si>
  <si>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</si>
  <si>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</si>
  <si>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</si>
  <si>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</si>
  <si>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</si>
  <si>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</si>
  <si>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</si>
  <si>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</si>
  <si>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</si>
  <si>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</si>
  <si>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</si>
  <si>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</si>
  <si>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</si>
  <si>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</si>
  <si>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</si>
  <si>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</si>
  <si>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</si>
  <si>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</si>
  <si>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</si>
  <si>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</si>
  <si>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</si>
  <si>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</si>
  <si>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</si>
  <si>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</si>
  <si>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</si>
  <si>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</si>
  <si>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</si>
  <si>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</si>
  <si>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</si>
  <si>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</si>
  <si>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</si>
  <si>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</si>
  <si>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</si>
  <si>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</si>
  <si>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</si>
  <si>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</si>
  <si>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</si>
  <si>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</si>
  <si>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</si>
  <si>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</si>
  <si>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</si>
  <si>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</si>
  <si>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</si>
  <si>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</si>
  <si>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</si>
  <si>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</si>
  <si>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</si>
  <si>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</si>
  <si>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</si>
  <si>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</si>
  <si>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</si>
  <si>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</si>
  <si>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</si>
  <si>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</si>
  <si>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</si>
  <si>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</si>
  <si>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</si>
  <si>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</si>
  <si>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</si>
  <si>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</si>
  <si>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</si>
  <si>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</si>
  <si>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</si>
  <si>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</si>
  <si>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</si>
  <si>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</si>
  <si>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</si>
  <si>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</si>
  <si>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</si>
  <si>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</si>
  <si>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</si>
  <si>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</si>
  <si>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</si>
  <si>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</si>
  <si>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</si>
  <si>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</si>
  <si>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</si>
  <si>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</si>
  <si>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</si>
  <si>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</si>
  <si>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</si>
  <si>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</si>
  <si>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</si>
  <si>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</si>
  <si>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</si>
  <si>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</si>
  <si>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</si>
  <si>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</si>
  <si>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</si>
  <si>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</si>
  <si>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</si>
  <si>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</si>
  <si>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</si>
  <si>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</si>
  <si>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</si>
  <si>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</si>
  <si>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</si>
  <si>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</si>
  <si>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</si>
  <si>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</si>
  <si>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</si>
  <si>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</si>
  <si>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</si>
  <si>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</si>
  <si>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</si>
  <si>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</si>
  <si>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</si>
  <si>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</si>
  <si>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</si>
  <si>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</si>
  <si>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</si>
  <si>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</si>
  <si>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</si>
  <si>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</si>
  <si>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</si>
  <si>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</si>
  <si>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</si>
  <si>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</si>
  <si>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</si>
  <si>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</si>
  <si>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</si>
  <si>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</si>
  <si>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</si>
  <si>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</si>
  <si>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</si>
  <si>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</si>
  <si>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</si>
  <si>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</si>
  <si>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</si>
  <si>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</si>
  <si>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</si>
  <si>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</si>
  <si>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</si>
  <si>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</si>
  <si>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</si>
  <si>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</si>
  <si>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</si>
  <si>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</si>
  <si>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</si>
  <si>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</si>
  <si>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</si>
  <si>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</si>
  <si>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</si>
  <si>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</si>
  <si>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</si>
  <si>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</si>
  <si>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</si>
  <si>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</si>
  <si>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</si>
  <si>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</si>
  <si>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</si>
  <si>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</si>
  <si>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</si>
  <si>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</si>
  <si>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</si>
  <si>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</si>
  <si>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</si>
  <si>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</si>
  <si>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</si>
  <si>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</si>
  <si>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</si>
  <si>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</si>
  <si>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</si>
  <si>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</si>
  <si>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</si>
  <si>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</si>
  <si>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</si>
  <si>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</si>
  <si>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</si>
  <si>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</si>
  <si>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</si>
  <si>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</si>
  <si>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</si>
  <si>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</si>
  <si>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</si>
  <si>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</si>
  <si>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</si>
  <si>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</si>
  <si>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</si>
  <si>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</si>
  <si>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</si>
  <si>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</si>
  <si>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</si>
  <si>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</si>
  <si>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</si>
  <si>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</si>
  <si>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</si>
  <si>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</si>
  <si>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</si>
  <si>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</si>
  <si>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</si>
  <si>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</si>
  <si>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</si>
  <si>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</si>
  <si>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</si>
  <si>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</si>
  <si>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</si>
  <si>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</si>
  <si>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</si>
  <si>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</si>
  <si>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</si>
  <si>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</si>
  <si>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</si>
  <si>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</si>
  <si>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</si>
  <si>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</si>
  <si>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</si>
  <si>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</si>
  <si>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</si>
  <si>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</si>
  <si>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</si>
  <si>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</si>
  <si>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</si>
  <si>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</si>
  <si>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</si>
  <si>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</si>
  <si>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</si>
  <si>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</si>
  <si>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</si>
  <si>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</si>
  <si>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</si>
  <si>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</si>
  <si>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</si>
  <si>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</si>
  <si>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</si>
  <si>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</si>
  <si>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</si>
  <si>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</si>
  <si>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</si>
  <si>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</si>
  <si>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</si>
  <si>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</si>
  <si>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</si>
  <si>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</si>
  <si>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</si>
  <si>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</si>
  <si>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</si>
  <si>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</si>
  <si>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</si>
  <si>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</si>
  <si>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</si>
  <si>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</si>
  <si>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</si>
  <si>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</si>
  <si>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</si>
  <si>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</si>
  <si>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</si>
  <si>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</si>
  <si>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</si>
  <si>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</si>
  <si>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</si>
  <si>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</si>
  <si>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</si>
  <si>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</si>
  <si>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</si>
  <si>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</si>
  <si>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</si>
  <si>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</si>
  <si>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</si>
  <si>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</si>
  <si>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</si>
  <si>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</si>
  <si>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</si>
  <si>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</si>
  <si>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</si>
  <si>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</si>
  <si>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</si>
  <si>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</si>
  <si>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</si>
  <si>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</si>
  <si>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</si>
  <si>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</si>
  <si>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</si>
  <si>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</si>
  <si>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</si>
  <si>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</si>
  <si>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</si>
  <si>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</si>
  <si>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</si>
  <si>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</si>
  <si>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</si>
  <si>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</si>
  <si>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</si>
  <si>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</si>
  <si>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</si>
  <si>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</si>
  <si>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</si>
  <si>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</si>
  <si>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</si>
  <si>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</si>
  <si>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</si>
  <si>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</si>
  <si>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</si>
  <si>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</si>
  <si>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</si>
  <si>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</si>
  <si>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</si>
  <si>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</si>
  <si>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</si>
  <si>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</si>
  <si>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</si>
  <si>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</si>
  <si>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</si>
  <si>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</si>
  <si>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</si>
  <si>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</si>
  <si>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</si>
  <si>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</si>
  <si>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</si>
  <si>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</si>
  <si>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</si>
  <si>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</si>
  <si>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</si>
  <si>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</si>
  <si>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</si>
  <si>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</si>
  <si>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</si>
  <si>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</si>
  <si>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</si>
  <si>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</si>
  <si>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</si>
  <si>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</si>
  <si>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</si>
  <si>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</si>
  <si>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</si>
  <si>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</si>
  <si>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</si>
  <si>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</si>
  <si>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</si>
  <si>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</si>
  <si>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</si>
  <si>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</si>
  <si>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</si>
  <si>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</si>
  <si>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</si>
  <si>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</si>
  <si>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</si>
  <si>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</si>
  <si>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</si>
  <si>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</si>
  <si>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</si>
  <si>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</si>
  <si>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</si>
  <si>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</si>
  <si>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</si>
  <si>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</si>
  <si>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</si>
  <si>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</si>
  <si>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</si>
  <si>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</si>
  <si>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</si>
  <si>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</si>
  <si>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</si>
  <si>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</si>
  <si>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</si>
  <si>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</si>
  <si>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</si>
  <si>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</si>
  <si>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</si>
  <si>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</si>
  <si>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</si>
  <si>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</si>
  <si>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</si>
  <si>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</si>
  <si>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</si>
  <si>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</si>
  <si>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</si>
  <si>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</si>
  <si>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</si>
  <si>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</si>
  <si>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</si>
  <si>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</si>
  <si>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</si>
  <si>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</si>
  <si>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</si>
  <si>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</si>
  <si>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</si>
  <si>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</si>
  <si>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</si>
  <si>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</si>
  <si>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</si>
  <si>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</si>
  <si>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</si>
  <si>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</si>
  <si>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</si>
  <si>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</si>
  <si>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</si>
  <si>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</si>
  <si>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</si>
  <si>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</si>
  <si>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</si>
  <si>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</si>
  <si>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</si>
  <si>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</si>
  <si>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</si>
  <si>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</si>
  <si>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</si>
  <si>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</si>
  <si>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</si>
  <si>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</si>
  <si>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</si>
  <si>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</si>
  <si>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</si>
  <si>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</si>
  <si>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</si>
  <si>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</si>
  <si>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</si>
  <si>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</si>
  <si>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</si>
  <si>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</si>
  <si>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</si>
  <si>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</si>
  <si>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</si>
  <si>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</si>
  <si>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</si>
  <si>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</si>
  <si>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</si>
  <si>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</si>
  <si>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</si>
  <si>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</si>
  <si>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</si>
  <si>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</si>
  <si>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</si>
  <si>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</si>
  <si>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</si>
  <si>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</si>
  <si>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</si>
  <si>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</si>
  <si>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</si>
  <si>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</si>
  <si>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</si>
  <si>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</si>
  <si>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</si>
  <si>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</si>
  <si>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</si>
  <si>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</si>
  <si>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</si>
  <si>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</si>
  <si>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</si>
  <si>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</si>
  <si>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</si>
  <si>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</si>
  <si>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</si>
  <si>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</si>
  <si>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</si>
  <si>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</si>
  <si>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</si>
  <si>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</si>
  <si>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</si>
  <si>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</si>
  <si>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</si>
  <si>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</si>
  <si>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</si>
  <si>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</si>
  <si>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</si>
  <si>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</si>
  <si>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</si>
  <si>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</si>
  <si>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</si>
  <si>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</si>
  <si>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</si>
  <si>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</si>
  <si>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</si>
  <si>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</si>
  <si>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</si>
  <si>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</si>
  <si>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</si>
  <si>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</si>
  <si>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</si>
  <si>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</si>
  <si>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</si>
  <si>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</si>
  <si>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</si>
  <si>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</si>
  <si>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</si>
  <si>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</si>
  <si>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</si>
  <si>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</si>
  <si>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</si>
  <si>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</si>
  <si>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</si>
  <si>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</si>
  <si>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</si>
  <si>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</si>
  <si>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</si>
  <si>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</si>
  <si>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</si>
  <si>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</si>
  <si>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</si>
  <si>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</si>
  <si>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</si>
  <si>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</si>
  <si>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</si>
  <si>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</si>
  <si>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</si>
  <si>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</si>
  <si>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</si>
  <si>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</si>
  <si>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</si>
  <si>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</si>
  <si>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</si>
  <si>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</si>
  <si>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</si>
  <si>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</si>
  <si>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</si>
  <si>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</si>
  <si>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</si>
  <si>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</si>
  <si>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</si>
  <si>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</si>
  <si>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</si>
  <si>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</si>
  <si>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</si>
  <si>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</si>
  <si>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</si>
  <si>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</si>
  <si>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</si>
  <si>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</si>
  <si>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</si>
  <si>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</si>
  <si>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</si>
  <si>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</si>
  <si>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</si>
  <si>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</si>
  <si>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</si>
  <si>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</si>
  <si>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</si>
  <si>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</si>
  <si>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</si>
  <si>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</si>
  <si>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</si>
  <si>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</si>
  <si>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</si>
  <si>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</si>
  <si>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</si>
  <si>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</si>
  <si>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Wilson ( Oasis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</si>
</sst>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ConvocaveisCopa2026" displayName="TabelaConvocaveisCopa2026" ref="A1:B817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E25"/>
  <sheetViews>
    <sheetView showGridLines="0" tabSelected="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32" t="s">
        <v>1538</v>
      </c>
      <c r="C1" s="133"/>
    </row>
    <row r="2" spans="2:3" ht="27.95" customHeight="1">
      <c r="B2" s="134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5" t="s">
        <v>1539</v>
      </c>
    </row>
    <row r="5" spans="2:3" ht="42" customHeight="1">
      <c r="B5" s="3" t="s">
        <v>1548</v>
      </c>
      <c r="C5" s="135"/>
    </row>
    <row r="6" spans="2:3" ht="42" customHeight="1">
      <c r="B6" s="119" t="s">
        <v>1540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EO34"/>
  <sheetViews>
    <sheetView showGridLines="0" workbookViewId="0">
      <pane xSplit="1" ySplit="4" topLeftCell="DI5" activePane="bottomRight" state="frozen"/>
      <selection pane="topRight"/>
      <selection pane="bottomLeft"/>
      <selection pane="bottomRight" activeCell="EF15" sqref="EF1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42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5" customHeight="1">
      <c r="A3" s="5" t="s">
        <v>10</v>
      </c>
      <c r="B3" s="140" t="s">
        <v>11</v>
      </c>
      <c r="C3" s="133"/>
      <c r="D3" s="140" t="s">
        <v>12</v>
      </c>
      <c r="E3" s="133"/>
      <c r="F3" s="140" t="s">
        <v>13</v>
      </c>
      <c r="G3" s="133"/>
      <c r="H3" s="140" t="s">
        <v>14</v>
      </c>
      <c r="I3" s="133"/>
      <c r="J3" s="140" t="s">
        <v>15</v>
      </c>
      <c r="K3" s="133"/>
      <c r="L3" s="140" t="s">
        <v>16</v>
      </c>
      <c r="M3" s="133"/>
      <c r="N3" s="149" t="s">
        <v>17</v>
      </c>
      <c r="O3" s="133"/>
      <c r="P3" s="149" t="s">
        <v>18</v>
      </c>
      <c r="Q3" s="133"/>
      <c r="R3" s="149" t="s">
        <v>19</v>
      </c>
      <c r="S3" s="133"/>
      <c r="T3" s="149" t="s">
        <v>20</v>
      </c>
      <c r="U3" s="133"/>
      <c r="V3" s="149" t="s">
        <v>21</v>
      </c>
      <c r="W3" s="133"/>
      <c r="X3" s="149" t="s">
        <v>22</v>
      </c>
      <c r="Y3" s="133"/>
      <c r="Z3" s="152" t="s">
        <v>23</v>
      </c>
      <c r="AA3" s="133"/>
      <c r="AB3" s="152" t="s">
        <v>24</v>
      </c>
      <c r="AC3" s="133"/>
      <c r="AD3" s="152" t="s">
        <v>25</v>
      </c>
      <c r="AE3" s="133"/>
      <c r="AF3" s="152" t="s">
        <v>26</v>
      </c>
      <c r="AG3" s="133"/>
      <c r="AH3" s="152" t="s">
        <v>27</v>
      </c>
      <c r="AI3" s="133"/>
      <c r="AJ3" s="152" t="s">
        <v>28</v>
      </c>
      <c r="AK3" s="133"/>
      <c r="AL3" s="151" t="s">
        <v>29</v>
      </c>
      <c r="AM3" s="133"/>
      <c r="AN3" s="151" t="s">
        <v>30</v>
      </c>
      <c r="AO3" s="133"/>
      <c r="AP3" s="151" t="s">
        <v>31</v>
      </c>
      <c r="AQ3" s="133"/>
      <c r="AR3" s="151" t="s">
        <v>32</v>
      </c>
      <c r="AS3" s="133"/>
      <c r="AT3" s="151" t="s">
        <v>33</v>
      </c>
      <c r="AU3" s="133"/>
      <c r="AV3" s="151" t="s">
        <v>34</v>
      </c>
      <c r="AW3" s="133"/>
      <c r="AX3" s="143" t="s">
        <v>35</v>
      </c>
      <c r="AY3" s="133"/>
      <c r="AZ3" s="143" t="s">
        <v>36</v>
      </c>
      <c r="BA3" s="133"/>
      <c r="BB3" s="143" t="s">
        <v>37</v>
      </c>
      <c r="BC3" s="133"/>
      <c r="BD3" s="143" t="s">
        <v>38</v>
      </c>
      <c r="BE3" s="133"/>
      <c r="BF3" s="143" t="s">
        <v>39</v>
      </c>
      <c r="BG3" s="133"/>
      <c r="BH3" s="143" t="s">
        <v>40</v>
      </c>
      <c r="BI3" s="133"/>
      <c r="BJ3" s="144" t="s">
        <v>41</v>
      </c>
      <c r="BK3" s="133"/>
      <c r="BL3" s="144" t="s">
        <v>42</v>
      </c>
      <c r="BM3" s="133"/>
      <c r="BN3" s="144" t="s">
        <v>43</v>
      </c>
      <c r="BO3" s="133"/>
      <c r="BP3" s="144" t="s">
        <v>44</v>
      </c>
      <c r="BQ3" s="133"/>
      <c r="BR3" s="144" t="s">
        <v>45</v>
      </c>
      <c r="BS3" s="133"/>
      <c r="BT3" s="144" t="s">
        <v>46</v>
      </c>
      <c r="BU3" s="133"/>
      <c r="BV3" s="160" t="s">
        <v>47</v>
      </c>
      <c r="BW3" s="133"/>
      <c r="BX3" s="160" t="s">
        <v>48</v>
      </c>
      <c r="BY3" s="133"/>
      <c r="BZ3" s="160" t="s">
        <v>49</v>
      </c>
      <c r="CA3" s="133"/>
      <c r="CB3" s="160" t="s">
        <v>50</v>
      </c>
      <c r="CC3" s="133"/>
      <c r="CD3" s="160" t="s">
        <v>51</v>
      </c>
      <c r="CE3" s="133"/>
      <c r="CF3" s="160" t="s">
        <v>52</v>
      </c>
      <c r="CG3" s="133"/>
      <c r="CH3" s="155" t="s">
        <v>53</v>
      </c>
      <c r="CI3" s="133"/>
      <c r="CJ3" s="155" t="s">
        <v>54</v>
      </c>
      <c r="CK3" s="133"/>
      <c r="CL3" s="155" t="s">
        <v>55</v>
      </c>
      <c r="CM3" s="133"/>
      <c r="CN3" s="155" t="s">
        <v>56</v>
      </c>
      <c r="CO3" s="133"/>
      <c r="CP3" s="155" t="s">
        <v>57</v>
      </c>
      <c r="CQ3" s="133"/>
      <c r="CR3" s="155" t="s">
        <v>58</v>
      </c>
      <c r="CS3" s="133"/>
      <c r="CT3" s="137" t="s">
        <v>59</v>
      </c>
      <c r="CU3" s="133"/>
      <c r="CV3" s="137" t="s">
        <v>60</v>
      </c>
      <c r="CW3" s="133"/>
      <c r="CX3" s="137" t="s">
        <v>61</v>
      </c>
      <c r="CY3" s="133"/>
      <c r="CZ3" s="137" t="s">
        <v>62</v>
      </c>
      <c r="DA3" s="133"/>
      <c r="DB3" s="137" t="s">
        <v>63</v>
      </c>
      <c r="DC3" s="133"/>
      <c r="DD3" s="137" t="s">
        <v>64</v>
      </c>
      <c r="DE3" s="133"/>
      <c r="DF3" s="159" t="s">
        <v>65</v>
      </c>
      <c r="DG3" s="133"/>
      <c r="DH3" s="159" t="s">
        <v>66</v>
      </c>
      <c r="DI3" s="133"/>
      <c r="DJ3" s="159" t="s">
        <v>67</v>
      </c>
      <c r="DK3" s="133"/>
      <c r="DL3" s="159" t="s">
        <v>68</v>
      </c>
      <c r="DM3" s="133"/>
      <c r="DN3" s="159" t="s">
        <v>69</v>
      </c>
      <c r="DO3" s="133"/>
      <c r="DP3" s="159" t="s">
        <v>70</v>
      </c>
      <c r="DQ3" s="133"/>
      <c r="DR3" s="148" t="s">
        <v>71</v>
      </c>
      <c r="DS3" s="133"/>
      <c r="DT3" s="148" t="s">
        <v>72</v>
      </c>
      <c r="DU3" s="133"/>
      <c r="DV3" s="148" t="s">
        <v>73</v>
      </c>
      <c r="DW3" s="133"/>
      <c r="DX3" s="148" t="s">
        <v>74</v>
      </c>
      <c r="DY3" s="133"/>
      <c r="DZ3" s="148" t="s">
        <v>75</v>
      </c>
      <c r="EA3" s="133"/>
      <c r="EB3" s="148" t="s">
        <v>76</v>
      </c>
      <c r="EC3" s="133"/>
      <c r="ED3" s="136" t="s">
        <v>77</v>
      </c>
      <c r="EE3" s="133"/>
      <c r="EF3" s="136" t="s">
        <v>78</v>
      </c>
      <c r="EG3" s="133"/>
      <c r="EH3" s="136" t="s">
        <v>79</v>
      </c>
      <c r="EI3" s="133"/>
      <c r="EJ3" s="136" t="s">
        <v>80</v>
      </c>
      <c r="EK3" s="133"/>
      <c r="EL3" s="136" t="s">
        <v>81</v>
      </c>
      <c r="EM3" s="133"/>
      <c r="EN3" s="136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2</v>
      </c>
      <c r="C5" s="121">
        <v>0</v>
      </c>
      <c r="D5" s="121">
        <v>1</v>
      </c>
      <c r="E5" s="121">
        <v>1</v>
      </c>
      <c r="F5" s="121">
        <v>3</v>
      </c>
      <c r="G5" s="121">
        <v>1</v>
      </c>
      <c r="H5" s="121">
        <v>2</v>
      </c>
      <c r="I5" s="121">
        <v>1</v>
      </c>
      <c r="J5" s="121">
        <v>1</v>
      </c>
      <c r="K5" s="121">
        <v>1</v>
      </c>
      <c r="L5" s="121">
        <v>1</v>
      </c>
      <c r="M5" s="121">
        <v>2</v>
      </c>
      <c r="N5" s="121">
        <v>1</v>
      </c>
      <c r="O5" s="121">
        <v>1</v>
      </c>
      <c r="P5" s="121">
        <v>0</v>
      </c>
      <c r="Q5" s="121">
        <v>2</v>
      </c>
      <c r="R5" s="121">
        <v>3</v>
      </c>
      <c r="S5" s="121">
        <v>1</v>
      </c>
      <c r="T5" s="121">
        <v>2</v>
      </c>
      <c r="U5" s="121">
        <v>0</v>
      </c>
      <c r="V5" s="121">
        <v>1</v>
      </c>
      <c r="W5" s="121">
        <v>1</v>
      </c>
      <c r="X5" s="121">
        <v>2</v>
      </c>
      <c r="Y5" s="121">
        <v>2</v>
      </c>
      <c r="Z5" s="121">
        <v>2</v>
      </c>
      <c r="AA5" s="121">
        <v>1</v>
      </c>
      <c r="AB5" s="121">
        <v>0</v>
      </c>
      <c r="AC5" s="121">
        <v>3</v>
      </c>
      <c r="AD5" s="121">
        <v>0</v>
      </c>
      <c r="AE5" s="121">
        <v>2</v>
      </c>
      <c r="AF5" s="121">
        <v>4</v>
      </c>
      <c r="AG5" s="121">
        <v>0</v>
      </c>
      <c r="AH5" s="121">
        <v>0</v>
      </c>
      <c r="AI5" s="121">
        <v>2</v>
      </c>
      <c r="AJ5" s="121">
        <v>3</v>
      </c>
      <c r="AK5" s="121">
        <v>0</v>
      </c>
      <c r="AL5" s="121">
        <v>1</v>
      </c>
      <c r="AM5" s="121">
        <v>1</v>
      </c>
      <c r="AN5" s="121">
        <v>1</v>
      </c>
      <c r="AO5" s="121">
        <v>3</v>
      </c>
      <c r="AP5" s="121">
        <v>2</v>
      </c>
      <c r="AQ5" s="121">
        <v>0</v>
      </c>
      <c r="AR5" s="121">
        <v>0</v>
      </c>
      <c r="AS5" s="121">
        <v>0</v>
      </c>
      <c r="AT5" s="121">
        <v>1</v>
      </c>
      <c r="AU5" s="121">
        <v>1</v>
      </c>
      <c r="AV5" s="121">
        <v>3</v>
      </c>
      <c r="AW5" s="121">
        <v>1</v>
      </c>
      <c r="AX5" s="121">
        <v>3</v>
      </c>
      <c r="AY5" s="121">
        <v>0</v>
      </c>
      <c r="AZ5" s="121">
        <v>1</v>
      </c>
      <c r="BA5" s="121">
        <v>1</v>
      </c>
      <c r="BB5" s="121">
        <v>2</v>
      </c>
      <c r="BC5" s="121">
        <v>1</v>
      </c>
      <c r="BD5" s="121">
        <v>3</v>
      </c>
      <c r="BE5" s="121">
        <v>0</v>
      </c>
      <c r="BF5" s="121">
        <v>1</v>
      </c>
      <c r="BG5" s="121">
        <v>3</v>
      </c>
      <c r="BH5" s="121">
        <v>0</v>
      </c>
      <c r="BI5" s="121">
        <v>2</v>
      </c>
      <c r="BJ5" s="121">
        <v>1</v>
      </c>
      <c r="BK5" s="121">
        <v>1</v>
      </c>
      <c r="BL5" s="121">
        <v>2</v>
      </c>
      <c r="BM5" s="121">
        <v>1</v>
      </c>
      <c r="BN5" s="121">
        <v>2</v>
      </c>
      <c r="BO5" s="121">
        <v>2</v>
      </c>
      <c r="BP5" s="121">
        <v>0</v>
      </c>
      <c r="BQ5" s="121">
        <v>3</v>
      </c>
      <c r="BR5" s="121">
        <v>2</v>
      </c>
      <c r="BS5" s="121">
        <v>0</v>
      </c>
      <c r="BT5" s="121">
        <v>0</v>
      </c>
      <c r="BU5" s="121">
        <v>2</v>
      </c>
      <c r="BV5" s="121">
        <v>3</v>
      </c>
      <c r="BW5" s="121">
        <v>1</v>
      </c>
      <c r="BX5" s="121">
        <v>0</v>
      </c>
      <c r="BY5" s="121">
        <v>1</v>
      </c>
      <c r="BZ5" s="121">
        <v>3</v>
      </c>
      <c r="CA5" s="121">
        <v>0</v>
      </c>
      <c r="CB5" s="121">
        <v>1</v>
      </c>
      <c r="CC5" s="121">
        <v>1</v>
      </c>
      <c r="CD5" s="121">
        <v>2</v>
      </c>
      <c r="CE5" s="121">
        <v>0</v>
      </c>
      <c r="CF5" s="121">
        <v>1</v>
      </c>
      <c r="CG5" s="121">
        <v>3</v>
      </c>
      <c r="CH5" s="121">
        <v>4</v>
      </c>
      <c r="CI5" s="121">
        <v>0</v>
      </c>
      <c r="CJ5" s="121">
        <v>0</v>
      </c>
      <c r="CK5" s="121">
        <v>2</v>
      </c>
      <c r="CL5" s="121">
        <v>2</v>
      </c>
      <c r="CM5" s="121">
        <v>0</v>
      </c>
      <c r="CN5" s="121">
        <v>3</v>
      </c>
      <c r="CO5" s="121">
        <v>1</v>
      </c>
      <c r="CP5" s="121">
        <v>1</v>
      </c>
      <c r="CQ5" s="121">
        <v>1</v>
      </c>
      <c r="CR5" s="121">
        <v>2</v>
      </c>
      <c r="CS5" s="121">
        <v>3</v>
      </c>
      <c r="CT5" s="121">
        <v>2</v>
      </c>
      <c r="CU5" s="121">
        <v>0</v>
      </c>
      <c r="CV5" s="121">
        <v>0</v>
      </c>
      <c r="CW5" s="121">
        <v>2</v>
      </c>
      <c r="CX5" s="121">
        <v>3</v>
      </c>
      <c r="CY5" s="121">
        <v>0</v>
      </c>
      <c r="CZ5" s="121">
        <v>2</v>
      </c>
      <c r="DA5" s="121">
        <v>1</v>
      </c>
      <c r="DB5" s="121">
        <v>1</v>
      </c>
      <c r="DC5" s="121">
        <v>2</v>
      </c>
      <c r="DD5" s="121">
        <v>3</v>
      </c>
      <c r="DE5" s="121">
        <v>1</v>
      </c>
      <c r="DF5" s="121">
        <v>2</v>
      </c>
      <c r="DG5" s="121">
        <v>0</v>
      </c>
      <c r="DH5" s="121">
        <v>1</v>
      </c>
      <c r="DI5" s="121">
        <v>0</v>
      </c>
      <c r="DJ5" s="121">
        <v>2</v>
      </c>
      <c r="DK5" s="121">
        <v>0</v>
      </c>
      <c r="DL5" s="121">
        <v>1</v>
      </c>
      <c r="DM5" s="121">
        <v>3</v>
      </c>
      <c r="DN5" s="121">
        <v>1</v>
      </c>
      <c r="DO5" s="121">
        <v>1</v>
      </c>
      <c r="DP5" s="121">
        <v>0</v>
      </c>
      <c r="DQ5" s="121">
        <v>3</v>
      </c>
      <c r="DR5" s="121">
        <v>3</v>
      </c>
      <c r="DS5" s="121">
        <v>0</v>
      </c>
      <c r="DT5" s="121">
        <v>0</v>
      </c>
      <c r="DU5" s="121">
        <v>2</v>
      </c>
      <c r="DV5" s="121">
        <v>3</v>
      </c>
      <c r="DW5" s="121">
        <v>0</v>
      </c>
      <c r="DX5" s="121">
        <v>2</v>
      </c>
      <c r="DY5" s="121">
        <v>0</v>
      </c>
      <c r="DZ5" s="121">
        <v>2</v>
      </c>
      <c r="EA5" s="121">
        <v>2</v>
      </c>
      <c r="EB5" s="121">
        <v>0</v>
      </c>
      <c r="EC5" s="121">
        <v>0</v>
      </c>
      <c r="ED5" s="121">
        <v>2</v>
      </c>
      <c r="EE5" s="121">
        <v>1</v>
      </c>
      <c r="EF5" s="121">
        <v>3</v>
      </c>
      <c r="EG5" s="121">
        <v>1</v>
      </c>
      <c r="EH5" s="121">
        <v>3</v>
      </c>
      <c r="EI5" s="121">
        <v>1</v>
      </c>
      <c r="EJ5" s="121">
        <v>0</v>
      </c>
      <c r="EK5" s="121">
        <v>2</v>
      </c>
      <c r="EL5" s="121">
        <v>0</v>
      </c>
      <c r="EM5" s="121">
        <v>3</v>
      </c>
      <c r="EN5" s="121">
        <v>2</v>
      </c>
      <c r="EO5" s="121">
        <v>2</v>
      </c>
    </row>
    <row r="7" spans="1:145" ht="21.95" customHeight="1">
      <c r="A7" s="138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5" customHeight="1">
      <c r="A8" s="161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62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65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46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46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46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47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2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47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7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0" t="str">
        <f>IFERROR(INDEX(Calc!$B$3:$B$6,MATCH(2,Calc!$J$3:$J$6,0)),"?")</f>
        <v>Tchequia</v>
      </c>
      <c r="C11" s="133"/>
      <c r="D11" s="133"/>
      <c r="E11" s="133"/>
      <c r="F11" s="133"/>
      <c r="G11" s="133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0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2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0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41" t="str">
        <f>IFERROR(INDEX(Calc!$B$3:$B$6,MATCH(3,Calc!$J$3:$J$6,0)),"?")</f>
        <v>Coreia do Sul</v>
      </c>
      <c r="C12" s="133"/>
      <c r="D12" s="133"/>
      <c r="E12" s="133"/>
      <c r="F12" s="133"/>
      <c r="G12" s="133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1" t="str">
        <f>IFERROR(INDEX(Calc!$B$7:$B$10,MATCH(3,Calc!$J$7:$J$10,0)),"?")</f>
        <v>Bosnia e Herzegovina</v>
      </c>
      <c r="S12" s="133"/>
      <c r="T12" s="133"/>
      <c r="U12" s="133"/>
      <c r="V12" s="133"/>
      <c r="W12" s="133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6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41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39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39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39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10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7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45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66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46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46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46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47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47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47" t="str">
        <f>IFERROR(INDEX(Calc!$B$23:$B$26,MATCH(1,Calc!$J$23:$J$26,0)),"?")</f>
        <v>Japao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0" t="str">
        <f>IFERROR(INDEX(Calc!$B$15:$B$18,MATCH(2,Calc!$J$15:$J$18,0)),"?")</f>
        <v>Turquia</v>
      </c>
      <c r="C18" s="133"/>
      <c r="D18" s="133"/>
      <c r="E18" s="133"/>
      <c r="F18" s="133"/>
      <c r="G18" s="133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0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0" t="str">
        <f>IFERROR(INDEX(Calc!$B$23:$B$26,MATCH(2,Calc!$J$23:$J$26,0)),"?")</f>
        <v>Holanda</v>
      </c>
      <c r="AI18" s="133"/>
      <c r="AJ18" s="133"/>
      <c r="AK18" s="133"/>
      <c r="AL18" s="133"/>
      <c r="AM18" s="133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41" t="str">
        <f>IFERROR(INDEX(Calc!$B$15:$B$18,MATCH(3,Calc!$J$15:$J$18,0)),"?")</f>
        <v>Paraguai</v>
      </c>
      <c r="C19" s="133"/>
      <c r="D19" s="133"/>
      <c r="E19" s="133"/>
      <c r="F19" s="133"/>
      <c r="G19" s="133"/>
      <c r="H19" s="27">
        <f>IFERROR(INDEX(Calc!$H$15:$H$18,MATCH(3,Calc!$J$15:$J$18,0)),0)</f>
        <v>5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2</v>
      </c>
      <c r="L19" s="27">
        <f>IFERROR(INDEX(Calc!$L$15:$L$18,MATCH(3,Calc!$J$15:$J$18,0)),0)</f>
        <v>0</v>
      </c>
      <c r="M19" s="27">
        <f>IFERROR(INDEX(Calc!$E$15:$E$18,MATCH(3,Calc!$J$15:$J$18,0)),0)</f>
        <v>4</v>
      </c>
      <c r="N19" s="27">
        <f>IFERROR(INDEX(Calc!$F$15:$F$18,MATCH(3,Calc!$J$15:$J$18,0)),0)</f>
        <v>2</v>
      </c>
      <c r="O19" s="27">
        <f>IFERROR(INDEX(Calc!$G$15:$G$18,MATCH(3,Calc!$J$15:$J$18,0)),0)</f>
        <v>2</v>
      </c>
      <c r="P19" s="27">
        <f>IFERROR(ROUND(INDEX(Calc!$H$15:$H$18,MATCH(3,Calc!$J$15:$J$18,0))/(INDEX(Calc!$K$15:$K$18,MATCH(3,Calc!$J$15:$J$18,0))*3)*100,0),0)</f>
        <v>56</v>
      </c>
      <c r="Q19" s="26">
        <v>3</v>
      </c>
      <c r="R19" s="141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41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5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39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8</v>
      </c>
      <c r="O20" s="29">
        <f>IFERROR(INDEX(Calc!$G$15:$G$18,MATCH(4,Calc!$J$15:$J$18,0)),0)</f>
        <v>-6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39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39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7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53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57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64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46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46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46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47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2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7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7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0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0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4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0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41" t="str">
        <f>IFERROR(INDEX(Calc!$B$27:$B$30,MATCH(3,Calc!$J$27:$J$30,0)),"?")</f>
        <v>Nova Zelandia</v>
      </c>
      <c r="C26" s="133"/>
      <c r="D26" s="133"/>
      <c r="E26" s="133"/>
      <c r="F26" s="133"/>
      <c r="G26" s="133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1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41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39" t="str">
        <f>IFERROR(INDEX(Calc!$B$27:$B$30,MATCH(4,Calc!$J$27:$J$30,0)),"?")</f>
        <v>Ira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39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8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39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8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54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56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63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46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46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46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47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47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47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0" t="str">
        <f>IFERROR(INDEX(Calc!$B$39:$B$42,MATCH(2,Calc!$J$39:$J$42,0)),"?")</f>
        <v>Argelia</v>
      </c>
      <c r="C32" s="133"/>
      <c r="D32" s="133"/>
      <c r="E32" s="133"/>
      <c r="F32" s="133"/>
      <c r="G32" s="133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0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0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4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41" t="str">
        <f>IFERROR(INDEX(Calc!$B$39:$B$42,MATCH(3,Calc!$J$39:$J$42,0)),"?")</f>
        <v>Austria</v>
      </c>
      <c r="C33" s="133"/>
      <c r="D33" s="133"/>
      <c r="E33" s="133"/>
      <c r="F33" s="133"/>
      <c r="G33" s="133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41" t="str">
        <f>IFERROR(INDEX(Calc!$B$43:$B$46,MATCH(3,Calc!$J$43:$J$46,0)),"?")</f>
        <v>RD Congo</v>
      </c>
      <c r="S33" s="133"/>
      <c r="T33" s="133"/>
      <c r="U33" s="133"/>
      <c r="V33" s="133"/>
      <c r="W33" s="133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0</v>
      </c>
      <c r="AD33" s="27">
        <f>IFERROR(INDEX(Calc!$F$43:$F$46,MATCH(3,Calc!$J$43:$J$46,0)),0)</f>
        <v>5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41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6</v>
      </c>
      <c r="AT33" s="27">
        <f>IFERROR(INDEX(Calc!$F$47:$F$50,MATCH(3,Calc!$J$47:$J$50,0)),0)</f>
        <v>6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39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39" t="str">
        <f>IFERROR(INDEX(Calc!$B$43:$B$46,MATCH(4,Calc!$J$43:$J$46,0)),"?")</f>
        <v>Uzbequistao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5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39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2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2</v>
      </c>
      <c r="H6" s="38">
        <f t="shared" si="1"/>
        <v>5</v>
      </c>
      <c r="I6" s="37">
        <f t="shared" si="2"/>
        <v>5202005462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5</v>
      </c>
      <c r="I7" s="41">
        <f t="shared" si="2"/>
        <v>5202004456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6</v>
      </c>
      <c r="G8" s="41">
        <f t="shared" si="0"/>
        <v>-2</v>
      </c>
      <c r="H8" s="42">
        <f t="shared" si="1"/>
        <v>2</v>
      </c>
      <c r="I8" s="41">
        <f t="shared" si="2"/>
        <v>2198004445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-4</v>
      </c>
      <c r="H9" s="42">
        <f t="shared" si="1"/>
        <v>1</v>
      </c>
      <c r="I9" s="41">
        <f t="shared" si="2"/>
        <v>1196002462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7</v>
      </c>
      <c r="I10" s="41">
        <f t="shared" si="2"/>
        <v>7204006480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-10</v>
      </c>
      <c r="H13" s="46">
        <f t="shared" si="1"/>
        <v>0</v>
      </c>
      <c r="I13" s="45">
        <f t="shared" si="2"/>
        <v>190000414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5</v>
      </c>
      <c r="I15" s="49">
        <f t="shared" si="2"/>
        <v>5202004489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2</v>
      </c>
      <c r="H16" s="50">
        <f t="shared" si="1"/>
        <v>5</v>
      </c>
      <c r="I16" s="49">
        <f t="shared" si="2"/>
        <v>5202004449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8</v>
      </c>
      <c r="G17" s="49">
        <f t="shared" si="0"/>
        <v>-6</v>
      </c>
      <c r="H17" s="50">
        <f t="shared" si="1"/>
        <v>0</v>
      </c>
      <c r="I17" s="49">
        <f t="shared" si="2"/>
        <v>194002477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2</v>
      </c>
      <c r="H18" s="50">
        <f t="shared" si="1"/>
        <v>5</v>
      </c>
      <c r="I18" s="49">
        <f t="shared" si="2"/>
        <v>5202004464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1</v>
      </c>
      <c r="H22" s="54">
        <f t="shared" si="1"/>
        <v>4</v>
      </c>
      <c r="I22" s="53">
        <f t="shared" si="2"/>
        <v>4201005461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2</v>
      </c>
      <c r="H23" s="58">
        <f t="shared" si="1"/>
        <v>5</v>
      </c>
      <c r="I23" s="57">
        <f t="shared" si="2"/>
        <v>5202005492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1</v>
      </c>
      <c r="G24" s="57">
        <f t="shared" si="0"/>
        <v>5</v>
      </c>
      <c r="H24" s="58">
        <f t="shared" si="1"/>
        <v>7</v>
      </c>
      <c r="I24" s="57">
        <f t="shared" si="2"/>
        <v>7205006485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-1</v>
      </c>
      <c r="H25" s="58">
        <f t="shared" si="1"/>
        <v>4</v>
      </c>
      <c r="I25" s="57">
        <f t="shared" si="2"/>
        <v>4199004474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-6</v>
      </c>
      <c r="H26" s="58">
        <f t="shared" si="1"/>
        <v>0</v>
      </c>
      <c r="I26" s="57">
        <f t="shared" si="2"/>
        <v>194001470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7</v>
      </c>
      <c r="H27" s="62">
        <f t="shared" si="1"/>
        <v>9</v>
      </c>
      <c r="I27" s="61">
        <f t="shared" si="2"/>
        <v>9207009497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6</v>
      </c>
      <c r="G29" s="61">
        <f t="shared" si="0"/>
        <v>-6</v>
      </c>
      <c r="H29" s="62">
        <f t="shared" si="1"/>
        <v>0</v>
      </c>
      <c r="I29" s="61">
        <f t="shared" si="2"/>
        <v>194000475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3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-1</v>
      </c>
      <c r="H30" s="62">
        <f t="shared" si="1"/>
        <v>4</v>
      </c>
      <c r="I30" s="61">
        <f t="shared" si="2"/>
        <v>4199003402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1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-6</v>
      </c>
      <c r="H32" s="66">
        <f t="shared" si="1"/>
        <v>1</v>
      </c>
      <c r="I32" s="65">
        <f t="shared" si="2"/>
        <v>1194002412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-4</v>
      </c>
      <c r="H33" s="66">
        <f t="shared" si="1"/>
        <v>1</v>
      </c>
      <c r="I33" s="65">
        <f t="shared" si="2"/>
        <v>1196001443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3</v>
      </c>
      <c r="H34" s="66">
        <f t="shared" si="1"/>
        <v>6</v>
      </c>
      <c r="I34" s="65">
        <f t="shared" si="2"/>
        <v>6203007483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-7</v>
      </c>
      <c r="H37" s="70">
        <f t="shared" si="1"/>
        <v>0</v>
      </c>
      <c r="I37" s="69">
        <f t="shared" si="2"/>
        <v>193001435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6</v>
      </c>
      <c r="I38" s="69">
        <f t="shared" si="2"/>
        <v>6202005472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0</v>
      </c>
      <c r="H40" s="74">
        <f t="shared" si="1"/>
        <v>4</v>
      </c>
      <c r="I40" s="73">
        <f t="shared" si="2"/>
        <v>4200004468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-1</v>
      </c>
      <c r="H41" s="74">
        <f t="shared" si="1"/>
        <v>4</v>
      </c>
      <c r="I41" s="73">
        <f t="shared" si="2"/>
        <v>4199002476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7</v>
      </c>
      <c r="I43" s="77">
        <f t="shared" si="2"/>
        <v>7206008494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-5</v>
      </c>
      <c r="H44" s="78">
        <f t="shared" si="1"/>
        <v>1</v>
      </c>
      <c r="I44" s="77">
        <f t="shared" si="2"/>
        <v>1195000443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-5</v>
      </c>
      <c r="H45" s="78">
        <f t="shared" si="1"/>
        <v>1</v>
      </c>
      <c r="I45" s="77">
        <f t="shared" si="2"/>
        <v>1195000426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7</v>
      </c>
      <c r="I46" s="77">
        <f t="shared" si="2"/>
        <v>7204006482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9</v>
      </c>
      <c r="I47" s="81">
        <f t="shared" si="2"/>
        <v>9206008491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1</v>
      </c>
      <c r="H48" s="82">
        <f t="shared" si="1"/>
        <v>4</v>
      </c>
      <c r="I48" s="81">
        <f t="shared" si="2"/>
        <v>4201005490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6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0</v>
      </c>
      <c r="H49" s="82">
        <f t="shared" si="1"/>
        <v>4</v>
      </c>
      <c r="I49" s="81">
        <f t="shared" si="2"/>
        <v>4200006448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Coreia do Sul</v>
      </c>
      <c r="C66" s="97">
        <f>IFERROR(INDEX($I$3:$I$6,MATCH(3,$J$3:$J$6,0)),0)</f>
        <v>4200004477</v>
      </c>
      <c r="D66" s="98">
        <f t="shared" ref="D66:D77" si="4">RANK(C66,$C$66:$C$77,0)</f>
        <v>4</v>
      </c>
    </row>
    <row r="67" spans="1:4">
      <c r="A67" s="99" t="s">
        <v>158</v>
      </c>
      <c r="B67" s="97" t="str">
        <f>IFERROR(INDEX($B$7:$B$10,MATCH(3,$J$7:$J$10,0)),"?")</f>
        <v>Bosnia e Herzegovina</v>
      </c>
      <c r="C67" s="97">
        <f>IFERROR(INDEX($I$7:$I$10,MATCH(3,$J$7:$J$10,0)),0)</f>
        <v>2198004445</v>
      </c>
      <c r="D67" s="98">
        <f t="shared" si="4"/>
        <v>10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9</v>
      </c>
    </row>
    <row r="69" spans="1:4">
      <c r="A69" s="101" t="s">
        <v>140</v>
      </c>
      <c r="B69" s="97" t="str">
        <f>IFERROR(INDEX($B$15:$B$18,MATCH(3,$J$15:$J$18,0)),"?")</f>
        <v>Paraguai</v>
      </c>
      <c r="C69" s="97">
        <f>IFERROR(INDEX($I$15:$I$18,MATCH(3,$J$15:$J$18,0)),0)</f>
        <v>5202004449</v>
      </c>
      <c r="D69" s="98">
        <f t="shared" si="4"/>
        <v>1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2</v>
      </c>
    </row>
    <row r="71" spans="1:4">
      <c r="A71" s="103" t="s">
        <v>160</v>
      </c>
      <c r="B71" s="97" t="str">
        <f>IFERROR(INDEX($B$23:$B$26,MATCH(3,$J$23:$J$26,0)),"?")</f>
        <v>Suecia</v>
      </c>
      <c r="C71" s="97">
        <f>IFERROR(INDEX($I$23:$I$26,MATCH(3,$J$23:$J$26,0)),0)</f>
        <v>4199004474</v>
      </c>
      <c r="D71" s="98">
        <f t="shared" si="4"/>
        <v>5</v>
      </c>
    </row>
    <row r="72" spans="1:4">
      <c r="A72" s="104" t="s">
        <v>161</v>
      </c>
      <c r="B72" s="97" t="str">
        <f>IFERROR(INDEX($B$27:$B$30,MATCH(3,$J$27:$J$30,0)),"?")</f>
        <v>Nova Zelandia</v>
      </c>
      <c r="C72" s="97">
        <f>IFERROR(INDEX($I$27:$I$30,MATCH(3,$J$27:$J$30,0)),0)</f>
        <v>4199003402</v>
      </c>
      <c r="D72" s="98">
        <f t="shared" si="4"/>
        <v>6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1196001443</v>
      </c>
      <c r="D73" s="98">
        <f t="shared" si="4"/>
        <v>11</v>
      </c>
    </row>
    <row r="74" spans="1:4">
      <c r="A74" s="106" t="s">
        <v>163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8</v>
      </c>
    </row>
    <row r="75" spans="1:4">
      <c r="A75" s="107" t="s">
        <v>137</v>
      </c>
      <c r="B75" s="97" t="str">
        <f>IFERROR(INDEX($B$39:$B$42,MATCH(3,$J$39:$J$42,0)),"?")</f>
        <v>Austria</v>
      </c>
      <c r="C75" s="97">
        <f>IFERROR(INDEX($I$39:$I$42,MATCH(3,$J$39:$J$42,0)),0)</f>
        <v>4199002476</v>
      </c>
      <c r="D75" s="98">
        <f t="shared" si="4"/>
        <v>7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1195000443</v>
      </c>
      <c r="D76" s="98">
        <f t="shared" si="4"/>
        <v>12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4200006448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Coreia do Sul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Nova Zelandia</v>
      </c>
    </row>
    <row r="85" spans="1:2">
      <c r="A85" s="110">
        <v>7</v>
      </c>
      <c r="B85" s="111" t="str">
        <f>IFERROR(INDEX($B$66:$B$77,MATCH(7,$D$66:$D$77,0)),"?")</f>
        <v>Austria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ADEFGIJL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42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5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B5"/>
  <sheetViews>
    <sheetView showGridLines="0" workbookViewId="0">
      <selection activeCell="B5" sqref="B5"/>
    </sheetView>
  </sheetViews>
  <sheetFormatPr defaultRowHeight="15"/>
  <cols>
    <col min="1" max="1" width="25.85546875" bestFit="1" customWidth="1"/>
    <col min="2" max="2" width="16.42578125" bestFit="1" customWidth="1"/>
  </cols>
  <sheetData>
    <row r="1" spans="1:2" ht="44.1" customHeight="1">
      <c r="A1" s="142" t="s">
        <v>1531</v>
      </c>
      <c r="B1" s="133"/>
    </row>
    <row r="2" spans="1:2" ht="27" customHeight="1">
      <c r="A2" s="168" t="s">
        <v>1546</v>
      </c>
      <c r="B2" s="168"/>
    </row>
    <row r="3" spans="1:2" ht="27.95" customHeight="1">
      <c r="A3" s="30" t="s">
        <v>10</v>
      </c>
      <c r="B3" s="31" t="s">
        <v>154</v>
      </c>
    </row>
    <row r="4" spans="1:2" ht="27.95" customHeight="1">
      <c r="A4" s="32" t="s">
        <v>155</v>
      </c>
      <c r="B4" s="33"/>
    </row>
    <row r="5" spans="1:2" ht="27.95" customHeight="1">
      <c r="A5" s="34" t="str">
        <f>'Apostas - Grupos'!A5</f>
        <v>Wilson ( Oasis )</v>
      </c>
      <c r="B5" s="20" t="s">
        <v>1364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silva</cp:lastModifiedBy>
  <dcterms:created xsi:type="dcterms:W3CDTF">2026-05-13T21:26:19Z</dcterms:created>
  <dcterms:modified xsi:type="dcterms:W3CDTF">2026-06-08T17:02:30Z</dcterms:modified>
</cp:coreProperties>
</file>