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as" sheetId="1" r:id="rId4"/>
    <sheet state="visible" name="Apostas - Grupos" sheetId="2" r:id="rId5"/>
    <sheet state="hidden" name="Jogadores" sheetId="3" r:id="rId6"/>
    <sheet state="hidden" name="Calc" sheetId="4" r:id="rId7"/>
    <sheet state="hidden" name="T495" sheetId="5" r:id="rId8"/>
    <sheet state="visible" name="Apostas - Bonus" sheetId="6" r:id="rId9"/>
  </sheets>
  <definedNames/>
  <calcPr/>
  <extLst>
    <ext uri="GoogleSheetsCustomDataVersion2">
      <go:sheetsCustomData xmlns:go="http://customooxmlschemas.google.com/" r:id="rId10" roundtripDataChecksum="D7A8SIdrtt+2XKABQKw7rlZXw5ZJWyl9DVdWxaUg7lc="/>
    </ext>
  </extLst>
</workbook>
</file>

<file path=xl/sharedStrings.xml><?xml version="1.0" encoding="utf-8"?>
<sst xmlns="http://schemas.openxmlformats.org/spreadsheetml/2006/main" count="6671" uniqueCount="1554">
  <si>
    <t>BOLÃO COPA DO MUNDO 2026</t>
  </si>
  <si>
    <t>REGULAMENTO OFICIAL</t>
  </si>
  <si>
    <t>COMO FUNCIONA</t>
  </si>
  <si>
    <t>PRAZO</t>
  </si>
  <si>
    <t>Envio único antes da Copa. O participante deverá preencher todos os palpites de uma só vez: fase de grupos e bônus. Após o envio, não serão aceitas alterações.</t>
  </si>
  <si>
    <t>18/05/2026 até 10/06/2026</t>
  </si>
  <si>
    <t>Preencha seu nome na célula A5 da aba “Apostas - Grupos” e renomeie este arquivo substituindo “{Seu Nome}” pelo mesmo nome informado na planilha.. Exemplo -&gt; Bolao_Copa2026_Pedro Brandão.xlsx</t>
  </si>
  <si>
    <r>
      <rPr>
        <rFont val="Arial"/>
        <b/>
        <color rgb="FFFF0000"/>
        <sz val="10.0"/>
      </rPr>
      <t xml:space="preserve">Para confirmar sua presença envie esta planilha preenchida para pedroh.brandao@hotmail.com com o assunto       "Bolão Copa do Mundo - {Seu Nome}" e realize o PIX de R$ 100,00 até o prazo limite. </t>
    </r>
    <r>
      <rPr>
        <rFont val="Arial"/>
        <b/>
        <color rgb="FFFF0000"/>
        <sz val="10.0"/>
        <u/>
      </rPr>
      <t>Chave PIX: 21994980610 (Claudio Coutada)</t>
    </r>
  </si>
  <si>
    <t>APOSTAS - GRUPOS (max 360 pts)</t>
  </si>
  <si>
    <t>Placar Exato (ex: 2x1 apostado, 2x1 real)</t>
  </si>
  <si>
    <t>5 pontos</t>
  </si>
  <si>
    <t>Saldo Correto (2x0 apostado, 3x1 real / 1x1 apostado, 0x0 real)</t>
  </si>
  <si>
    <t>3 pontos</t>
  </si>
  <si>
    <t>Apenas Vencedor Correto (1x0 apostado, 3x0 real)</t>
  </si>
  <si>
    <t>2 pontos</t>
  </si>
  <si>
    <t>Resultado Errado</t>
  </si>
  <si>
    <t>0 pontos</t>
  </si>
  <si>
    <t>APOSTAS - BONUS (max 20 pts)</t>
  </si>
  <si>
    <t>Artilheiro da fase de grupos</t>
  </si>
  <si>
    <t>20 pontos</t>
  </si>
  <si>
    <t>CRITÉRIOS DE DESEMPATE</t>
  </si>
  <si>
    <t>1o) Maior numero de acertos de 5 pts na fase de grupos.</t>
  </si>
  <si>
    <t>2o) Maior numero de acertos de 3 pts na fase de grupos.</t>
  </si>
  <si>
    <t>3o) Sorteio.</t>
  </si>
  <si>
    <t>PREMIAÇÃO</t>
  </si>
  <si>
    <t>PRIMEIRO LUGAR = 70% DO PRÊMIO</t>
  </si>
  <si>
    <t>SEGUNDO LUGAR = 20% DO PRÊMIO</t>
  </si>
  <si>
    <t>TERCEIRO LUGAR = 10% DO PRÊMIO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</si>
  <si>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</si>
  <si>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</si>
  <si>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</si>
  <si>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</si>
  <si>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</si>
  <si>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</si>
  <si>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</si>
  <si>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</si>
  <si>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</si>
  <si>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</si>
  <si>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</si>
  <si>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</si>
  <si>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</si>
  <si>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</si>
  <si>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</si>
  <si>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</si>
  <si>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</si>
  <si>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</si>
  <si>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</si>
  <si>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</si>
  <si>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</si>
  <si>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</si>
  <si>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</si>
  <si>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</si>
  <si>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</si>
  <si>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</si>
  <si>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</si>
  <si>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</si>
  <si>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</si>
  <si>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</si>
  <si>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</si>
  <si>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</si>
  <si>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</si>
  <si>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</si>
  <si>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</si>
  <si>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</si>
  <si>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</si>
  <si>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</si>
  <si>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</si>
  <si>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</si>
  <si>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</si>
  <si>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</si>
  <si>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</si>
  <si>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</si>
  <si>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</si>
  <si>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</si>
  <si>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</si>
  <si>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</si>
  <si>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</si>
  <si>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</si>
  <si>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</si>
  <si>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</si>
  <si>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</si>
  <si>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</si>
  <si>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</si>
  <si>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</si>
  <si>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</si>
  <si>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</si>
  <si>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</si>
  <si>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</si>
  <si>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</si>
  <si>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</si>
  <si>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</si>
  <si>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</si>
  <si>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</si>
  <si>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</si>
  <si>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</si>
  <si>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</si>
  <si>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</si>
  <si>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</si>
  <si>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</si>
  <si>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</si>
  <si>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</si>
  <si>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</si>
  <si>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</si>
  <si>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</si>
  <si>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</si>
  <si>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</si>
  <si>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</si>
  <si>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</si>
  <si>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</si>
  <si>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</si>
  <si>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</si>
  <si>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</si>
  <si>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</si>
  <si>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</si>
  <si>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</si>
  <si>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</si>
  <si>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</si>
  <si>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</si>
  <si>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</si>
  <si>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</si>
  <si>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</si>
  <si>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</si>
  <si>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</si>
  <si>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</si>
  <si>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</si>
  <si>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</si>
  <si>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</si>
  <si>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</si>
  <si>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</si>
  <si>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</si>
  <si>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</si>
  <si>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</si>
  <si>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</si>
  <si>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</si>
  <si>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</si>
  <si>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</si>
  <si>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</si>
  <si>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</si>
  <si>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</si>
  <si>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</si>
  <si>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</si>
  <si>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</si>
  <si>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</si>
  <si>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</si>
  <si>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</si>
  <si>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</si>
  <si>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</si>
  <si>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</si>
  <si>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</si>
  <si>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</si>
  <si>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</si>
  <si>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</si>
  <si>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Seu Nome</t>
  </si>
  <si>
    <t>CLASSIFICAÇÃO POR GRUPO (atualiza automaticamente conforme você preenche os placares)</t>
  </si>
  <si>
    <t>Grupo A</t>
  </si>
  <si>
    <t>Grupo B</t>
  </si>
  <si>
    <t>Grupo C</t>
  </si>
  <si>
    <t>#</t>
  </si>
  <si>
    <t>Seleção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</si>
  <si>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</si>
  <si>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</si>
  <si>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</si>
  <si>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</si>
  <si>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</si>
  <si>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</si>
  <si>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</si>
  <si>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</si>
  <si>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</si>
  <si>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</si>
  <si>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</si>
  <si>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</si>
  <si>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</si>
  <si>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</si>
  <si>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</si>
  <si>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</si>
  <si>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</si>
  <si>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</si>
  <si>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Jogador</t>
  </si>
  <si>
    <t>Seleções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</si>
  <si>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</si>
  <si>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</si>
  <si>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</si>
  <si>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</si>
  <si>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</si>
  <si>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</si>
  <si>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</si>
  <si>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</si>
  <si>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</si>
  <si>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</si>
  <si>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</si>
  <si>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</si>
  <si>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</si>
  <si>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</si>
  <si>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</si>
  <si>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</si>
  <si>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</si>
  <si>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</si>
  <si>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</si>
  <si>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</si>
  <si>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</si>
  <si>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</si>
  <si>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</si>
  <si>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</si>
  <si>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</si>
  <si>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</si>
  <si>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</si>
  <si>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</si>
  <si>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</si>
  <si>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</si>
  <si>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</si>
  <si>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</si>
  <si>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</si>
  <si>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</si>
  <si>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</si>
  <si>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</si>
  <si>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</si>
  <si>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</si>
  <si>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</si>
  <si>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</si>
  <si>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</si>
  <si>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</si>
  <si>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</si>
  <si>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</si>
  <si>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</si>
  <si>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</si>
  <si>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</si>
  <si>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</si>
  <si>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</si>
  <si>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</si>
  <si>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</si>
  <si>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</si>
  <si>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</si>
  <si>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</si>
  <si>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</si>
  <si>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</si>
  <si>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</si>
  <si>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</si>
  <si>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</si>
  <si>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</si>
  <si>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</si>
  <si>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</si>
  <si>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</si>
  <si>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</si>
  <si>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</si>
  <si>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</si>
  <si>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</si>
  <si>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</si>
  <si>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</si>
  <si>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</si>
  <si>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</si>
  <si>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</si>
  <si>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</si>
  <si>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</si>
  <si>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</si>
  <si>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</si>
  <si>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</si>
  <si>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</si>
  <si>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</si>
  <si>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</si>
  <si>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</si>
  <si>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</si>
  <si>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</si>
  <si>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</si>
  <si>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</si>
  <si>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</si>
  <si>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</si>
  <si>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</si>
  <si>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</si>
  <si>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</si>
  <si>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</si>
  <si>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</si>
  <si>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</si>
  <si>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</si>
  <si>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</si>
  <si>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</si>
  <si>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</si>
  <si>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</si>
  <si>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</si>
  <si>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</si>
  <si>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</si>
  <si>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</si>
  <si>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</si>
  <si>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</si>
  <si>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</si>
  <si>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</si>
  <si>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</si>
  <si>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</si>
  <si>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</si>
  <si>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</si>
  <si>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</si>
  <si>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</si>
  <si>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</si>
  <si>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</si>
  <si>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</si>
  <si>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</si>
  <si>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</si>
  <si>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</si>
  <si>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</si>
  <si>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</si>
  <si>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</si>
  <si>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</si>
  <si>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</si>
  <si>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</si>
  <si>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</si>
  <si>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</si>
  <si>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</si>
  <si>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</si>
  <si>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</si>
  <si>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</si>
  <si>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</si>
  <si>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</si>
  <si>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</si>
  <si>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</si>
  <si>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</si>
  <si>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</si>
  <si>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</si>
  <si>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</si>
  <si>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</si>
  <si>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</si>
  <si>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</si>
  <si>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</si>
  <si>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</si>
  <si>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</si>
  <si>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</si>
  <si>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</si>
  <si>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</si>
  <si>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</si>
  <si>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</si>
  <si>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</si>
  <si>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</si>
  <si>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</si>
  <si>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</si>
  <si>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</si>
  <si>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</si>
  <si>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</si>
  <si>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</si>
  <si>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</si>
  <si>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</si>
  <si>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</si>
  <si>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</si>
  <si>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</si>
  <si>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</si>
  <si>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</si>
  <si>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</si>
  <si>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</si>
  <si>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</si>
  <si>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</si>
  <si>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</si>
  <si>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</si>
  <si>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</si>
  <si>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</si>
  <si>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</si>
  <si>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</si>
  <si>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</si>
  <si>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</si>
  <si>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</si>
  <si>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</si>
  <si>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</si>
  <si>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</si>
  <si>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</si>
  <si>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</si>
  <si>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</si>
  <si>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</si>
  <si>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</si>
  <si>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</si>
  <si>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</si>
  <si>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</si>
  <si>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</si>
  <si>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</si>
  <si>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</si>
  <si>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</si>
  <si>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</si>
  <si>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</si>
  <si>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</si>
  <si>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</si>
  <si>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</si>
  <si>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</si>
  <si>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</si>
  <si>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</si>
  <si>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</si>
  <si>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</si>
  <si>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</si>
  <si>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</si>
  <si>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</si>
  <si>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</si>
  <si>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</si>
  <si>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</si>
  <si>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</si>
  <si>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</si>
  <si>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</si>
  <si>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</si>
  <si>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</si>
  <si>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</si>
  <si>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</si>
  <si>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</si>
  <si>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</si>
  <si>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</si>
  <si>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</si>
  <si>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</si>
  <si>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</si>
  <si>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</si>
  <si>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</si>
  <si>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</si>
  <si>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</si>
  <si>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</si>
  <si>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</si>
  <si>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</si>
  <si>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</si>
  <si>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</si>
  <si>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</si>
  <si>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</si>
  <si>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</si>
  <si>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</si>
  <si>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</si>
  <si>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</si>
  <si>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</si>
  <si>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</si>
  <si>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</si>
  <si>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</si>
  <si>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</si>
  <si>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</si>
  <si>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</si>
  <si>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</si>
  <si>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</si>
  <si>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</si>
  <si>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</si>
  <si>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</si>
  <si>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</si>
  <si>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</si>
  <si>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</si>
  <si>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</si>
  <si>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</si>
  <si>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</si>
  <si>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</si>
  <si>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</si>
  <si>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</si>
  <si>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</si>
  <si>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</si>
  <si>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</si>
  <si>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</si>
  <si>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</si>
  <si>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</si>
  <si>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</si>
  <si>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</si>
  <si>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</si>
  <si>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</si>
  <si>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</si>
  <si>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</si>
  <si>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</si>
  <si>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</si>
  <si>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</si>
  <si>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</si>
  <si>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</si>
  <si>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</si>
  <si>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</si>
  <si>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</si>
  <si>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</si>
  <si>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</si>
  <si>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</si>
  <si>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</si>
  <si>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</si>
  <si>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</si>
  <si>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</si>
  <si>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</si>
  <si>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</si>
  <si>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</si>
  <si>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</si>
  <si>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</si>
  <si>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</si>
  <si>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</si>
  <si>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</si>
  <si>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</si>
  <si>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</si>
  <si>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</si>
  <si>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</si>
  <si>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</si>
  <si>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</si>
  <si>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</si>
  <si>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</si>
  <si>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</si>
  <si>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</si>
  <si>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</si>
  <si>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</si>
  <si>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</si>
  <si>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</si>
  <si>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</si>
  <si>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</si>
  <si>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</si>
  <si>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</si>
  <si>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</si>
  <si>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</si>
  <si>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</si>
  <si>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</si>
  <si>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</si>
  <si>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</si>
  <si>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</si>
  <si>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</si>
  <si>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</si>
  <si>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</si>
  <si>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</si>
  <si>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</si>
  <si>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</si>
  <si>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</si>
  <si>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</si>
  <si>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</si>
  <si>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</si>
  <si>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</si>
  <si>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</si>
  <si>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</si>
  <si>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</si>
  <si>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</si>
  <si>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</si>
  <si>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</si>
  <si>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</si>
  <si>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</si>
  <si>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</si>
  <si>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</si>
  <si>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</si>
  <si>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</si>
  <si>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</si>
  <si>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</si>
  <si>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</si>
  <si>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</si>
  <si>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</si>
  <si>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</si>
  <si>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</si>
  <si>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</si>
  <si>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</si>
  <si>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</si>
  <si>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</si>
  <si>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</si>
  <si>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</si>
  <si>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</si>
  <si>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</si>
  <si>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</si>
  <si>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</si>
  <si>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</si>
  <si>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</si>
  <si>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</si>
  <si>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</si>
  <si>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</si>
  <si>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</si>
  <si>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</si>
  <si>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</si>
  <si>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</si>
  <si>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</si>
  <si>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</si>
  <si>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</si>
  <si>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</si>
  <si>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</si>
  <si>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</si>
  <si>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</si>
  <si>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</si>
  <si>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</si>
  <si>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</si>
  <si>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</si>
  <si>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</si>
  <si>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</si>
  <si>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</si>
  <si>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</si>
  <si>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</si>
  <si>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</si>
  <si>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</si>
  <si>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</si>
  <si>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</si>
  <si>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</si>
  <si>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</si>
  <si>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</si>
  <si>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</si>
  <si>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</si>
  <si>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</si>
  <si>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</si>
  <si>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</si>
  <si>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</si>
  <si>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</si>
  <si>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</si>
  <si>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</si>
  <si>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</si>
  <si>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</si>
  <si>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</si>
  <si>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</si>
  <si>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</si>
  <si>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</si>
  <si>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</si>
  <si>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</si>
  <si>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</si>
  <si>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</si>
  <si>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</si>
  <si>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</si>
  <si>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</si>
  <si>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</si>
  <si>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</si>
  <si>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</si>
  <si>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</si>
  <si>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</si>
  <si>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</si>
  <si>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</si>
  <si>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</si>
  <si>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</si>
  <si>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</si>
  <si>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</si>
  <si>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</si>
  <si>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</si>
  <si>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</si>
  <si>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</si>
  <si>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</si>
  <si>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</si>
  <si>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</si>
  <si>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</si>
  <si>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</si>
  <si>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</si>
  <si>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</si>
  <si>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</si>
  <si>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</si>
  <si>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</si>
  <si>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</si>
  <si>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</si>
  <si>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</si>
  <si>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</si>
  <si>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</si>
  <si>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</si>
  <si>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</si>
  <si>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</si>
  <si>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</si>
  <si>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</si>
  <si>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</si>
  <si>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</si>
  <si>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</si>
  <si>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</si>
  <si>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</si>
  <si>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</si>
  <si>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</si>
  <si>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</si>
  <si>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</si>
  <si>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</si>
  <si>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</si>
  <si>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</si>
  <si>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</si>
  <si>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</si>
  <si>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</si>
  <si>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</si>
  <si>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</si>
  <si>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</si>
  <si>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</si>
  <si>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</si>
  <si>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</si>
  <si>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</si>
  <si>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</si>
  <si>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</si>
  <si>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</si>
  <si>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</si>
  <si>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</si>
  <si>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</si>
  <si>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</si>
  <si>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</si>
  <si>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</si>
  <si>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</si>
  <si>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</si>
  <si>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</si>
  <si>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</si>
  <si>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</si>
  <si>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</si>
  <si>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</si>
  <si>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</si>
  <si>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</si>
  <si>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</si>
  <si>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</si>
  <si>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</si>
  <si>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</si>
  <si>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</si>
  <si>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Andrés Gómez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</si>
  <si>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</si>
  <si>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</si>
  <si>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</si>
  <si>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</si>
  <si>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</si>
  <si>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</si>
  <si>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</si>
  <si>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</si>
  <si>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</si>
  <si>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</si>
  <si>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</si>
  <si>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</si>
  <si>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</si>
  <si>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</si>
  <si>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</si>
  <si>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</si>
  <si>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</si>
  <si>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</si>
  <si>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</si>
  <si>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</si>
  <si>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</si>
  <si>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</si>
  <si>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</si>
  <si>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</si>
  <si>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</si>
  <si>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</si>
  <si>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</si>
  <si>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</si>
  <si>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</si>
  <si>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</si>
  <si>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</si>
  <si>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</si>
  <si>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</si>
  <si>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</si>
  <si>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</si>
  <si>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</si>
  <si>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</si>
  <si>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</si>
  <si>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</si>
  <si>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</si>
  <si>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</si>
  <si>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</si>
  <si>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</si>
  <si>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</si>
  <si>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</si>
  <si>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</si>
  <si>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</si>
  <si>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</si>
  <si>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Puma Rodríguez</t>
  </si>
  <si>
    <t>Giorgian de Arrascaeta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</si>
  <si>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</si>
  <si>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</si>
  <si>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</si>
  <si>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</si>
  <si>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</si>
  <si>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</si>
  <si>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</si>
  <si>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</si>
  <si>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</si>
  <si>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</si>
  <si>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</si>
  <si>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</si>
  <si>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</si>
  <si>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</si>
  <si>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</si>
  <si>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</si>
  <si>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</si>
  <si>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</si>
  <si>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</si>
  <si>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</si>
  <si>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</si>
  <si>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</si>
  <si>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</si>
  <si>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</si>
  <si>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</si>
  <si>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</si>
  <si>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</si>
  <si>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</si>
  <si>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</si>
  <si>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</si>
  <si>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</si>
  <si>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</si>
  <si>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</si>
  <si>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</si>
  <si>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</si>
  <si>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</si>
  <si>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</si>
  <si>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</si>
  <si>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</si>
  <si>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</si>
  <si>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</si>
  <si>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</si>
  <si>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</si>
  <si>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</si>
  <si>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</si>
  <si>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</si>
  <si>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</si>
  <si>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</si>
  <si>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</si>
  <si>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</si>
  <si>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</si>
  <si>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</si>
  <si>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</si>
  <si>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</si>
  <si>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</si>
  <si>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</si>
  <si>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</si>
  <si>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</si>
  <si>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</si>
  <si>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</si>
  <si>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</si>
  <si>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</si>
  <si>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</si>
  <si>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</si>
  <si>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</si>
  <si>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</si>
  <si>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</si>
  <si>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</si>
  <si>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</si>
  <si>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</si>
  <si>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</si>
  <si>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</si>
  <si>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</si>
  <si>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</si>
  <si>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</si>
  <si>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</si>
  <si>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</si>
  <si>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</si>
  <si>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</si>
  <si>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</si>
  <si>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</si>
  <si>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</si>
  <si>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</si>
  <si>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</si>
  <si>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</si>
  <si>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</si>
  <si>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</si>
  <si>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</si>
  <si>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</si>
  <si>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</si>
  <si>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</si>
  <si>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</si>
  <si>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</si>
  <si>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</si>
  <si>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</si>
  <si>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</si>
  <si>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</si>
  <si>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</si>
  <si>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</si>
  <si>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</si>
  <si>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</si>
  <si>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</si>
  <si>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</si>
  <si>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</si>
  <si>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</si>
  <si>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</si>
  <si>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</si>
  <si>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</si>
  <si>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</si>
  <si>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</si>
  <si>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</si>
  <si>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</si>
  <si>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</si>
  <si>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</si>
  <si>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</si>
  <si>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</si>
  <si>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</si>
  <si>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</si>
  <si>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</si>
  <si>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</si>
  <si>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</si>
  <si>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</si>
  <si>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</si>
  <si>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</si>
  <si>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</si>
  <si>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</si>
  <si>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</si>
  <si>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</si>
  <si>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</si>
  <si>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</si>
  <si>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</si>
  <si>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</si>
  <si>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</si>
  <si>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</si>
  <si>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</si>
  <si>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</si>
  <si>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</si>
  <si>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</si>
  <si>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</si>
  <si>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</si>
  <si>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</si>
  <si>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</si>
  <si>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</si>
  <si>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</si>
  <si>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</si>
  <si>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</si>
  <si>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</si>
  <si>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</si>
  <si>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</si>
  <si>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</si>
  <si>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</si>
  <si>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</si>
  <si>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</si>
  <si>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</si>
  <si>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</si>
  <si>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</si>
  <si>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</si>
  <si>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</si>
  <si>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</si>
  <si>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</si>
  <si>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</si>
  <si>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</si>
  <si>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</si>
  <si>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</si>
  <si>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</si>
  <si>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</si>
  <si>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</si>
  <si>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</si>
  <si>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</si>
  <si>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</si>
  <si>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</si>
  <si>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</si>
  <si>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</si>
  <si>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</si>
  <si>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</si>
  <si>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</si>
  <si>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</si>
  <si>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</si>
  <si>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</si>
  <si>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</si>
  <si>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</si>
  <si>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</si>
  <si>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</si>
  <si>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</si>
  <si>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</si>
  <si>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</si>
  <si>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</si>
  <si>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</si>
  <si>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</si>
  <si>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</si>
  <si>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</si>
  <si>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</si>
  <si>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</si>
  <si>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</si>
  <si>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</si>
  <si>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</si>
  <si>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</si>
  <si>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</si>
  <si>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</si>
  <si>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</si>
  <si>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</si>
  <si>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</si>
  <si>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</si>
  <si>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</si>
  <si>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</si>
  <si>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</si>
  <si>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</si>
  <si>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</si>
  <si>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</si>
  <si>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</si>
  <si>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</si>
  <si>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</si>
  <si>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</si>
  <si>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</si>
  <si>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</si>
  <si>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</si>
  <si>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</si>
  <si>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</si>
  <si>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</si>
  <si>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</si>
  <si>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</si>
  <si>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</si>
  <si>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</si>
  <si>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</si>
  <si>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</si>
  <si>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</si>
  <si>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</si>
  <si>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</si>
  <si>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</si>
  <si>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</si>
  <si>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</si>
  <si>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</si>
  <si>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</si>
  <si>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</si>
  <si>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</si>
  <si>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</si>
  <si>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</si>
  <si>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</si>
  <si>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</si>
  <si>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</si>
  <si>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</si>
  <si>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</si>
  <si>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</si>
  <si>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</si>
  <si>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</si>
  <si>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</si>
  <si>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</si>
  <si>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</si>
  <si>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</si>
  <si>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</si>
  <si>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</si>
  <si>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</si>
  <si>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</si>
  <si>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</si>
  <si>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</si>
  <si>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</si>
  <si>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</si>
  <si>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</si>
  <si>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</si>
  <si>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</si>
  <si>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</si>
  <si>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</si>
  <si>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</si>
  <si>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</si>
  <si>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</si>
  <si>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</si>
  <si>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</si>
  <si>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</si>
  <si>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</si>
  <si>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</si>
  <si>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</si>
  <si>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</si>
  <si>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</si>
  <si>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</si>
  <si>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</si>
  <si>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</si>
  <si>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</si>
  <si>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</si>
  <si>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</si>
  <si>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</si>
  <si>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</si>
  <si>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</si>
  <si>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</si>
  <si>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</si>
  <si>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</si>
  <si>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</si>
  <si>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</si>
  <si>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</si>
  <si>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</si>
  <si>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</si>
  <si>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</si>
  <si>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</si>
  <si>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</si>
  <si>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</si>
  <si>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</si>
  <si>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</si>
  <si>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</si>
  <si>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</si>
  <si>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</si>
  <si>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</si>
  <si>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</si>
  <si>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</si>
  <si>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</si>
  <si>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</si>
  <si>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</si>
  <si>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</si>
  <si>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</si>
  <si>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</si>
  <si>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</si>
  <si>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</si>
  <si>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</si>
  <si>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</si>
  <si>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</si>
  <si>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</si>
  <si>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</si>
  <si>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</si>
  <si>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</si>
  <si>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</si>
  <si>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</si>
  <si>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</si>
  <si>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</si>
  <si>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</si>
  <si>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</si>
  <si>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</si>
  <si>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</si>
  <si>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</si>
  <si>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</si>
  <si>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</si>
  <si>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</si>
  <si>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</si>
  <si>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</si>
  <si>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</si>
  <si>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</si>
  <si>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</si>
  <si>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</si>
  <si>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</si>
  <si>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</si>
  <si>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</si>
  <si>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</si>
  <si>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</si>
  <si>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</si>
  <si>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</si>
  <si>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</si>
  <si>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</si>
  <si>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</si>
  <si>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</si>
  <si>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</si>
  <si>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</si>
  <si>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</si>
  <si>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</si>
  <si>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</si>
  <si>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</si>
  <si>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</si>
  <si>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</si>
  <si>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</si>
  <si>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</si>
  <si>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</si>
  <si>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</si>
  <si>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</si>
  <si>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</si>
  <si>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</si>
  <si>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</si>
  <si>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</si>
  <si>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</si>
  <si>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</si>
  <si>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</si>
  <si>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</si>
  <si>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</si>
  <si>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</si>
  <si>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</si>
  <si>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</si>
  <si>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</si>
  <si>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</si>
  <si>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</si>
  <si>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</si>
  <si>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</si>
  <si>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</si>
  <si>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</si>
  <si>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</si>
  <si>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</si>
  <si>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</si>
  <si>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</si>
  <si>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</si>
  <si>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</si>
  <si>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</si>
  <si>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</si>
  <si>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</si>
  <si>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</si>
  <si>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</si>
  <si>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</si>
  <si>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</si>
  <si>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</si>
  <si>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</si>
  <si>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</si>
  <si>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</si>
  <si>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</si>
  <si>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</si>
  <si>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</si>
  <si>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</si>
  <si>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</si>
  <si>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</si>
  <si>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</si>
  <si>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</si>
  <si>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</si>
  <si>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</si>
  <si>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</si>
  <si>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</si>
  <si>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</si>
  <si>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</si>
  <si>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</si>
  <si>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</si>
  <si>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</si>
  <si>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</si>
  <si>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</si>
  <si>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</si>
  <si>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</si>
  <si>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</si>
  <si>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</si>
  <si>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</si>
  <si>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</si>
  <si>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</si>
  <si>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</si>
  <si>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</si>
  <si>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</si>
  <si>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</si>
  <si>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</si>
  <si>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</si>
  <si>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</si>
  <si>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</si>
  <si>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</si>
  <si>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</si>
  <si>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</si>
  <si>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</si>
  <si>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</si>
  <si>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</si>
  <si>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</si>
  <si>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</si>
  <si>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</si>
  <si>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</si>
  <si>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</si>
  <si>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</si>
  <si>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</si>
  <si>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</si>
  <si>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</si>
  <si>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</si>
  <si>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</si>
  <si>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</si>
  <si>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</si>
  <si>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</si>
  <si>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</si>
  <si>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</si>
  <si>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</si>
  <si>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</si>
  <si>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</si>
  <si>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</si>
  <si>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</si>
  <si>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</si>
  <si>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</si>
  <si>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</si>
  <si>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</si>
  <si>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</si>
  <si>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</si>
  <si>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</si>
  <si>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</si>
  <si>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</si>
  <si>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</si>
  <si>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</si>
  <si>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</si>
  <si>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</si>
  <si>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</si>
  <si>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</si>
  <si>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</si>
  <si>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</si>
  <si>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</si>
  <si>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</si>
  <si>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</si>
  <si>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</si>
  <si>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</si>
  <si>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</si>
  <si>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</si>
  <si>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</si>
  <si>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</si>
  <si>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</si>
  <si>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</si>
  <si>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</si>
  <si>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</si>
  <si>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</si>
  <si>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</si>
  <si>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</si>
  <si>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</si>
  <si>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</si>
  <si>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</si>
  <si>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</si>
  <si>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</si>
  <si>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</si>
  <si>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</si>
  <si>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</si>
  <si>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</si>
  <si>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</si>
  <si>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</si>
  <si>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</si>
  <si>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</si>
  <si>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</si>
  <si>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</si>
  <si>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</si>
  <si>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</si>
  <si>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</si>
  <si>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</si>
  <si>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</si>
  <si>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</si>
  <si>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</si>
  <si>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</si>
  <si>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</si>
  <si>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</si>
  <si>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</si>
  <si>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</si>
  <si>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</si>
  <si>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</si>
  <si>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</si>
  <si>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</si>
  <si>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</si>
  <si>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</si>
  <si>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</si>
  <si>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</si>
  <si>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</si>
  <si>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</si>
  <si>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</si>
  <si>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</si>
  <si>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</si>
  <si>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</si>
  <si>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</si>
  <si>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</si>
  <si>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</si>
  <si>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</si>
  <si>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</si>
  <si>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</si>
  <si>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</si>
  <si>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</si>
  <si>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</si>
  <si>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</si>
  <si>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</si>
  <si>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</si>
  <si>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</si>
  <si>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</si>
  <si>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</si>
  <si>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</si>
  <si>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</si>
  <si>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</si>
  <si>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</si>
  <si>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</si>
  <si>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</si>
  <si>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</si>
  <si>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</si>
  <si>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</si>
  <si>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</si>
  <si>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</si>
  <si>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</si>
  <si>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</si>
  <si>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</si>
  <si>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</si>
  <si>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</si>
  <si>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</si>
  <si>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</si>
  <si>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</si>
  <si>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</si>
  <si>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</si>
  <si>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</si>
  <si>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</si>
  <si>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</si>
  <si>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</si>
  <si>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</si>
  <si>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</si>
  <si>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</si>
  <si>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</si>
  <si>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</si>
  <si>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</si>
  <si>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</si>
  <si>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</si>
  <si>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</si>
  <si>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</si>
  <si>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</si>
  <si>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</si>
  <si>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</si>
  <si>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</si>
  <si>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</si>
  <si>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</si>
  <si>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</si>
  <si>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</si>
  <si>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</si>
  <si>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</si>
  <si>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</si>
  <si>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</si>
  <si>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</si>
  <si>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</si>
  <si>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</si>
  <si>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</si>
  <si>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</si>
  <si>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</si>
  <si>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</si>
  <si>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</si>
  <si>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</si>
  <si>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</si>
  <si>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</si>
  <si>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</si>
  <si>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</si>
  <si>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</si>
  <si>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</si>
  <si>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</si>
  <si>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</si>
  <si>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</si>
  <si>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</si>
  <si>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</si>
  <si>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</si>
  <si>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</si>
  <si>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</si>
  <si>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</si>
  <si>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</si>
  <si>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</si>
  <si>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</si>
  <si>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</si>
  <si>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</si>
  <si>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</si>
  <si>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</si>
  <si>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</si>
  <si>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</si>
  <si>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</si>
  <si>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</si>
  <si>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</si>
  <si>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</si>
  <si>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</si>
  <si>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</si>
  <si>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</si>
  <si>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</si>
  <si>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</si>
  <si>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</si>
  <si>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</si>
  <si>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</si>
  <si>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</si>
  <si>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</si>
  <si>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</si>
  <si>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</si>
  <si>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</si>
  <si>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</si>
  <si>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</si>
  <si>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</si>
  <si>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</si>
  <si>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</si>
  <si>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</si>
  <si>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</si>
  <si>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</si>
  <si>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</si>
  <si>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</si>
  <si>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</si>
  <si>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</si>
  <si>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</si>
  <si>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</si>
  <si>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</si>
  <si>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</si>
  <si>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</si>
  <si>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</si>
  <si>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</si>
  <si>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</si>
  <si>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</si>
  <si>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</si>
  <si>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</si>
  <si>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</si>
  <si>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</si>
  <si>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</si>
  <si>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</si>
  <si>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</si>
  <si>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</si>
  <si>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</si>
  <si>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</si>
  <si>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</si>
  <si>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</si>
  <si>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</si>
  <si>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</si>
  <si>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</si>
  <si>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</si>
  <si>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</si>
  <si>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</si>
  <si>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</si>
  <si>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</si>
  <si>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</si>
  <si>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</si>
  <si>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</si>
  <si>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</si>
  <si>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</si>
  <si>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</si>
  <si>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</si>
  <si>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</si>
  <si>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</si>
  <si>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</si>
  <si>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</si>
  <si>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</si>
  <si>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</si>
  <si>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</si>
  <si>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</si>
  <si>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</si>
  <si>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</si>
  <si>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</si>
  <si>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</si>
  <si>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</si>
  <si>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</si>
  <si>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</si>
  <si>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</si>
  <si>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</si>
  <si>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</si>
  <si>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</si>
  <si>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</si>
  <si>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</si>
  <si>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</si>
  <si>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</si>
  <si>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</si>
  <si>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</si>
  <si>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</si>
  <si>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</si>
  <si>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</si>
  <si>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</si>
  <si>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</si>
  <si>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</si>
  <si>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</si>
  <si>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</si>
  <si>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</si>
  <si>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</si>
  <si>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</si>
  <si>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</si>
  <si>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</si>
  <si>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</si>
  <si>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</si>
  <si>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</si>
  <si>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</si>
  <si>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</si>
  <si>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</si>
  <si>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</si>
  <si>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</si>
  <si>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</si>
  <si>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</si>
  <si>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</si>
  <si>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</si>
  <si>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</si>
  <si>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</si>
  <si>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</si>
  <si>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</si>
  <si>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</si>
  <si>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</si>
  <si>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</si>
  <si>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</si>
  <si>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</si>
  <si>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</si>
  <si>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</si>
  <si>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</si>
  <si>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</si>
  <si>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</si>
  <si>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</si>
  <si>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</si>
  <si>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</si>
  <si>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</si>
  <si>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</si>
  <si>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</si>
  <si>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</si>
  <si>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</si>
  <si>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</si>
  <si>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</si>
  <si>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</si>
  <si>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</si>
  <si>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</si>
  <si>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</si>
  <si>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</si>
  <si>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</si>
  <si>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</si>
  <si>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</si>
  <si>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</si>
  <si>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</si>
  <si>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</si>
  <si>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</si>
  <si>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</si>
  <si>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</si>
  <si>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</si>
  <si>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</si>
  <si>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</si>
  <si>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</si>
  <si>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</si>
  <si>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</si>
  <si>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</si>
  <si>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</si>
  <si>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</si>
  <si>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</si>
  <si>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</si>
  <si>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</si>
  <si>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</si>
  <si>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</si>
  <si>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</si>
  <si>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</si>
  <si>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</si>
  <si>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</si>
  <si>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</si>
  <si>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</si>
  <si>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</si>
  <si>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</si>
  <si>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</si>
  <si>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</si>
  <si>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</si>
  <si>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</si>
  <si>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</si>
  <si>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</si>
  <si>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</si>
  <si>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</si>
  <si>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</si>
  <si>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</si>
  <si>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</si>
  <si>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</si>
  <si>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</si>
  <si>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</si>
  <si>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</si>
  <si>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</si>
  <si>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</si>
  <si>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</si>
  <si>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</si>
  <si>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</si>
  <si>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</si>
  <si>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</si>
  <si>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</si>
  <si>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</si>
  <si>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</si>
  <si>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</si>
  <si>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</si>
  <si>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</si>
  <si>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BOLÃO 2026 - APOSTAS: BÔNUS</t>
  </si>
  <si>
    <t>Preencha SOMENTE a linha 5.</t>
  </si>
  <si>
    <t>Artilheiro (10 pts)</t>
  </si>
  <si>
    <t>RESULTADO REAL (Admin)</t>
  </si>
  <si>
    <t>Rafael Brandão Marques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</si>
</sst>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1">
    <font>
      <sz val="11.0"/>
      <color theme="1"/>
      <name val="Calibri"/>
      <scheme val="minor"/>
    </font>
    <font>
      <b/>
      <sz val="20.0"/>
      <color rgb="FFFFFFFF"/>
      <name val="Arial"/>
    </font>
    <font/>
    <font>
      <b/>
      <sz val="13.0"/>
      <color rgb="FFFFFFFF"/>
      <name val="Arial"/>
    </font>
    <font>
      <b/>
      <sz val="12.0"/>
      <color rgb="FF1F3864"/>
      <name val="Arial"/>
    </font>
    <font>
      <sz val="10.0"/>
      <color rgb="FF1A1A2E"/>
      <name val="Arial"/>
    </font>
    <font>
      <b/>
      <sz val="11.0"/>
      <color rgb="FFFF0000"/>
      <name val="Calibri"/>
    </font>
    <font>
      <b/>
      <sz val="10.0"/>
      <color rgb="FFFF0000"/>
      <name val="Arial"/>
    </font>
    <font>
      <sz val="11.0"/>
      <color theme="1"/>
      <name val="Calibri"/>
    </font>
    <font>
      <b/>
      <sz val="10.0"/>
      <color rgb="FF2E75B6"/>
      <name val="Arial"/>
    </font>
    <font>
      <b/>
      <sz val="10.0"/>
      <color rgb="FF1A1A2E"/>
      <name val="Arial"/>
    </font>
    <font>
      <b/>
      <sz val="11.0"/>
      <color theme="1"/>
      <name val="Calibri"/>
    </font>
    <font>
      <b/>
      <sz val="16.0"/>
      <color rgb="FFFFFFFF"/>
      <name val="Arial"/>
    </font>
    <font>
      <i/>
      <sz val="10.0"/>
      <color rgb="FF2E75B6"/>
      <name val="Arial"/>
    </font>
    <font>
      <b/>
      <sz val="12.0"/>
      <color rgb="FFFFFFFF"/>
      <name val="Arial"/>
    </font>
    <font>
      <b/>
      <sz val="7.0"/>
      <color rgb="FFFFFFFF"/>
      <name val="Arial"/>
    </font>
    <font>
      <b/>
      <sz val="9.0"/>
      <color rgb="FFFFFFFF"/>
      <name val="Arial"/>
    </font>
    <font>
      <b/>
      <sz val="10.0"/>
      <color rgb="FF1F3864"/>
      <name val="Arial"/>
    </font>
    <font>
      <b/>
      <sz val="11.0"/>
      <color rgb="FF1F3864"/>
      <name val="Arial"/>
    </font>
    <font>
      <b/>
      <sz val="11.0"/>
      <color rgb="FFFFFFFF"/>
      <name val="Arial"/>
    </font>
    <font>
      <b/>
      <sz val="10.0"/>
      <color rgb="FF1A5C1A"/>
      <name val="Arial"/>
    </font>
    <font>
      <b/>
      <sz val="9.0"/>
      <color rgb="FF1A5C1A"/>
      <name val="Arial"/>
    </font>
    <font>
      <sz val="9.0"/>
      <color rgb="FF1A5C1A"/>
      <name val="Arial"/>
    </font>
    <font>
      <b/>
      <sz val="10.0"/>
      <color rgb="FF2D6B2D"/>
      <name val="Arial"/>
    </font>
    <font>
      <b/>
      <sz val="9.0"/>
      <color rgb="FF2D6B2D"/>
      <name val="Arial"/>
    </font>
    <font>
      <sz val="9.0"/>
      <color rgb="FF2D6B2D"/>
      <name val="Arial"/>
    </font>
    <font>
      <b/>
      <sz val="10.0"/>
      <color rgb="FF7B4000"/>
      <name val="Arial"/>
    </font>
    <font>
      <b/>
      <sz val="9.0"/>
      <color rgb="FF7B4000"/>
      <name val="Arial"/>
    </font>
    <font>
      <sz val="9.0"/>
      <color rgb="FF7B4000"/>
      <name val="Arial"/>
    </font>
    <font>
      <b/>
      <sz val="10.0"/>
      <color rgb="FF7B0000"/>
      <name val="Arial"/>
    </font>
    <font>
      <b/>
      <sz val="9.0"/>
      <color rgb="FF7B0000"/>
      <name val="Arial"/>
    </font>
    <font>
      <sz val="9.0"/>
      <color rgb="FF7B0000"/>
      <name val="Arial"/>
    </font>
    <font>
      <b/>
      <sz val="11.0"/>
      <color rgb="FFFFFFFF"/>
      <name val="Carlito"/>
    </font>
    <font>
      <sz val="10.0"/>
      <color theme="1"/>
      <name val="Carlito"/>
    </font>
    <font>
      <b/>
      <sz val="10.0"/>
      <color rgb="FF2980B9"/>
      <name val="Arial"/>
    </font>
    <font>
      <b/>
      <sz val="10.0"/>
      <color rgb="FF2471A3"/>
      <name val="Arial"/>
    </font>
    <font>
      <b/>
      <sz val="10.0"/>
      <color rgb="FF1E8449"/>
      <name val="Arial"/>
    </font>
    <font>
      <b/>
      <sz val="10.0"/>
      <color rgb="FF27AE60"/>
      <name val="Arial"/>
    </font>
    <font>
      <b/>
      <sz val="10.0"/>
      <color rgb="FF9B59B6"/>
      <name val="Arial"/>
    </font>
    <font>
      <b/>
      <sz val="10.0"/>
      <color rgb="FF7D3C98"/>
      <name val="Arial"/>
    </font>
    <font>
      <b/>
      <sz val="10.0"/>
      <color rgb="FFC0392B"/>
      <name val="Arial"/>
    </font>
    <font>
      <b/>
      <sz val="10.0"/>
      <color rgb="FF922B21"/>
      <name val="Arial"/>
    </font>
    <font>
      <b/>
      <sz val="10.0"/>
      <color rgb="FFD35400"/>
      <name val="Arial"/>
    </font>
    <font>
      <b/>
      <sz val="10.0"/>
      <color rgb="FFE67E22"/>
      <name val="Arial"/>
    </font>
    <font>
      <b/>
      <sz val="10.0"/>
      <color rgb="FF17A589"/>
      <name val="Arial"/>
    </font>
    <font>
      <b/>
      <sz val="10.0"/>
      <color rgb="FF148F77"/>
      <name val="Arial"/>
    </font>
    <font>
      <b/>
      <sz val="10.0"/>
      <color rgb="FF7B1FA2"/>
      <name val="Arial"/>
    </font>
    <font>
      <b/>
      <sz val="9.0"/>
      <color rgb="FF7B1FA2"/>
      <name val="Arial"/>
    </font>
    <font>
      <sz val="9.0"/>
      <color rgb="FF1A1A2E"/>
      <name val="Arial"/>
    </font>
    <font>
      <b/>
      <sz val="10.0"/>
      <color rgb="FFFFFFFF"/>
      <name val="Arial"/>
    </font>
    <font>
      <b/>
      <sz val="11.0"/>
      <color rgb="FF8B0000"/>
      <name val="Arial"/>
    </font>
  </fonts>
  <fills count="44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2980B9"/>
        <bgColor rgb="FF2980B9"/>
      </patternFill>
    </fill>
    <fill>
      <patternFill patternType="solid">
        <fgColor rgb="FF2471A3"/>
        <bgColor rgb="FF2471A3"/>
      </patternFill>
    </fill>
    <fill>
      <patternFill patternType="solid">
        <fgColor rgb="FF1E8449"/>
        <bgColor rgb="FF1E8449"/>
      </patternFill>
    </fill>
    <fill>
      <patternFill patternType="solid">
        <fgColor rgb="FF27AE60"/>
        <bgColor rgb="FF27AE60"/>
      </patternFill>
    </fill>
    <fill>
      <patternFill patternType="solid">
        <fgColor rgb="FF9B59B6"/>
        <bgColor rgb="FF9B59B6"/>
      </patternFill>
    </fill>
    <fill>
      <patternFill patternType="solid">
        <fgColor rgb="FF7D3C98"/>
        <bgColor rgb="FF7D3C98"/>
      </patternFill>
    </fill>
    <fill>
      <patternFill patternType="solid">
        <fgColor rgb="FFC0392B"/>
        <bgColor rgb="FFC0392B"/>
      </patternFill>
    </fill>
    <fill>
      <patternFill patternType="solid">
        <fgColor rgb="FF922B21"/>
        <bgColor rgb="FF922B21"/>
      </patternFill>
    </fill>
    <fill>
      <patternFill patternType="solid">
        <fgColor rgb="FFD35400"/>
        <bgColor rgb="FFD35400"/>
      </patternFill>
    </fill>
    <fill>
      <patternFill patternType="solid">
        <fgColor rgb="FFE67E22"/>
        <bgColor rgb="FFE67E22"/>
      </patternFill>
    </fill>
    <fill>
      <patternFill patternType="solid">
        <fgColor rgb="FF17A589"/>
        <bgColor rgb="FF17A589"/>
      </patternFill>
    </fill>
    <fill>
      <patternFill patternType="solid">
        <fgColor rgb="FF148F77"/>
        <bgColor rgb="FF148F77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5E8D4"/>
        <bgColor rgb="FFD5E8D4"/>
      </patternFill>
    </fill>
    <fill>
      <patternFill patternType="solid">
        <fgColor rgb="FFFFE4B2"/>
        <bgColor rgb="FFFFE4B2"/>
      </patternFill>
    </fill>
    <fill>
      <patternFill patternType="solid">
        <fgColor rgb="FFFFD0D0"/>
        <bgColor rgb="FFFFD0D0"/>
      </patternFill>
    </fill>
    <fill>
      <patternFill patternType="solid">
        <fgColor rgb="FF1F4E78"/>
        <bgColor rgb="FF1F4E78"/>
      </patternFill>
    </fill>
    <fill>
      <patternFill patternType="solid">
        <fgColor rgb="FFEEF7FF"/>
        <bgColor rgb="FFEEF7FF"/>
      </patternFill>
    </fill>
    <fill>
      <patternFill patternType="solid">
        <fgColor rgb="FFE8F4FF"/>
        <bgColor rgb="FFE8F4FF"/>
      </patternFill>
    </fill>
    <fill>
      <patternFill patternType="solid">
        <fgColor rgb="FFEFFFED"/>
        <bgColor rgb="FFEFFFED"/>
      </patternFill>
    </fill>
    <fill>
      <patternFill patternType="solid">
        <fgColor rgb="FFE8FFF0"/>
        <bgColor rgb="FFE8FFF0"/>
      </patternFill>
    </fill>
    <fill>
      <patternFill patternType="solid">
        <fgColor rgb="FFFFFFF0"/>
        <bgColor rgb="FFFFFFF0"/>
      </patternFill>
    </fill>
    <fill>
      <patternFill patternType="solid">
        <fgColor rgb="FFFFFAED"/>
        <bgColor rgb="FFFFFAED"/>
      </patternFill>
    </fill>
    <fill>
      <patternFill patternType="solid">
        <fgColor rgb="FFFFF0EE"/>
        <bgColor rgb="FFFFF0EE"/>
      </patternFill>
    </fill>
    <fill>
      <patternFill patternType="solid">
        <fgColor rgb="FFFFF5F5"/>
        <bgColor rgb="FFFFF5F5"/>
      </patternFill>
    </fill>
    <fill>
      <patternFill patternType="solid">
        <fgColor rgb="FFF5EEFF"/>
        <bgColor rgb="FFF5EEFF"/>
      </patternFill>
    </fill>
    <fill>
      <patternFill patternType="solid">
        <fgColor rgb="FFEEE8FF"/>
        <bgColor rgb="FFEEE8FF"/>
      </patternFill>
    </fill>
    <fill>
      <patternFill patternType="solid">
        <fgColor rgb="FFF5F5F5"/>
        <bgColor rgb="FFF5F5F5"/>
      </patternFill>
    </fill>
    <fill>
      <patternFill patternType="solid">
        <fgColor rgb="FFEDFFFC"/>
        <bgColor rgb="FFEDFFFC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7B1FA2"/>
        <bgColor rgb="FF7B1FA2"/>
      </patternFill>
    </fill>
    <fill>
      <patternFill patternType="solid">
        <fgColor rgb="FFFFFFFF"/>
        <bgColor rgb="FFFFFFFF"/>
      </patternFill>
    </fill>
    <fill>
      <patternFill patternType="solid">
        <fgColor rgb="FFC00000"/>
        <bgColor rgb="FFC00000"/>
      </patternFill>
    </fill>
    <fill>
      <patternFill patternType="solid">
        <fgColor rgb="FFFFE4B5"/>
        <bgColor rgb="FFFFE4B5"/>
      </patternFill>
    </fill>
  </fills>
  <borders count="11">
    <border/>
    <border>
      <left/>
      <top/>
      <bottom/>
    </border>
    <border>
      <top/>
      <bottom/>
    </border>
    <border>
      <left/>
      <right/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  <border>
      <left style="thin">
        <color rgb="FFC8C8C8"/>
      </left>
      <top style="thin">
        <color rgb="FFC8C8C8"/>
      </top>
      <bottom style="thin">
        <color rgb="FFC8C8C8"/>
      </bottom>
    </border>
    <border>
      <right style="thin">
        <color rgb="FFC8C8C8"/>
      </right>
      <top style="thin">
        <color rgb="FFC8C8C8"/>
      </top>
      <bottom style="thin">
        <color rgb="FFC8C8C8"/>
      </bottom>
    </border>
    <border>
      <top style="thin">
        <color rgb="FFC8C8C8"/>
      </top>
      <bottom style="thin">
        <color rgb="FFC8C8C8"/>
      </bottom>
    </border>
    <border>
      <left style="thin">
        <color rgb="FF95B3D7"/>
      </left>
      <right/>
      <top style="thin">
        <color rgb="FF95B3D7"/>
      </top>
      <bottom style="thin">
        <color rgb="FF95B3D7"/>
      </bottom>
    </border>
    <border>
      <left/>
      <top/>
      <bottom style="thin">
        <color rgb="FFC8C8C8"/>
      </bottom>
    </border>
    <border>
      <top/>
      <bottom style="thin">
        <color rgb="FFC8C8C8"/>
      </bottom>
    </border>
  </borders>
  <cellStyleXfs count="1">
    <xf borderId="0" fillId="0" fontId="0" numFmtId="0" applyAlignment="1" applyFont="1"/>
  </cellStyleXfs>
  <cellXfs count="1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3" fillId="4" fontId="4" numFmtId="0" xfId="0" applyAlignment="1" applyBorder="1" applyFill="1" applyFont="1">
      <alignment horizontal="left" vertical="center"/>
    </xf>
    <xf borderId="3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3" fillId="4" fontId="8" numFmtId="0" xfId="0" applyBorder="1" applyFont="1"/>
    <xf borderId="0" fillId="0" fontId="9" numFmtId="0" xfId="0" applyAlignment="1" applyFont="1">
      <alignment horizontal="center" vertical="center"/>
    </xf>
    <xf borderId="3" fillId="5" fontId="10" numFmtId="0" xfId="0" applyAlignment="1" applyBorder="1" applyFill="1" applyFont="1">
      <alignment horizontal="left" shrinkToFit="0" vertical="center" wrapText="1"/>
    </xf>
    <xf borderId="3" fillId="5" fontId="11" numFmtId="0" xfId="0" applyBorder="1" applyFont="1"/>
    <xf borderId="0" fillId="0" fontId="8" numFmtId="4" xfId="0" applyFont="1" applyNumberFormat="1"/>
    <xf borderId="3" fillId="6" fontId="10" numFmtId="0" xfId="0" applyAlignment="1" applyBorder="1" applyFill="1" applyFont="1">
      <alignment horizontal="left" shrinkToFit="0" vertical="center" wrapText="1"/>
    </xf>
    <xf borderId="3" fillId="6" fontId="11" numFmtId="0" xfId="0" applyBorder="1" applyFont="1"/>
    <xf borderId="3" fillId="7" fontId="10" numFmtId="0" xfId="0" applyAlignment="1" applyBorder="1" applyFill="1" applyFont="1">
      <alignment horizontal="left" shrinkToFit="0" vertical="center" wrapText="1"/>
    </xf>
    <xf borderId="3" fillId="7" fontId="11" numFmtId="0" xfId="0" applyBorder="1" applyFont="1"/>
    <xf borderId="1" fillId="2" fontId="12" numFmtId="0" xfId="0" applyAlignment="1" applyBorder="1" applyFont="1">
      <alignment horizontal="center" vertical="center"/>
    </xf>
    <xf borderId="1" fillId="4" fontId="13" numFmtId="0" xfId="0" applyAlignment="1" applyBorder="1" applyFont="1">
      <alignment horizontal="left" shrinkToFit="0" vertical="center" wrapText="1"/>
    </xf>
    <xf borderId="4" fillId="2" fontId="14" numFmtId="0" xfId="0" applyAlignment="1" applyBorder="1" applyFont="1">
      <alignment horizontal="center" vertical="center"/>
    </xf>
    <xf borderId="5" fillId="8" fontId="15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5" fillId="9" fontId="15" numFmtId="0" xfId="0" applyAlignment="1" applyBorder="1" applyFill="1" applyFont="1">
      <alignment horizontal="center" shrinkToFit="0" vertical="center" wrapText="1"/>
    </xf>
    <xf borderId="5" fillId="10" fontId="15" numFmtId="0" xfId="0" applyAlignment="1" applyBorder="1" applyFill="1" applyFont="1">
      <alignment horizontal="center" shrinkToFit="0" vertical="center" wrapText="1"/>
    </xf>
    <xf borderId="5" fillId="11" fontId="15" numFmtId="0" xfId="0" applyAlignment="1" applyBorder="1" applyFill="1" applyFont="1">
      <alignment horizontal="center" shrinkToFit="0" vertical="center" wrapText="1"/>
    </xf>
    <xf borderId="5" fillId="12" fontId="15" numFmtId="0" xfId="0" applyAlignment="1" applyBorder="1" applyFill="1" applyFont="1">
      <alignment horizontal="center" shrinkToFit="0" vertical="center" wrapText="1"/>
    </xf>
    <xf borderId="5" fillId="13" fontId="15" numFmtId="0" xfId="0" applyAlignment="1" applyBorder="1" applyFill="1" applyFont="1">
      <alignment horizontal="center" shrinkToFit="0" vertical="center" wrapText="1"/>
    </xf>
    <xf borderId="5" fillId="14" fontId="15" numFmtId="0" xfId="0" applyAlignment="1" applyBorder="1" applyFill="1" applyFont="1">
      <alignment horizontal="center" shrinkToFit="0" vertical="center" wrapText="1"/>
    </xf>
    <xf borderId="5" fillId="15" fontId="15" numFmtId="0" xfId="0" applyAlignment="1" applyBorder="1" applyFill="1" applyFont="1">
      <alignment horizontal="center" shrinkToFit="0" vertical="center" wrapText="1"/>
    </xf>
    <xf borderId="5" fillId="16" fontId="15" numFmtId="0" xfId="0" applyAlignment="1" applyBorder="1" applyFill="1" applyFont="1">
      <alignment horizontal="center" shrinkToFit="0" vertical="center" wrapText="1"/>
    </xf>
    <xf borderId="5" fillId="17" fontId="15" numFmtId="0" xfId="0" applyAlignment="1" applyBorder="1" applyFill="1" applyFont="1">
      <alignment horizontal="center" shrinkToFit="0" vertical="center" wrapText="1"/>
    </xf>
    <xf borderId="5" fillId="18" fontId="15" numFmtId="0" xfId="0" applyAlignment="1" applyBorder="1" applyFill="1" applyFont="1">
      <alignment horizontal="center" shrinkToFit="0" vertical="center" wrapText="1"/>
    </xf>
    <xf borderId="5" fillId="19" fontId="15" numFmtId="0" xfId="0" applyAlignment="1" applyBorder="1" applyFill="1" applyFont="1">
      <alignment horizontal="center" shrinkToFit="0" vertical="center" wrapText="1"/>
    </xf>
    <xf borderId="4" fillId="3" fontId="16" numFmtId="0" xfId="0" applyAlignment="1" applyBorder="1" applyFont="1">
      <alignment horizontal="center" vertical="center"/>
    </xf>
    <xf borderId="4" fillId="8" fontId="15" numFmtId="0" xfId="0" applyAlignment="1" applyBorder="1" applyFont="1">
      <alignment horizontal="center" shrinkToFit="0" vertical="center" wrapText="1"/>
    </xf>
    <xf borderId="4" fillId="9" fontId="15" numFmtId="0" xfId="0" applyAlignment="1" applyBorder="1" applyFont="1">
      <alignment horizontal="center" shrinkToFit="0" vertical="center" wrapText="1"/>
    </xf>
    <xf borderId="4" fillId="10" fontId="15" numFmtId="0" xfId="0" applyAlignment="1" applyBorder="1" applyFont="1">
      <alignment horizontal="center" shrinkToFit="0" vertical="center" wrapText="1"/>
    </xf>
    <xf borderId="4" fillId="11" fontId="15" numFmtId="0" xfId="0" applyAlignment="1" applyBorder="1" applyFont="1">
      <alignment horizontal="center" shrinkToFit="0" vertical="center" wrapText="1"/>
    </xf>
    <xf borderId="4" fillId="12" fontId="15" numFmtId="0" xfId="0" applyAlignment="1" applyBorder="1" applyFont="1">
      <alignment horizontal="center" shrinkToFit="0" vertical="center" wrapText="1"/>
    </xf>
    <xf borderId="4" fillId="13" fontId="15" numFmtId="0" xfId="0" applyAlignment="1" applyBorder="1" applyFont="1">
      <alignment horizontal="center" shrinkToFit="0" vertical="center" wrapText="1"/>
    </xf>
    <xf borderId="4" fillId="14" fontId="15" numFmtId="0" xfId="0" applyAlignment="1" applyBorder="1" applyFont="1">
      <alignment horizontal="center" shrinkToFit="0" vertical="center" wrapText="1"/>
    </xf>
    <xf borderId="4" fillId="15" fontId="15" numFmtId="0" xfId="0" applyAlignment="1" applyBorder="1" applyFont="1">
      <alignment horizontal="center" shrinkToFit="0" vertical="center" wrapText="1"/>
    </xf>
    <xf borderId="4" fillId="16" fontId="15" numFmtId="0" xfId="0" applyAlignment="1" applyBorder="1" applyFont="1">
      <alignment horizontal="center" shrinkToFit="0" vertical="center" wrapText="1"/>
    </xf>
    <xf borderId="4" fillId="17" fontId="15" numFmtId="0" xfId="0" applyAlignment="1" applyBorder="1" applyFont="1">
      <alignment horizontal="center" shrinkToFit="0" vertical="center" wrapText="1"/>
    </xf>
    <xf borderId="4" fillId="18" fontId="15" numFmtId="0" xfId="0" applyAlignment="1" applyBorder="1" applyFont="1">
      <alignment horizontal="center" shrinkToFit="0" vertical="center" wrapText="1"/>
    </xf>
    <xf borderId="4" fillId="19" fontId="15" numFmtId="0" xfId="0" applyAlignment="1" applyBorder="1" applyFont="1">
      <alignment horizontal="center" shrinkToFit="0" vertical="center" wrapText="1"/>
    </xf>
    <xf borderId="4" fillId="4" fontId="17" numFmtId="0" xfId="0" applyAlignment="1" applyBorder="1" applyFont="1">
      <alignment horizontal="left" vertical="center"/>
    </xf>
    <xf borderId="4" fillId="20" fontId="18" numFmtId="1" xfId="0" applyAlignment="1" applyBorder="1" applyFill="1" applyFont="1" applyNumberFormat="1">
      <alignment horizontal="center" vertical="center"/>
    </xf>
    <xf borderId="1" fillId="2" fontId="19" numFmtId="0" xfId="0" applyAlignment="1" applyBorder="1" applyFont="1">
      <alignment horizontal="left" vertical="center"/>
    </xf>
    <xf borderId="5" fillId="8" fontId="19" numFmtId="0" xfId="0" applyAlignment="1" applyBorder="1" applyFont="1">
      <alignment horizontal="center" vertical="center"/>
    </xf>
    <xf borderId="7" fillId="0" fontId="2" numFmtId="0" xfId="0" applyBorder="1" applyFont="1"/>
    <xf borderId="5" fillId="9" fontId="19" numFmtId="0" xfId="0" applyAlignment="1" applyBorder="1" applyFont="1">
      <alignment horizontal="center" vertical="center"/>
    </xf>
    <xf borderId="5" fillId="10" fontId="19" numFmtId="0" xfId="0" applyAlignment="1" applyBorder="1" applyFont="1">
      <alignment horizontal="center" vertical="center"/>
    </xf>
    <xf borderId="4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left" vertical="center"/>
    </xf>
    <xf borderId="4" fillId="21" fontId="20" numFmtId="0" xfId="0" applyAlignment="1" applyBorder="1" applyFill="1" applyFont="1">
      <alignment horizontal="center" vertical="center"/>
    </xf>
    <xf borderId="5" fillId="21" fontId="21" numFmtId="0" xfId="0" applyAlignment="1" applyBorder="1" applyFont="1">
      <alignment horizontal="left" shrinkToFit="0" vertical="center" wrapText="1"/>
    </xf>
    <xf borderId="4" fillId="21" fontId="22" numFmtId="0" xfId="0" applyAlignment="1" applyBorder="1" applyFont="1">
      <alignment horizontal="center" vertical="center"/>
    </xf>
    <xf borderId="4" fillId="22" fontId="23" numFmtId="0" xfId="0" applyAlignment="1" applyBorder="1" applyFill="1" applyFont="1">
      <alignment horizontal="center" vertical="center"/>
    </xf>
    <xf borderId="5" fillId="22" fontId="24" numFmtId="0" xfId="0" applyAlignment="1" applyBorder="1" applyFont="1">
      <alignment horizontal="left" shrinkToFit="0" vertical="center" wrapText="1"/>
    </xf>
    <xf borderId="4" fillId="22" fontId="25" numFmtId="0" xfId="0" applyAlignment="1" applyBorder="1" applyFont="1">
      <alignment horizontal="center" vertical="center"/>
    </xf>
    <xf borderId="4" fillId="23" fontId="26" numFmtId="0" xfId="0" applyAlignment="1" applyBorder="1" applyFill="1" applyFont="1">
      <alignment horizontal="center" vertical="center"/>
    </xf>
    <xf borderId="5" fillId="23" fontId="27" numFmtId="0" xfId="0" applyAlignment="1" applyBorder="1" applyFont="1">
      <alignment horizontal="left" shrinkToFit="0" vertical="center" wrapText="1"/>
    </xf>
    <xf borderId="4" fillId="23" fontId="28" numFmtId="0" xfId="0" applyAlignment="1" applyBorder="1" applyFont="1">
      <alignment horizontal="center" vertical="center"/>
    </xf>
    <xf borderId="4" fillId="24" fontId="29" numFmtId="0" xfId="0" applyAlignment="1" applyBorder="1" applyFill="1" applyFont="1">
      <alignment horizontal="center" vertical="center"/>
    </xf>
    <xf borderId="5" fillId="24" fontId="30" numFmtId="0" xfId="0" applyAlignment="1" applyBorder="1" applyFont="1">
      <alignment horizontal="left" shrinkToFit="0" vertical="center" wrapText="1"/>
    </xf>
    <xf borderId="4" fillId="24" fontId="31" numFmtId="0" xfId="0" applyAlignment="1" applyBorder="1" applyFont="1">
      <alignment horizontal="center" vertical="center"/>
    </xf>
    <xf borderId="5" fillId="11" fontId="19" numFmtId="0" xfId="0" applyAlignment="1" applyBorder="1" applyFont="1">
      <alignment horizontal="center" vertical="center"/>
    </xf>
    <xf borderId="5" fillId="12" fontId="19" numFmtId="0" xfId="0" applyAlignment="1" applyBorder="1" applyFont="1">
      <alignment horizontal="center" vertical="center"/>
    </xf>
    <xf borderId="5" fillId="13" fontId="19" numFmtId="0" xfId="0" applyAlignment="1" applyBorder="1" applyFont="1">
      <alignment horizontal="center" vertical="center"/>
    </xf>
    <xf borderId="5" fillId="14" fontId="19" numFmtId="0" xfId="0" applyAlignment="1" applyBorder="1" applyFont="1">
      <alignment horizontal="center" vertical="center"/>
    </xf>
    <xf borderId="5" fillId="15" fontId="19" numFmtId="0" xfId="0" applyAlignment="1" applyBorder="1" applyFont="1">
      <alignment horizontal="center" vertical="center"/>
    </xf>
    <xf borderId="5" fillId="16" fontId="19" numFmtId="0" xfId="0" applyAlignment="1" applyBorder="1" applyFont="1">
      <alignment horizontal="center" vertical="center"/>
    </xf>
    <xf borderId="5" fillId="17" fontId="19" numFmtId="0" xfId="0" applyAlignment="1" applyBorder="1" applyFont="1">
      <alignment horizontal="center" vertical="center"/>
    </xf>
    <xf borderId="5" fillId="18" fontId="19" numFmtId="0" xfId="0" applyAlignment="1" applyBorder="1" applyFont="1">
      <alignment horizontal="center" vertical="center"/>
    </xf>
    <xf borderId="5" fillId="19" fontId="19" numFmtId="0" xfId="0" applyAlignment="1" applyBorder="1" applyFont="1">
      <alignment horizontal="center" vertical="center"/>
    </xf>
    <xf borderId="3" fillId="25" fontId="32" numFmtId="0" xfId="0" applyAlignment="1" applyBorder="1" applyFill="1" applyFont="1">
      <alignment horizontal="center" vertical="center"/>
    </xf>
    <xf borderId="8" fillId="25" fontId="32" numFmtId="0" xfId="0" applyAlignment="1" applyBorder="1" applyFont="1">
      <alignment horizontal="center" vertical="center"/>
    </xf>
    <xf borderId="0" fillId="0" fontId="33" numFmtId="0" xfId="0" applyAlignment="1" applyFont="1">
      <alignment vertical="center"/>
    </xf>
    <xf borderId="4" fillId="26" fontId="34" numFmtId="0" xfId="0" applyAlignment="1" applyBorder="1" applyFill="1" applyFont="1">
      <alignment horizontal="center" vertical="center"/>
    </xf>
    <xf borderId="4" fillId="26" fontId="5" numFmtId="0" xfId="0" applyAlignment="1" applyBorder="1" applyFont="1">
      <alignment horizontal="left" vertical="center"/>
    </xf>
    <xf borderId="4" fillId="26" fontId="8" numFmtId="0" xfId="0" applyAlignment="1" applyBorder="1" applyFont="1">
      <alignment horizontal="center" vertical="center"/>
    </xf>
    <xf borderId="4" fillId="26" fontId="8" numFmtId="1" xfId="0" applyAlignment="1" applyBorder="1" applyFont="1" applyNumberFormat="1">
      <alignment horizontal="center" vertical="center"/>
    </xf>
    <xf borderId="4" fillId="26" fontId="10" numFmtId="0" xfId="0" applyAlignment="1" applyBorder="1" applyFont="1">
      <alignment horizontal="center" vertical="center"/>
    </xf>
    <xf borderId="4" fillId="27" fontId="35" numFmtId="0" xfId="0" applyAlignment="1" applyBorder="1" applyFill="1" applyFont="1">
      <alignment horizontal="center" vertical="center"/>
    </xf>
    <xf borderId="4" fillId="27" fontId="5" numFmtId="0" xfId="0" applyAlignment="1" applyBorder="1" applyFont="1">
      <alignment horizontal="left" vertical="center"/>
    </xf>
    <xf borderId="4" fillId="27" fontId="8" numFmtId="0" xfId="0" applyAlignment="1" applyBorder="1" applyFont="1">
      <alignment horizontal="center" vertical="center"/>
    </xf>
    <xf borderId="4" fillId="27" fontId="8" numFmtId="1" xfId="0" applyAlignment="1" applyBorder="1" applyFont="1" applyNumberFormat="1">
      <alignment horizontal="center" vertical="center"/>
    </xf>
    <xf borderId="4" fillId="27" fontId="10" numFmtId="0" xfId="0" applyAlignment="1" applyBorder="1" applyFont="1">
      <alignment horizontal="center" vertical="center"/>
    </xf>
    <xf borderId="4" fillId="28" fontId="36" numFmtId="0" xfId="0" applyAlignment="1" applyBorder="1" applyFill="1" applyFont="1">
      <alignment horizontal="center" vertical="center"/>
    </xf>
    <xf borderId="4" fillId="28" fontId="5" numFmtId="0" xfId="0" applyAlignment="1" applyBorder="1" applyFont="1">
      <alignment horizontal="left" vertical="center"/>
    </xf>
    <xf borderId="4" fillId="28" fontId="8" numFmtId="0" xfId="0" applyAlignment="1" applyBorder="1" applyFont="1">
      <alignment horizontal="center" vertical="center"/>
    </xf>
    <xf borderId="4" fillId="28" fontId="8" numFmtId="1" xfId="0" applyAlignment="1" applyBorder="1" applyFont="1" applyNumberFormat="1">
      <alignment horizontal="center" vertical="center"/>
    </xf>
    <xf borderId="4" fillId="28" fontId="10" numFmtId="0" xfId="0" applyAlignment="1" applyBorder="1" applyFont="1">
      <alignment horizontal="center" vertical="center"/>
    </xf>
    <xf borderId="4" fillId="29" fontId="37" numFmtId="0" xfId="0" applyAlignment="1" applyBorder="1" applyFill="1" applyFont="1">
      <alignment horizontal="center" vertical="center"/>
    </xf>
    <xf borderId="4" fillId="29" fontId="5" numFmtId="0" xfId="0" applyAlignment="1" applyBorder="1" applyFont="1">
      <alignment horizontal="left" vertical="center"/>
    </xf>
    <xf borderId="4" fillId="29" fontId="8" numFmtId="0" xfId="0" applyAlignment="1" applyBorder="1" applyFont="1">
      <alignment horizontal="center" vertical="center"/>
    </xf>
    <xf borderId="4" fillId="29" fontId="8" numFmtId="1" xfId="0" applyAlignment="1" applyBorder="1" applyFont="1" applyNumberFormat="1">
      <alignment horizontal="center" vertical="center"/>
    </xf>
    <xf borderId="4" fillId="29" fontId="10" numFmtId="0" xfId="0" applyAlignment="1" applyBorder="1" applyFont="1">
      <alignment horizontal="center" vertical="center"/>
    </xf>
    <xf borderId="4" fillId="30" fontId="38" numFmtId="0" xfId="0" applyAlignment="1" applyBorder="1" applyFill="1" applyFont="1">
      <alignment horizontal="center" vertical="center"/>
    </xf>
    <xf borderId="4" fillId="30" fontId="5" numFmtId="0" xfId="0" applyAlignment="1" applyBorder="1" applyFont="1">
      <alignment horizontal="left" vertical="center"/>
    </xf>
    <xf borderId="4" fillId="30" fontId="8" numFmtId="0" xfId="0" applyAlignment="1" applyBorder="1" applyFont="1">
      <alignment horizontal="center" vertical="center"/>
    </xf>
    <xf borderId="4" fillId="30" fontId="8" numFmtId="1" xfId="0" applyAlignment="1" applyBorder="1" applyFont="1" applyNumberFormat="1">
      <alignment horizontal="center" vertical="center"/>
    </xf>
    <xf borderId="4" fillId="30" fontId="10" numFmtId="0" xfId="0" applyAlignment="1" applyBorder="1" applyFont="1">
      <alignment horizontal="center" vertical="center"/>
    </xf>
    <xf borderId="4" fillId="31" fontId="39" numFmtId="0" xfId="0" applyAlignment="1" applyBorder="1" applyFill="1" applyFont="1">
      <alignment horizontal="center" vertical="center"/>
    </xf>
    <xf borderId="4" fillId="31" fontId="5" numFmtId="0" xfId="0" applyAlignment="1" applyBorder="1" applyFont="1">
      <alignment horizontal="left" vertical="center"/>
    </xf>
    <xf borderId="4" fillId="31" fontId="8" numFmtId="0" xfId="0" applyAlignment="1" applyBorder="1" applyFont="1">
      <alignment horizontal="center" vertical="center"/>
    </xf>
    <xf borderId="4" fillId="31" fontId="8" numFmtId="1" xfId="0" applyAlignment="1" applyBorder="1" applyFont="1" applyNumberFormat="1">
      <alignment horizontal="center" vertical="center"/>
    </xf>
    <xf borderId="4" fillId="31" fontId="10" numFmtId="0" xfId="0" applyAlignment="1" applyBorder="1" applyFont="1">
      <alignment horizontal="center" vertical="center"/>
    </xf>
    <xf borderId="4" fillId="32" fontId="40" numFmtId="0" xfId="0" applyAlignment="1" applyBorder="1" applyFill="1" applyFont="1">
      <alignment horizontal="center" vertical="center"/>
    </xf>
    <xf borderId="4" fillId="32" fontId="5" numFmtId="0" xfId="0" applyAlignment="1" applyBorder="1" applyFont="1">
      <alignment horizontal="left" vertical="center"/>
    </xf>
    <xf borderId="4" fillId="32" fontId="8" numFmtId="0" xfId="0" applyAlignment="1" applyBorder="1" applyFont="1">
      <alignment horizontal="center" vertical="center"/>
    </xf>
    <xf borderId="4" fillId="32" fontId="8" numFmtId="1" xfId="0" applyAlignment="1" applyBorder="1" applyFont="1" applyNumberFormat="1">
      <alignment horizontal="center" vertical="center"/>
    </xf>
    <xf borderId="4" fillId="32" fontId="10" numFmtId="0" xfId="0" applyAlignment="1" applyBorder="1" applyFont="1">
      <alignment horizontal="center" vertical="center"/>
    </xf>
    <xf borderId="4" fillId="33" fontId="41" numFmtId="0" xfId="0" applyAlignment="1" applyBorder="1" applyFill="1" applyFont="1">
      <alignment horizontal="center" vertical="center"/>
    </xf>
    <xf borderId="4" fillId="33" fontId="5" numFmtId="0" xfId="0" applyAlignment="1" applyBorder="1" applyFont="1">
      <alignment horizontal="left" vertical="center"/>
    </xf>
    <xf borderId="4" fillId="33" fontId="8" numFmtId="0" xfId="0" applyAlignment="1" applyBorder="1" applyFont="1">
      <alignment horizontal="center" vertical="center"/>
    </xf>
    <xf borderId="4" fillId="33" fontId="8" numFmtId="1" xfId="0" applyAlignment="1" applyBorder="1" applyFont="1" applyNumberFormat="1">
      <alignment horizontal="center" vertical="center"/>
    </xf>
    <xf borderId="4" fillId="33" fontId="10" numFmtId="0" xfId="0" applyAlignment="1" applyBorder="1" applyFont="1">
      <alignment horizontal="center" vertical="center"/>
    </xf>
    <xf borderId="4" fillId="34" fontId="42" numFmtId="0" xfId="0" applyAlignment="1" applyBorder="1" applyFill="1" applyFont="1">
      <alignment horizontal="center" vertical="center"/>
    </xf>
    <xf borderId="4" fillId="34" fontId="5" numFmtId="0" xfId="0" applyAlignment="1" applyBorder="1" applyFont="1">
      <alignment horizontal="left" vertical="center"/>
    </xf>
    <xf borderId="4" fillId="34" fontId="8" numFmtId="0" xfId="0" applyAlignment="1" applyBorder="1" applyFont="1">
      <alignment horizontal="center" vertical="center"/>
    </xf>
    <xf borderId="4" fillId="34" fontId="8" numFmtId="1" xfId="0" applyAlignment="1" applyBorder="1" applyFont="1" applyNumberFormat="1">
      <alignment horizontal="center" vertical="center"/>
    </xf>
    <xf borderId="4" fillId="34" fontId="10" numFmtId="0" xfId="0" applyAlignment="1" applyBorder="1" applyFont="1">
      <alignment horizontal="center" vertical="center"/>
    </xf>
    <xf borderId="4" fillId="35" fontId="43" numFmtId="0" xfId="0" applyAlignment="1" applyBorder="1" applyFill="1" applyFont="1">
      <alignment horizontal="center" vertical="center"/>
    </xf>
    <xf borderId="4" fillId="35" fontId="5" numFmtId="0" xfId="0" applyAlignment="1" applyBorder="1" applyFont="1">
      <alignment horizontal="left" vertical="center"/>
    </xf>
    <xf borderId="4" fillId="35" fontId="8" numFmtId="0" xfId="0" applyAlignment="1" applyBorder="1" applyFont="1">
      <alignment horizontal="center" vertical="center"/>
    </xf>
    <xf borderId="4" fillId="35" fontId="8" numFmtId="1" xfId="0" applyAlignment="1" applyBorder="1" applyFont="1" applyNumberFormat="1">
      <alignment horizontal="center" vertical="center"/>
    </xf>
    <xf borderId="4" fillId="35" fontId="10" numFmtId="0" xfId="0" applyAlignment="1" applyBorder="1" applyFont="1">
      <alignment horizontal="center" vertical="center"/>
    </xf>
    <xf borderId="4" fillId="36" fontId="44" numFmtId="0" xfId="0" applyAlignment="1" applyBorder="1" applyFill="1" applyFont="1">
      <alignment horizontal="center" vertical="center"/>
    </xf>
    <xf borderId="4" fillId="36" fontId="5" numFmtId="0" xfId="0" applyAlignment="1" applyBorder="1" applyFont="1">
      <alignment horizontal="left" vertical="center"/>
    </xf>
    <xf borderId="4" fillId="36" fontId="8" numFmtId="0" xfId="0" applyAlignment="1" applyBorder="1" applyFont="1">
      <alignment horizontal="center" vertical="center"/>
    </xf>
    <xf borderId="4" fillId="36" fontId="8" numFmtId="1" xfId="0" applyAlignment="1" applyBorder="1" applyFont="1" applyNumberFormat="1">
      <alignment horizontal="center" vertical="center"/>
    </xf>
    <xf borderId="4" fillId="36" fontId="10" numFmtId="0" xfId="0" applyAlignment="1" applyBorder="1" applyFont="1">
      <alignment horizontal="center" vertical="center"/>
    </xf>
    <xf borderId="4" fillId="37" fontId="45" numFmtId="0" xfId="0" applyAlignment="1" applyBorder="1" applyFill="1" applyFont="1">
      <alignment horizontal="center" vertical="center"/>
    </xf>
    <xf borderId="4" fillId="37" fontId="5" numFmtId="0" xfId="0" applyAlignment="1" applyBorder="1" applyFont="1">
      <alignment horizontal="left" vertical="center"/>
    </xf>
    <xf borderId="4" fillId="37" fontId="8" numFmtId="0" xfId="0" applyAlignment="1" applyBorder="1" applyFont="1">
      <alignment horizontal="center" vertical="center"/>
    </xf>
    <xf borderId="4" fillId="37" fontId="8" numFmtId="1" xfId="0" applyAlignment="1" applyBorder="1" applyFont="1" applyNumberFormat="1">
      <alignment horizontal="center" vertical="center"/>
    </xf>
    <xf borderId="4" fillId="37" fontId="10" numFmtId="0" xfId="0" applyAlignment="1" applyBorder="1" applyFont="1">
      <alignment horizontal="center" vertical="center"/>
    </xf>
    <xf borderId="4" fillId="4" fontId="34" numFmtId="0" xfId="0" applyAlignment="1" applyBorder="1" applyFont="1">
      <alignment horizontal="center" vertical="center"/>
    </xf>
    <xf borderId="4" fillId="4" fontId="8" numFmtId="0" xfId="0" applyAlignment="1" applyBorder="1" applyFont="1">
      <alignment horizontal="center" vertical="center"/>
    </xf>
    <xf borderId="4" fillId="4" fontId="35" numFmtId="0" xfId="0" applyAlignment="1" applyBorder="1" applyFont="1">
      <alignment horizontal="center" vertical="center"/>
    </xf>
    <xf borderId="4" fillId="4" fontId="36" numFmtId="0" xfId="0" applyAlignment="1" applyBorder="1" applyFont="1">
      <alignment horizontal="center" vertical="center"/>
    </xf>
    <xf borderId="4" fillId="4" fontId="37" numFmtId="0" xfId="0" applyAlignment="1" applyBorder="1" applyFont="1">
      <alignment horizontal="center" vertical="center"/>
    </xf>
    <xf borderId="4" fillId="4" fontId="38" numFmtId="0" xfId="0" applyAlignment="1" applyBorder="1" applyFont="1">
      <alignment horizontal="center" vertical="center"/>
    </xf>
    <xf borderId="4" fillId="4" fontId="39" numFmtId="0" xfId="0" applyAlignment="1" applyBorder="1" applyFont="1">
      <alignment horizontal="center" vertical="center"/>
    </xf>
    <xf borderId="4" fillId="4" fontId="40" numFmtId="0" xfId="0" applyAlignment="1" applyBorder="1" applyFont="1">
      <alignment horizontal="center" vertical="center"/>
    </xf>
    <xf borderId="4" fillId="4" fontId="41" numFmtId="0" xfId="0" applyAlignment="1" applyBorder="1" applyFont="1">
      <alignment horizontal="center" vertical="center"/>
    </xf>
    <xf borderId="4" fillId="4" fontId="42" numFmtId="0" xfId="0" applyAlignment="1" applyBorder="1" applyFont="1">
      <alignment horizontal="center" vertical="center"/>
    </xf>
    <xf borderId="4" fillId="4" fontId="43" numFmtId="0" xfId="0" applyAlignment="1" applyBorder="1" applyFont="1">
      <alignment horizontal="center" vertical="center"/>
    </xf>
    <xf borderId="4" fillId="4" fontId="44" numFmtId="0" xfId="0" applyAlignment="1" applyBorder="1" applyFont="1">
      <alignment horizontal="center" vertical="center"/>
    </xf>
    <xf borderId="4" fillId="4" fontId="45" numFmtId="0" xfId="0" applyAlignment="1" applyBorder="1" applyFont="1">
      <alignment horizontal="center" vertical="center"/>
    </xf>
    <xf borderId="4" fillId="0" fontId="34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4" fillId="0" fontId="35" numFmtId="0" xfId="0" applyAlignment="1" applyBorder="1" applyFont="1">
      <alignment horizontal="center" vertical="center"/>
    </xf>
    <xf borderId="4" fillId="0" fontId="36" numFmtId="0" xfId="0" applyAlignment="1" applyBorder="1" applyFont="1">
      <alignment horizontal="center" vertical="center"/>
    </xf>
    <xf borderId="4" fillId="0" fontId="37" numFmtId="0" xfId="0" applyAlignment="1" applyBorder="1" applyFont="1">
      <alignment horizontal="center" vertical="center"/>
    </xf>
    <xf borderId="4" fillId="0" fontId="38" numFmtId="0" xfId="0" applyAlignment="1" applyBorder="1" applyFont="1">
      <alignment horizontal="center" vertical="center"/>
    </xf>
    <xf borderId="4" fillId="0" fontId="39" numFmtId="0" xfId="0" applyAlignment="1" applyBorder="1" applyFont="1">
      <alignment horizontal="center" vertical="center"/>
    </xf>
    <xf borderId="4" fillId="0" fontId="40" numFmtId="0" xfId="0" applyAlignment="1" applyBorder="1" applyFont="1">
      <alignment horizontal="center" vertical="center"/>
    </xf>
    <xf borderId="4" fillId="0" fontId="41" numFmtId="0" xfId="0" applyAlignment="1" applyBorder="1" applyFont="1">
      <alignment horizontal="center" vertical="center"/>
    </xf>
    <xf borderId="4" fillId="0" fontId="42" numFmtId="0" xfId="0" applyAlignment="1" applyBorder="1" applyFont="1">
      <alignment horizontal="center" vertical="center"/>
    </xf>
    <xf borderId="4" fillId="0" fontId="43" numFmtId="0" xfId="0" applyAlignment="1" applyBorder="1" applyFont="1">
      <alignment horizontal="center" vertical="center"/>
    </xf>
    <xf borderId="4" fillId="0" fontId="44" numFmtId="0" xfId="0" applyAlignment="1" applyBorder="1" applyFont="1">
      <alignment horizontal="center" vertical="center"/>
    </xf>
    <xf borderId="4" fillId="0" fontId="45" numFmtId="0" xfId="0" applyAlignment="1" applyBorder="1" applyFont="1">
      <alignment horizontal="center" vertical="center"/>
    </xf>
    <xf borderId="4" fillId="38" fontId="9" numFmtId="0" xfId="0" applyAlignment="1" applyBorder="1" applyFill="1" applyFont="1">
      <alignment horizontal="center" vertical="center"/>
    </xf>
    <xf borderId="4" fillId="38" fontId="8" numFmtId="0" xfId="0" applyAlignment="1" applyBorder="1" applyFont="1">
      <alignment horizontal="center" vertical="center"/>
    </xf>
    <xf borderId="4" fillId="39" fontId="46" numFmtId="0" xfId="0" applyAlignment="1" applyBorder="1" applyFill="1" applyFont="1">
      <alignment horizontal="center" vertical="center"/>
    </xf>
    <xf borderId="4" fillId="39" fontId="8" numFmtId="0" xfId="0" applyAlignment="1" applyBorder="1" applyFont="1">
      <alignment horizontal="center" vertical="center"/>
    </xf>
    <xf borderId="4" fillId="40" fontId="16" numFmtId="0" xfId="0" applyAlignment="1" applyBorder="1" applyFill="1" applyFont="1">
      <alignment horizontal="center" vertical="center"/>
    </xf>
    <xf borderId="4" fillId="39" fontId="47" numFmtId="0" xfId="0" applyAlignment="1" applyBorder="1" applyFont="1">
      <alignment horizontal="center" vertical="center"/>
    </xf>
    <xf borderId="4" fillId="39" fontId="48" numFmtId="0" xfId="0" applyAlignment="1" applyBorder="1" applyFont="1">
      <alignment horizontal="center" vertical="center"/>
    </xf>
    <xf borderId="4" fillId="41" fontId="47" numFmtId="0" xfId="0" applyAlignment="1" applyBorder="1" applyFill="1" applyFont="1">
      <alignment horizontal="center" vertical="center"/>
    </xf>
    <xf borderId="4" fillId="41" fontId="48" numFmtId="0" xfId="0" applyAlignment="1" applyBorder="1" applyFont="1">
      <alignment horizontal="center" vertical="center"/>
    </xf>
    <xf borderId="9" fillId="4" fontId="1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4" fillId="2" fontId="49" numFmtId="0" xfId="0" applyAlignment="1" applyBorder="1" applyFont="1">
      <alignment horizontal="center" shrinkToFit="0" vertical="center" wrapText="1"/>
    </xf>
    <xf borderId="4" fillId="3" fontId="49" numFmtId="0" xfId="0" applyAlignment="1" applyBorder="1" applyFont="1">
      <alignment horizontal="center" shrinkToFit="0" vertical="center" wrapText="1"/>
    </xf>
    <xf borderId="4" fillId="42" fontId="49" numFmtId="0" xfId="0" applyAlignment="1" applyBorder="1" applyFill="1" applyFont="1">
      <alignment horizontal="left" vertical="center"/>
    </xf>
    <xf borderId="4" fillId="43" fontId="50" numFmtId="0" xfId="0" applyAlignment="1" applyBorder="1" applyFill="1" applyFont="1">
      <alignment horizontal="center" vertical="center"/>
    </xf>
    <xf borderId="4" fillId="4" fontId="18" numFmtId="0" xfId="0" applyAlignment="1" applyBorder="1" applyFont="1">
      <alignment horizontal="left" readingOrder="0" vertical="center"/>
    </xf>
    <xf borderId="4" fillId="20" fontId="18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Jogador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817" displayName="Table_1" name="Table_1" id="1">
  <tableColumns count="2">
    <tableColumn name="Seleção" id="1"/>
    <tableColumn name="Jogador" id="2"/>
  </tableColumns>
  <tableStyleInfo name="Jogad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02.14"/>
    <col customWidth="1" min="3" max="3" width="24.57"/>
    <col customWidth="1" min="4" max="4" width="2.0"/>
    <col customWidth="1" min="5" max="26" width="8.71"/>
  </cols>
  <sheetData>
    <row r="1" ht="55.5" customHeight="1">
      <c r="B1" s="1" t="s">
        <v>0</v>
      </c>
      <c r="C1" s="2"/>
    </row>
    <row r="2" ht="27.75" customHeight="1">
      <c r="B2" s="3" t="s">
        <v>1</v>
      </c>
      <c r="C2" s="2"/>
    </row>
    <row r="3" ht="24.0" customHeight="1">
      <c r="B3" s="4" t="s">
        <v>2</v>
      </c>
      <c r="C3" s="5" t="s">
        <v>3</v>
      </c>
    </row>
    <row r="4" ht="33.0" customHeight="1">
      <c r="B4" s="6" t="s">
        <v>4</v>
      </c>
      <c r="C4" s="7" t="s">
        <v>5</v>
      </c>
    </row>
    <row r="5" ht="42.0" customHeight="1">
      <c r="B5" s="6" t="s">
        <v>6</v>
      </c>
    </row>
    <row r="6" ht="42.0" customHeight="1">
      <c r="B6" s="8" t="s">
        <v>7</v>
      </c>
    </row>
    <row r="7" ht="6.0" customHeight="1"/>
    <row r="8" ht="24.0" customHeight="1">
      <c r="B8" s="4" t="s">
        <v>8</v>
      </c>
      <c r="C8" s="9"/>
    </row>
    <row r="9" ht="19.5" customHeight="1">
      <c r="B9" s="6" t="s">
        <v>9</v>
      </c>
      <c r="C9" s="10" t="s">
        <v>10</v>
      </c>
    </row>
    <row r="10" ht="19.5" customHeight="1">
      <c r="B10" s="6" t="s">
        <v>11</v>
      </c>
      <c r="C10" s="10" t="s">
        <v>12</v>
      </c>
    </row>
    <row r="11" ht="19.5" customHeight="1">
      <c r="B11" s="6" t="s">
        <v>13</v>
      </c>
      <c r="C11" s="10" t="s">
        <v>14</v>
      </c>
    </row>
    <row r="12" ht="19.5" customHeight="1">
      <c r="B12" s="6" t="s">
        <v>15</v>
      </c>
      <c r="C12" s="10" t="s">
        <v>16</v>
      </c>
    </row>
    <row r="13" ht="6.0" customHeight="1"/>
    <row r="14" ht="24.0" customHeight="1">
      <c r="B14" s="4" t="s">
        <v>17</v>
      </c>
      <c r="C14" s="9"/>
    </row>
    <row r="15" ht="19.5" customHeight="1">
      <c r="B15" s="6" t="s">
        <v>18</v>
      </c>
      <c r="C15" s="10" t="s">
        <v>19</v>
      </c>
    </row>
    <row r="16" ht="6.0" customHeight="1"/>
    <row r="17" ht="24.0" customHeight="1">
      <c r="B17" s="4" t="s">
        <v>20</v>
      </c>
      <c r="C17" s="9"/>
    </row>
    <row r="18" ht="19.5" customHeight="1">
      <c r="B18" s="6" t="s">
        <v>21</v>
      </c>
    </row>
    <row r="19" ht="19.5" customHeight="1">
      <c r="B19" s="6" t="s">
        <v>22</v>
      </c>
    </row>
    <row r="20" ht="19.5" customHeight="1">
      <c r="B20" s="6" t="s">
        <v>23</v>
      </c>
    </row>
    <row r="21" ht="6.0" customHeight="1"/>
    <row r="22" ht="19.5" customHeight="1">
      <c r="B22" s="4" t="s">
        <v>24</v>
      </c>
      <c r="C22" s="9"/>
    </row>
    <row r="23" ht="15.75" customHeight="1">
      <c r="B23" s="11" t="s">
        <v>25</v>
      </c>
      <c r="C23" s="12"/>
      <c r="E23" s="13"/>
    </row>
    <row r="24" ht="15.75" customHeight="1">
      <c r="B24" s="14" t="s">
        <v>26</v>
      </c>
      <c r="C24" s="15"/>
      <c r="E24" s="13"/>
    </row>
    <row r="25" ht="15.75" customHeight="1">
      <c r="B25" s="16" t="s">
        <v>27</v>
      </c>
      <c r="C25" s="17"/>
      <c r="E25" s="13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C1"/>
    <mergeCell ref="B2:C2"/>
    <mergeCell ref="C4:C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AD47"/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24.0"/>
    <col customWidth="1" min="2" max="145" width="4.14"/>
  </cols>
  <sheetData>
    <row r="1" ht="43.5" customHeight="1">
      <c r="A1" s="18" t="s">
        <v>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</row>
    <row r="2" ht="19.5" customHeight="1">
      <c r="A2" s="19" t="s">
        <v>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</row>
    <row r="3" ht="27.75" customHeight="1">
      <c r="A3" s="20" t="s">
        <v>30</v>
      </c>
      <c r="B3" s="21" t="s">
        <v>31</v>
      </c>
      <c r="C3" s="22"/>
      <c r="D3" s="21" t="s">
        <v>32</v>
      </c>
      <c r="E3" s="22"/>
      <c r="F3" s="21" t="s">
        <v>33</v>
      </c>
      <c r="G3" s="22"/>
      <c r="H3" s="21" t="s">
        <v>34</v>
      </c>
      <c r="I3" s="22"/>
      <c r="J3" s="21" t="s">
        <v>35</v>
      </c>
      <c r="K3" s="22"/>
      <c r="L3" s="21" t="s">
        <v>36</v>
      </c>
      <c r="M3" s="22"/>
      <c r="N3" s="23" t="s">
        <v>37</v>
      </c>
      <c r="O3" s="22"/>
      <c r="P3" s="23" t="s">
        <v>38</v>
      </c>
      <c r="Q3" s="22"/>
      <c r="R3" s="23" t="s">
        <v>39</v>
      </c>
      <c r="S3" s="22"/>
      <c r="T3" s="23" t="s">
        <v>40</v>
      </c>
      <c r="U3" s="22"/>
      <c r="V3" s="23" t="s">
        <v>41</v>
      </c>
      <c r="W3" s="22"/>
      <c r="X3" s="23" t="s">
        <v>42</v>
      </c>
      <c r="Y3" s="22"/>
      <c r="Z3" s="24" t="s">
        <v>43</v>
      </c>
      <c r="AA3" s="22"/>
      <c r="AB3" s="24" t="s">
        <v>44</v>
      </c>
      <c r="AC3" s="22"/>
      <c r="AD3" s="24" t="s">
        <v>45</v>
      </c>
      <c r="AE3" s="22"/>
      <c r="AF3" s="24" t="s">
        <v>46</v>
      </c>
      <c r="AG3" s="22"/>
      <c r="AH3" s="24" t="s">
        <v>47</v>
      </c>
      <c r="AI3" s="22"/>
      <c r="AJ3" s="24" t="s">
        <v>48</v>
      </c>
      <c r="AK3" s="22"/>
      <c r="AL3" s="25" t="s">
        <v>49</v>
      </c>
      <c r="AM3" s="22"/>
      <c r="AN3" s="25" t="s">
        <v>50</v>
      </c>
      <c r="AO3" s="22"/>
      <c r="AP3" s="25" t="s">
        <v>51</v>
      </c>
      <c r="AQ3" s="22"/>
      <c r="AR3" s="25" t="s">
        <v>52</v>
      </c>
      <c r="AS3" s="22"/>
      <c r="AT3" s="25" t="s">
        <v>53</v>
      </c>
      <c r="AU3" s="22"/>
      <c r="AV3" s="25" t="s">
        <v>54</v>
      </c>
      <c r="AW3" s="22"/>
      <c r="AX3" s="26" t="s">
        <v>55</v>
      </c>
      <c r="AY3" s="22"/>
      <c r="AZ3" s="26" t="s">
        <v>56</v>
      </c>
      <c r="BA3" s="22"/>
      <c r="BB3" s="26" t="s">
        <v>57</v>
      </c>
      <c r="BC3" s="22"/>
      <c r="BD3" s="26" t="s">
        <v>58</v>
      </c>
      <c r="BE3" s="22"/>
      <c r="BF3" s="26" t="s">
        <v>59</v>
      </c>
      <c r="BG3" s="22"/>
      <c r="BH3" s="26" t="s">
        <v>60</v>
      </c>
      <c r="BI3" s="22"/>
      <c r="BJ3" s="27" t="s">
        <v>61</v>
      </c>
      <c r="BK3" s="22"/>
      <c r="BL3" s="27" t="s">
        <v>62</v>
      </c>
      <c r="BM3" s="22"/>
      <c r="BN3" s="27" t="s">
        <v>63</v>
      </c>
      <c r="BO3" s="22"/>
      <c r="BP3" s="27" t="s">
        <v>64</v>
      </c>
      <c r="BQ3" s="22"/>
      <c r="BR3" s="27" t="s">
        <v>65</v>
      </c>
      <c r="BS3" s="22"/>
      <c r="BT3" s="27" t="s">
        <v>66</v>
      </c>
      <c r="BU3" s="22"/>
      <c r="BV3" s="28" t="s">
        <v>67</v>
      </c>
      <c r="BW3" s="22"/>
      <c r="BX3" s="28" t="s">
        <v>68</v>
      </c>
      <c r="BY3" s="22"/>
      <c r="BZ3" s="28" t="s">
        <v>69</v>
      </c>
      <c r="CA3" s="22"/>
      <c r="CB3" s="28" t="s">
        <v>70</v>
      </c>
      <c r="CC3" s="22"/>
      <c r="CD3" s="28" t="s">
        <v>71</v>
      </c>
      <c r="CE3" s="22"/>
      <c r="CF3" s="28" t="s">
        <v>72</v>
      </c>
      <c r="CG3" s="22"/>
      <c r="CH3" s="29" t="s">
        <v>73</v>
      </c>
      <c r="CI3" s="22"/>
      <c r="CJ3" s="29" t="s">
        <v>74</v>
      </c>
      <c r="CK3" s="22"/>
      <c r="CL3" s="29" t="s">
        <v>75</v>
      </c>
      <c r="CM3" s="22"/>
      <c r="CN3" s="29" t="s">
        <v>76</v>
      </c>
      <c r="CO3" s="22"/>
      <c r="CP3" s="29" t="s">
        <v>77</v>
      </c>
      <c r="CQ3" s="22"/>
      <c r="CR3" s="29" t="s">
        <v>78</v>
      </c>
      <c r="CS3" s="22"/>
      <c r="CT3" s="30" t="s">
        <v>79</v>
      </c>
      <c r="CU3" s="22"/>
      <c r="CV3" s="30" t="s">
        <v>80</v>
      </c>
      <c r="CW3" s="22"/>
      <c r="CX3" s="30" t="s">
        <v>81</v>
      </c>
      <c r="CY3" s="22"/>
      <c r="CZ3" s="30" t="s">
        <v>82</v>
      </c>
      <c r="DA3" s="22"/>
      <c r="DB3" s="30" t="s">
        <v>83</v>
      </c>
      <c r="DC3" s="22"/>
      <c r="DD3" s="30" t="s">
        <v>84</v>
      </c>
      <c r="DE3" s="22"/>
      <c r="DF3" s="31" t="s">
        <v>85</v>
      </c>
      <c r="DG3" s="22"/>
      <c r="DH3" s="31" t="s">
        <v>86</v>
      </c>
      <c r="DI3" s="22"/>
      <c r="DJ3" s="31" t="s">
        <v>87</v>
      </c>
      <c r="DK3" s="22"/>
      <c r="DL3" s="31" t="s">
        <v>88</v>
      </c>
      <c r="DM3" s="22"/>
      <c r="DN3" s="31" t="s">
        <v>89</v>
      </c>
      <c r="DO3" s="22"/>
      <c r="DP3" s="31" t="s">
        <v>90</v>
      </c>
      <c r="DQ3" s="22"/>
      <c r="DR3" s="32" t="s">
        <v>91</v>
      </c>
      <c r="DS3" s="22"/>
      <c r="DT3" s="32" t="s">
        <v>92</v>
      </c>
      <c r="DU3" s="22"/>
      <c r="DV3" s="32" t="s">
        <v>93</v>
      </c>
      <c r="DW3" s="22"/>
      <c r="DX3" s="32" t="s">
        <v>94</v>
      </c>
      <c r="DY3" s="22"/>
      <c r="DZ3" s="32" t="s">
        <v>95</v>
      </c>
      <c r="EA3" s="22"/>
      <c r="EB3" s="32" t="s">
        <v>96</v>
      </c>
      <c r="EC3" s="22"/>
      <c r="ED3" s="33" t="s">
        <v>97</v>
      </c>
      <c r="EE3" s="22"/>
      <c r="EF3" s="33" t="s">
        <v>98</v>
      </c>
      <c r="EG3" s="22"/>
      <c r="EH3" s="33" t="s">
        <v>99</v>
      </c>
      <c r="EI3" s="22"/>
      <c r="EJ3" s="33" t="s">
        <v>100</v>
      </c>
      <c r="EK3" s="22"/>
      <c r="EL3" s="33" t="s">
        <v>101</v>
      </c>
      <c r="EM3" s="22"/>
      <c r="EN3" s="33" t="s">
        <v>102</v>
      </c>
      <c r="EO3" s="22"/>
    </row>
    <row r="4" ht="25.5" customHeight="1">
      <c r="A4" s="34" t="s">
        <v>103</v>
      </c>
      <c r="B4" s="35" t="s">
        <v>104</v>
      </c>
      <c r="C4" s="35" t="s">
        <v>105</v>
      </c>
      <c r="D4" s="35" t="s">
        <v>106</v>
      </c>
      <c r="E4" s="35" t="s">
        <v>107</v>
      </c>
      <c r="F4" s="35" t="s">
        <v>107</v>
      </c>
      <c r="G4" s="35" t="s">
        <v>105</v>
      </c>
      <c r="H4" s="35" t="s">
        <v>104</v>
      </c>
      <c r="I4" s="35" t="s">
        <v>106</v>
      </c>
      <c r="J4" s="35" t="s">
        <v>107</v>
      </c>
      <c r="K4" s="35" t="s">
        <v>104</v>
      </c>
      <c r="L4" s="35" t="s">
        <v>105</v>
      </c>
      <c r="M4" s="35" t="s">
        <v>106</v>
      </c>
      <c r="N4" s="36" t="s">
        <v>108</v>
      </c>
      <c r="O4" s="36" t="s">
        <v>109</v>
      </c>
      <c r="P4" s="36" t="s">
        <v>110</v>
      </c>
      <c r="Q4" s="36" t="s">
        <v>111</v>
      </c>
      <c r="R4" s="36" t="s">
        <v>111</v>
      </c>
      <c r="S4" s="36" t="s">
        <v>109</v>
      </c>
      <c r="T4" s="36" t="s">
        <v>108</v>
      </c>
      <c r="U4" s="36" t="s">
        <v>110</v>
      </c>
      <c r="V4" s="36" t="s">
        <v>111</v>
      </c>
      <c r="W4" s="36" t="s">
        <v>108</v>
      </c>
      <c r="X4" s="36" t="s">
        <v>109</v>
      </c>
      <c r="Y4" s="36" t="s">
        <v>110</v>
      </c>
      <c r="Z4" s="37" t="s">
        <v>112</v>
      </c>
      <c r="AA4" s="37" t="s">
        <v>113</v>
      </c>
      <c r="AB4" s="37" t="s">
        <v>114</v>
      </c>
      <c r="AC4" s="37" t="s">
        <v>115</v>
      </c>
      <c r="AD4" s="37" t="s">
        <v>115</v>
      </c>
      <c r="AE4" s="37" t="s">
        <v>113</v>
      </c>
      <c r="AF4" s="37" t="s">
        <v>112</v>
      </c>
      <c r="AG4" s="37" t="s">
        <v>114</v>
      </c>
      <c r="AH4" s="37" t="s">
        <v>115</v>
      </c>
      <c r="AI4" s="37" t="s">
        <v>112</v>
      </c>
      <c r="AJ4" s="37" t="s">
        <v>113</v>
      </c>
      <c r="AK4" s="37" t="s">
        <v>114</v>
      </c>
      <c r="AL4" s="38" t="s">
        <v>116</v>
      </c>
      <c r="AM4" s="38" t="s">
        <v>117</v>
      </c>
      <c r="AN4" s="38" t="s">
        <v>118</v>
      </c>
      <c r="AO4" s="38" t="s">
        <v>119</v>
      </c>
      <c r="AP4" s="38" t="s">
        <v>116</v>
      </c>
      <c r="AQ4" s="38" t="s">
        <v>118</v>
      </c>
      <c r="AR4" s="38" t="s">
        <v>119</v>
      </c>
      <c r="AS4" s="38" t="s">
        <v>117</v>
      </c>
      <c r="AT4" s="38" t="s">
        <v>119</v>
      </c>
      <c r="AU4" s="38" t="s">
        <v>116</v>
      </c>
      <c r="AV4" s="38" t="s">
        <v>117</v>
      </c>
      <c r="AW4" s="38" t="s">
        <v>118</v>
      </c>
      <c r="AX4" s="39" t="s">
        <v>120</v>
      </c>
      <c r="AY4" s="39" t="s">
        <v>121</v>
      </c>
      <c r="AZ4" s="39" t="s">
        <v>122</v>
      </c>
      <c r="BA4" s="39" t="s">
        <v>123</v>
      </c>
      <c r="BB4" s="39" t="s">
        <v>120</v>
      </c>
      <c r="BC4" s="39" t="s">
        <v>122</v>
      </c>
      <c r="BD4" s="39" t="s">
        <v>123</v>
      </c>
      <c r="BE4" s="39" t="s">
        <v>121</v>
      </c>
      <c r="BF4" s="39" t="s">
        <v>123</v>
      </c>
      <c r="BG4" s="39" t="s">
        <v>120</v>
      </c>
      <c r="BH4" s="39" t="s">
        <v>121</v>
      </c>
      <c r="BI4" s="39" t="s">
        <v>122</v>
      </c>
      <c r="BJ4" s="40" t="s">
        <v>124</v>
      </c>
      <c r="BK4" s="40" t="s">
        <v>125</v>
      </c>
      <c r="BL4" s="40" t="s">
        <v>126</v>
      </c>
      <c r="BM4" s="40" t="s">
        <v>127</v>
      </c>
      <c r="BN4" s="40" t="s">
        <v>124</v>
      </c>
      <c r="BO4" s="40" t="s">
        <v>126</v>
      </c>
      <c r="BP4" s="40" t="s">
        <v>127</v>
      </c>
      <c r="BQ4" s="40" t="s">
        <v>125</v>
      </c>
      <c r="BR4" s="40" t="s">
        <v>125</v>
      </c>
      <c r="BS4" s="40" t="s">
        <v>126</v>
      </c>
      <c r="BT4" s="40" t="s">
        <v>127</v>
      </c>
      <c r="BU4" s="40" t="s">
        <v>124</v>
      </c>
      <c r="BV4" s="41" t="s">
        <v>128</v>
      </c>
      <c r="BW4" s="41" t="s">
        <v>129</v>
      </c>
      <c r="BX4" s="41" t="s">
        <v>130</v>
      </c>
      <c r="BY4" s="41" t="s">
        <v>131</v>
      </c>
      <c r="BZ4" s="41" t="s">
        <v>128</v>
      </c>
      <c r="CA4" s="41" t="s">
        <v>130</v>
      </c>
      <c r="CB4" s="41" t="s">
        <v>131</v>
      </c>
      <c r="CC4" s="41" t="s">
        <v>129</v>
      </c>
      <c r="CD4" s="41" t="s">
        <v>129</v>
      </c>
      <c r="CE4" s="41" t="s">
        <v>130</v>
      </c>
      <c r="CF4" s="41" t="s">
        <v>131</v>
      </c>
      <c r="CG4" s="41" t="s">
        <v>128</v>
      </c>
      <c r="CH4" s="42" t="s">
        <v>132</v>
      </c>
      <c r="CI4" s="42" t="s">
        <v>133</v>
      </c>
      <c r="CJ4" s="42" t="s">
        <v>134</v>
      </c>
      <c r="CK4" s="42" t="s">
        <v>135</v>
      </c>
      <c r="CL4" s="42" t="s">
        <v>132</v>
      </c>
      <c r="CM4" s="42" t="s">
        <v>134</v>
      </c>
      <c r="CN4" s="42" t="s">
        <v>135</v>
      </c>
      <c r="CO4" s="42" t="s">
        <v>133</v>
      </c>
      <c r="CP4" s="42" t="s">
        <v>133</v>
      </c>
      <c r="CQ4" s="42" t="s">
        <v>134</v>
      </c>
      <c r="CR4" s="42" t="s">
        <v>135</v>
      </c>
      <c r="CS4" s="42" t="s">
        <v>132</v>
      </c>
      <c r="CT4" s="43" t="s">
        <v>136</v>
      </c>
      <c r="CU4" s="43" t="s">
        <v>137</v>
      </c>
      <c r="CV4" s="43" t="s">
        <v>138</v>
      </c>
      <c r="CW4" s="43" t="s">
        <v>139</v>
      </c>
      <c r="CX4" s="43" t="s">
        <v>136</v>
      </c>
      <c r="CY4" s="43" t="s">
        <v>138</v>
      </c>
      <c r="CZ4" s="43" t="s">
        <v>139</v>
      </c>
      <c r="DA4" s="43" t="s">
        <v>137</v>
      </c>
      <c r="DB4" s="43" t="s">
        <v>139</v>
      </c>
      <c r="DC4" s="43" t="s">
        <v>136</v>
      </c>
      <c r="DD4" s="43" t="s">
        <v>137</v>
      </c>
      <c r="DE4" s="43" t="s">
        <v>138</v>
      </c>
      <c r="DF4" s="44" t="s">
        <v>140</v>
      </c>
      <c r="DG4" s="44" t="s">
        <v>141</v>
      </c>
      <c r="DH4" s="44" t="s">
        <v>142</v>
      </c>
      <c r="DI4" s="44" t="s">
        <v>143</v>
      </c>
      <c r="DJ4" s="44" t="s">
        <v>140</v>
      </c>
      <c r="DK4" s="44" t="s">
        <v>142</v>
      </c>
      <c r="DL4" s="44" t="s">
        <v>143</v>
      </c>
      <c r="DM4" s="44" t="s">
        <v>141</v>
      </c>
      <c r="DN4" s="44" t="s">
        <v>141</v>
      </c>
      <c r="DO4" s="44" t="s">
        <v>142</v>
      </c>
      <c r="DP4" s="44" t="s">
        <v>143</v>
      </c>
      <c r="DQ4" s="44" t="s">
        <v>140</v>
      </c>
      <c r="DR4" s="45" t="s">
        <v>144</v>
      </c>
      <c r="DS4" s="45" t="s">
        <v>145</v>
      </c>
      <c r="DT4" s="45" t="s">
        <v>146</v>
      </c>
      <c r="DU4" s="45" t="s">
        <v>147</v>
      </c>
      <c r="DV4" s="45" t="s">
        <v>144</v>
      </c>
      <c r="DW4" s="45" t="s">
        <v>146</v>
      </c>
      <c r="DX4" s="45" t="s">
        <v>147</v>
      </c>
      <c r="DY4" s="45" t="s">
        <v>145</v>
      </c>
      <c r="DZ4" s="45" t="s">
        <v>147</v>
      </c>
      <c r="EA4" s="45" t="s">
        <v>144</v>
      </c>
      <c r="EB4" s="45" t="s">
        <v>145</v>
      </c>
      <c r="EC4" s="45" t="s">
        <v>146</v>
      </c>
      <c r="ED4" s="46" t="s">
        <v>148</v>
      </c>
      <c r="EE4" s="46" t="s">
        <v>149</v>
      </c>
      <c r="EF4" s="46" t="s">
        <v>150</v>
      </c>
      <c r="EG4" s="46" t="s">
        <v>151</v>
      </c>
      <c r="EH4" s="46" t="s">
        <v>148</v>
      </c>
      <c r="EI4" s="46" t="s">
        <v>150</v>
      </c>
      <c r="EJ4" s="46" t="s">
        <v>151</v>
      </c>
      <c r="EK4" s="46" t="s">
        <v>149</v>
      </c>
      <c r="EL4" s="46" t="s">
        <v>151</v>
      </c>
      <c r="EM4" s="46" t="s">
        <v>148</v>
      </c>
      <c r="EN4" s="46" t="s">
        <v>149</v>
      </c>
      <c r="EO4" s="46" t="s">
        <v>150</v>
      </c>
    </row>
    <row r="5">
      <c r="A5" s="47" t="s">
        <v>152</v>
      </c>
      <c r="B5" s="48">
        <v>2.0</v>
      </c>
      <c r="C5" s="48">
        <v>1.0</v>
      </c>
      <c r="D5" s="48">
        <v>1.0</v>
      </c>
      <c r="E5" s="48">
        <v>0.0</v>
      </c>
      <c r="F5" s="48">
        <v>0.0</v>
      </c>
      <c r="G5" s="48">
        <v>2.0</v>
      </c>
      <c r="H5" s="48">
        <v>2.0</v>
      </c>
      <c r="I5" s="48">
        <v>0.0</v>
      </c>
      <c r="J5" s="48">
        <v>0.0</v>
      </c>
      <c r="K5" s="48">
        <v>2.0</v>
      </c>
      <c r="L5" s="48">
        <v>2.0</v>
      </c>
      <c r="M5" s="48">
        <v>0.0</v>
      </c>
      <c r="N5" s="48">
        <v>1.0</v>
      </c>
      <c r="O5" s="48">
        <v>1.0</v>
      </c>
      <c r="P5" s="48">
        <v>0.0</v>
      </c>
      <c r="Q5" s="48">
        <v>2.0</v>
      </c>
      <c r="R5" s="48">
        <v>1.0</v>
      </c>
      <c r="S5" s="48">
        <v>0.0</v>
      </c>
      <c r="T5" s="48">
        <v>0.0</v>
      </c>
      <c r="U5" s="48">
        <v>0.0</v>
      </c>
      <c r="V5" s="48">
        <v>1.0</v>
      </c>
      <c r="W5" s="48">
        <v>0.0</v>
      </c>
      <c r="X5" s="48">
        <v>1.0</v>
      </c>
      <c r="Y5" s="48">
        <v>1.0</v>
      </c>
      <c r="Z5" s="48">
        <v>2.0</v>
      </c>
      <c r="AA5" s="48">
        <v>1.0</v>
      </c>
      <c r="AB5" s="48">
        <v>0.0</v>
      </c>
      <c r="AC5" s="48">
        <v>0.0</v>
      </c>
      <c r="AD5" s="48">
        <v>0.0</v>
      </c>
      <c r="AE5" s="48">
        <v>3.0</v>
      </c>
      <c r="AF5" s="48">
        <v>4.0</v>
      </c>
      <c r="AG5" s="48">
        <v>0.0</v>
      </c>
      <c r="AH5" s="48">
        <v>0.0</v>
      </c>
      <c r="AI5" s="48">
        <v>3.0</v>
      </c>
      <c r="AJ5" s="48">
        <v>3.0</v>
      </c>
      <c r="AK5" s="48">
        <v>0.0</v>
      </c>
      <c r="AL5" s="48">
        <v>1.0</v>
      </c>
      <c r="AM5" s="48">
        <v>2.0</v>
      </c>
      <c r="AN5" s="48">
        <v>1.0</v>
      </c>
      <c r="AO5" s="48">
        <v>1.0</v>
      </c>
      <c r="AP5" s="48">
        <v>0.0</v>
      </c>
      <c r="AQ5" s="48">
        <v>0.0</v>
      </c>
      <c r="AR5" s="48">
        <v>1.0</v>
      </c>
      <c r="AS5" s="48">
        <v>2.0</v>
      </c>
      <c r="AT5" s="48">
        <v>1.0</v>
      </c>
      <c r="AU5" s="48">
        <v>1.0</v>
      </c>
      <c r="AV5" s="48">
        <v>1.0</v>
      </c>
      <c r="AW5" s="48">
        <v>1.0</v>
      </c>
      <c r="AX5" s="48">
        <v>3.0</v>
      </c>
      <c r="AY5" s="48">
        <v>0.0</v>
      </c>
      <c r="AZ5" s="48">
        <v>1.0</v>
      </c>
      <c r="BA5" s="48">
        <v>1.0</v>
      </c>
      <c r="BB5" s="48">
        <v>2.0</v>
      </c>
      <c r="BC5" s="48">
        <v>0.0</v>
      </c>
      <c r="BD5" s="48">
        <v>2.0</v>
      </c>
      <c r="BE5" s="48">
        <v>0.0</v>
      </c>
      <c r="BF5" s="48">
        <v>1.0</v>
      </c>
      <c r="BG5" s="48">
        <v>2.0</v>
      </c>
      <c r="BH5" s="48">
        <v>0.0</v>
      </c>
      <c r="BI5" s="48">
        <v>0.0</v>
      </c>
      <c r="BJ5" s="48">
        <v>2.0</v>
      </c>
      <c r="BK5" s="48">
        <v>1.0</v>
      </c>
      <c r="BL5" s="48">
        <v>2.0</v>
      </c>
      <c r="BM5" s="48">
        <v>1.0</v>
      </c>
      <c r="BN5" s="48">
        <v>1.0</v>
      </c>
      <c r="BO5" s="48">
        <v>1.0</v>
      </c>
      <c r="BP5" s="48">
        <v>0.0</v>
      </c>
      <c r="BQ5" s="48">
        <v>1.0</v>
      </c>
      <c r="BR5" s="48">
        <v>1.0</v>
      </c>
      <c r="BS5" s="48">
        <v>0.0</v>
      </c>
      <c r="BT5" s="48">
        <v>1.0</v>
      </c>
      <c r="BU5" s="48">
        <v>3.0</v>
      </c>
      <c r="BV5" s="48">
        <v>2.0</v>
      </c>
      <c r="BW5" s="48">
        <v>2.0</v>
      </c>
      <c r="BX5" s="48">
        <v>1.0</v>
      </c>
      <c r="BY5" s="48">
        <v>1.0</v>
      </c>
      <c r="BZ5" s="48">
        <v>2.0</v>
      </c>
      <c r="CA5" s="48">
        <v>0.0</v>
      </c>
      <c r="CB5" s="48">
        <v>1.0</v>
      </c>
      <c r="CC5" s="48">
        <v>1.0</v>
      </c>
      <c r="CD5" s="48">
        <v>0.0</v>
      </c>
      <c r="CE5" s="48">
        <v>0.0</v>
      </c>
      <c r="CF5" s="48">
        <v>1.0</v>
      </c>
      <c r="CG5" s="48">
        <v>2.0</v>
      </c>
      <c r="CH5" s="48">
        <v>3.0</v>
      </c>
      <c r="CI5" s="48">
        <v>0.0</v>
      </c>
      <c r="CJ5" s="48">
        <v>1.0</v>
      </c>
      <c r="CK5" s="48">
        <v>2.0</v>
      </c>
      <c r="CL5" s="48">
        <v>2.0</v>
      </c>
      <c r="CM5" s="48">
        <v>1.0</v>
      </c>
      <c r="CN5" s="48">
        <v>3.0</v>
      </c>
      <c r="CO5" s="48">
        <v>0.0</v>
      </c>
      <c r="CP5" s="48">
        <v>1.0</v>
      </c>
      <c r="CQ5" s="48">
        <v>1.0</v>
      </c>
      <c r="CR5" s="48">
        <v>2.0</v>
      </c>
      <c r="CS5" s="48">
        <v>2.0</v>
      </c>
      <c r="CT5" s="48">
        <v>3.0</v>
      </c>
      <c r="CU5" s="48">
        <v>0.0</v>
      </c>
      <c r="CV5" s="48">
        <v>0.0</v>
      </c>
      <c r="CW5" s="48">
        <v>0.0</v>
      </c>
      <c r="CX5" s="48">
        <v>2.0</v>
      </c>
      <c r="CY5" s="48">
        <v>0.0</v>
      </c>
      <c r="CZ5" s="48">
        <v>1.0</v>
      </c>
      <c r="DA5" s="48">
        <v>1.0</v>
      </c>
      <c r="DB5" s="48">
        <v>1.0</v>
      </c>
      <c r="DC5" s="48">
        <v>2.0</v>
      </c>
      <c r="DD5" s="48">
        <v>1.0</v>
      </c>
      <c r="DE5" s="48">
        <v>1.0</v>
      </c>
      <c r="DF5" s="48">
        <v>3.0</v>
      </c>
      <c r="DG5" s="48">
        <v>0.0</v>
      </c>
      <c r="DH5" s="48">
        <v>1.0</v>
      </c>
      <c r="DI5" s="48">
        <v>1.0</v>
      </c>
      <c r="DJ5" s="48">
        <v>2.0</v>
      </c>
      <c r="DK5" s="48">
        <v>0.0</v>
      </c>
      <c r="DL5" s="48">
        <v>1.0</v>
      </c>
      <c r="DM5" s="48">
        <v>1.0</v>
      </c>
      <c r="DN5" s="48">
        <v>3.0</v>
      </c>
      <c r="DO5" s="48">
        <v>1.0</v>
      </c>
      <c r="DP5" s="48">
        <v>0.0</v>
      </c>
      <c r="DQ5" s="48">
        <v>2.0</v>
      </c>
      <c r="DR5" s="48">
        <v>3.0</v>
      </c>
      <c r="DS5" s="48">
        <v>0.0</v>
      </c>
      <c r="DT5" s="48">
        <v>0.0</v>
      </c>
      <c r="DU5" s="48">
        <v>2.0</v>
      </c>
      <c r="DV5" s="48">
        <v>2.0</v>
      </c>
      <c r="DW5" s="48">
        <v>0.0</v>
      </c>
      <c r="DX5" s="48">
        <v>2.0</v>
      </c>
      <c r="DY5" s="48">
        <v>0.0</v>
      </c>
      <c r="DZ5" s="48">
        <v>2.0</v>
      </c>
      <c r="EA5" s="48">
        <v>2.0</v>
      </c>
      <c r="EB5" s="48">
        <v>0.0</v>
      </c>
      <c r="EC5" s="48">
        <v>0.0</v>
      </c>
      <c r="ED5" s="48">
        <v>2.0</v>
      </c>
      <c r="EE5" s="48">
        <v>0.0</v>
      </c>
      <c r="EF5" s="48">
        <v>0.0</v>
      </c>
      <c r="EG5" s="48">
        <v>0.0</v>
      </c>
      <c r="EH5" s="48">
        <v>2.0</v>
      </c>
      <c r="EI5" s="48">
        <v>0.0</v>
      </c>
      <c r="EJ5" s="48">
        <v>1.0</v>
      </c>
      <c r="EK5" s="48">
        <v>2.0</v>
      </c>
      <c r="EL5" s="48">
        <v>0.0</v>
      </c>
      <c r="EM5" s="48">
        <v>3.0</v>
      </c>
      <c r="EN5" s="48">
        <v>1.0</v>
      </c>
      <c r="EO5" s="48">
        <v>1.0</v>
      </c>
    </row>
    <row r="7" ht="21.75" customHeight="1">
      <c r="A7" s="49" t="s">
        <v>153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ht="21.75" customHeight="1">
      <c r="A8" s="50" t="s">
        <v>154</v>
      </c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22"/>
      <c r="Q8" s="52" t="s">
        <v>155</v>
      </c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22"/>
      <c r="AG8" s="53" t="s">
        <v>156</v>
      </c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22"/>
    </row>
    <row r="9" ht="18.0" customHeight="1">
      <c r="A9" s="54" t="s">
        <v>157</v>
      </c>
      <c r="B9" s="55" t="s">
        <v>158</v>
      </c>
      <c r="C9" s="51"/>
      <c r="D9" s="51"/>
      <c r="E9" s="51"/>
      <c r="F9" s="51"/>
      <c r="G9" s="22"/>
      <c r="H9" s="54" t="s">
        <v>159</v>
      </c>
      <c r="I9" s="54" t="s">
        <v>160</v>
      </c>
      <c r="J9" s="54" t="s">
        <v>161</v>
      </c>
      <c r="K9" s="54" t="s">
        <v>162</v>
      </c>
      <c r="L9" s="54" t="s">
        <v>163</v>
      </c>
      <c r="M9" s="54" t="s">
        <v>164</v>
      </c>
      <c r="N9" s="54" t="s">
        <v>165</v>
      </c>
      <c r="O9" s="54" t="s">
        <v>166</v>
      </c>
      <c r="P9" s="54" t="s">
        <v>167</v>
      </c>
      <c r="Q9" s="54" t="s">
        <v>157</v>
      </c>
      <c r="R9" s="55" t="s">
        <v>158</v>
      </c>
      <c r="S9" s="51"/>
      <c r="T9" s="51"/>
      <c r="U9" s="51"/>
      <c r="V9" s="51"/>
      <c r="W9" s="22"/>
      <c r="X9" s="54" t="s">
        <v>159</v>
      </c>
      <c r="Y9" s="54" t="s">
        <v>160</v>
      </c>
      <c r="Z9" s="54" t="s">
        <v>161</v>
      </c>
      <c r="AA9" s="54" t="s">
        <v>162</v>
      </c>
      <c r="AB9" s="54" t="s">
        <v>163</v>
      </c>
      <c r="AC9" s="54" t="s">
        <v>164</v>
      </c>
      <c r="AD9" s="54" t="s">
        <v>165</v>
      </c>
      <c r="AE9" s="54" t="s">
        <v>166</v>
      </c>
      <c r="AF9" s="54" t="s">
        <v>167</v>
      </c>
      <c r="AG9" s="54" t="s">
        <v>157</v>
      </c>
      <c r="AH9" s="55" t="s">
        <v>158</v>
      </c>
      <c r="AI9" s="51"/>
      <c r="AJ9" s="51"/>
      <c r="AK9" s="51"/>
      <c r="AL9" s="51"/>
      <c r="AM9" s="22"/>
      <c r="AN9" s="54" t="s">
        <v>159</v>
      </c>
      <c r="AO9" s="54" t="s">
        <v>160</v>
      </c>
      <c r="AP9" s="54" t="s">
        <v>161</v>
      </c>
      <c r="AQ9" s="54" t="s">
        <v>162</v>
      </c>
      <c r="AR9" s="54" t="s">
        <v>163</v>
      </c>
      <c r="AS9" s="54" t="s">
        <v>164</v>
      </c>
      <c r="AT9" s="54" t="s">
        <v>165</v>
      </c>
      <c r="AU9" s="54" t="s">
        <v>166</v>
      </c>
      <c r="AV9" s="54" t="s">
        <v>167</v>
      </c>
    </row>
    <row r="10" ht="18.0" customHeight="1">
      <c r="A10" s="56">
        <v>1.0</v>
      </c>
      <c r="B10" s="57" t="str">
        <f t="array" ref="B10">IFERROR(INDEX(Calc!$B$3:$B$6,MATCH(1,Calc!$J$3:$J$6,0)),"?")</f>
        <v>Mexico</v>
      </c>
      <c r="C10" s="51"/>
      <c r="D10" s="51"/>
      <c r="E10" s="51"/>
      <c r="F10" s="51"/>
      <c r="G10" s="22"/>
      <c r="H10" s="58">
        <f t="array" ref="H10">IFERROR(INDEX(Calc!$H$3:$H$6,MATCH(1,Calc!$J$3:$J$6,0)),0)</f>
        <v>9</v>
      </c>
      <c r="I10" s="58">
        <f t="array" ref="I10">IFERROR(INDEX(Calc!$K$3:$K$6,MATCH(1,Calc!$J$3:$J$6,0)),0)</f>
        <v>3</v>
      </c>
      <c r="J10" s="58">
        <f t="array" ref="J10">IFERROR(INDEX(Calc!$C$3:$C$6,MATCH(1,Calc!$J$3:$J$6,0)),0)</f>
        <v>3</v>
      </c>
      <c r="K10" s="58">
        <f t="array" ref="K10">IFERROR(INDEX(Calc!$D$3:$D$6,MATCH(1,Calc!$J$3:$J$6,0)),0)</f>
        <v>0</v>
      </c>
      <c r="L10" s="58">
        <f t="array" ref="L10">IFERROR(INDEX(Calc!$L$3:$L$6,MATCH(1,Calc!$J$3:$J$6,0)),0)</f>
        <v>0</v>
      </c>
      <c r="M10" s="58">
        <f t="array" ref="M10">IFERROR(INDEX(Calc!$E$3:$E$6,MATCH(1,Calc!$J$3:$J$6,0)),0)</f>
        <v>6</v>
      </c>
      <c r="N10" s="58">
        <f t="array" ref="N10">IFERROR(INDEX(Calc!$F$3:$F$6,MATCH(1,Calc!$J$3:$J$6,0)),0)</f>
        <v>1</v>
      </c>
      <c r="O10" s="58">
        <f t="array" ref="O10">IFERROR(INDEX(Calc!$G$3:$G$6,MATCH(1,Calc!$J$3:$J$6,0)),0)</f>
        <v>5</v>
      </c>
      <c r="P10" s="58">
        <f t="array" ref="P10">IFERROR(ROUND(INDEX(Calc!$H$3:$H$6,MATCH(1,Calc!$J$3:$J$6,0))/(INDEX(Calc!$K$3:$K$6,MATCH(1,Calc!$J$3:$J$6,0))*3)*100,0),0)</f>
        <v>100</v>
      </c>
      <c r="Q10" s="56">
        <v>1.0</v>
      </c>
      <c r="R10" s="57" t="str">
        <f t="array" ref="R10">IFERROR(INDEX(Calc!$B$7:$B$10,MATCH(1,Calc!$J$7:$J$10,0)),"?")</f>
        <v>Suica</v>
      </c>
      <c r="S10" s="51"/>
      <c r="T10" s="51"/>
      <c r="U10" s="51"/>
      <c r="V10" s="51"/>
      <c r="W10" s="22"/>
      <c r="X10" s="58">
        <f t="array" ref="X10">IFERROR(INDEX(Calc!$H$7:$H$10,MATCH(1,Calc!$J$7:$J$10,0)),0)</f>
        <v>9</v>
      </c>
      <c r="Y10" s="58">
        <f t="array" ref="Y10">IFERROR(INDEX(Calc!$K$7:$K$10,MATCH(1,Calc!$J$7:$J$10,0)),0)</f>
        <v>3</v>
      </c>
      <c r="Z10" s="58">
        <f t="array" ref="Z10">IFERROR(INDEX(Calc!$C$7:$C$10,MATCH(1,Calc!$J$7:$J$10,0)),0)</f>
        <v>3</v>
      </c>
      <c r="AA10" s="58">
        <f t="array" ref="AA10">IFERROR(INDEX(Calc!$D$7:$D$10,MATCH(1,Calc!$J$7:$J$10,0)),0)</f>
        <v>0</v>
      </c>
      <c r="AB10" s="58">
        <f t="array" ref="AB10">IFERROR(INDEX(Calc!$L$7:$L$10,MATCH(1,Calc!$J$7:$J$10,0)),0)</f>
        <v>0</v>
      </c>
      <c r="AC10" s="58">
        <f t="array" ref="AC10">IFERROR(INDEX(Calc!$E$7:$E$10,MATCH(1,Calc!$J$7:$J$10,0)),0)</f>
        <v>4</v>
      </c>
      <c r="AD10" s="58">
        <f t="array" ref="AD10">IFERROR(INDEX(Calc!$F$7:$F$10,MATCH(1,Calc!$J$7:$J$10,0)),0)</f>
        <v>0</v>
      </c>
      <c r="AE10" s="58">
        <f t="array" ref="AE10">IFERROR(INDEX(Calc!$G$7:$G$10,MATCH(1,Calc!$J$7:$J$10,0)),0)</f>
        <v>4</v>
      </c>
      <c r="AF10" s="58">
        <f t="array" ref="AF10">IFERROR(ROUND(INDEX(Calc!$H$7:$H$10,MATCH(1,Calc!$J$7:$J$10,0))/(INDEX(Calc!$K$7:$K$10,MATCH(1,Calc!$J$7:$J$10,0))*3)*100,0),0)</f>
        <v>100</v>
      </c>
      <c r="AG10" s="56">
        <v>1.0</v>
      </c>
      <c r="AH10" s="57" t="str">
        <f t="array" ref="AH10">IFERROR(INDEX(Calc!$B$11:$B$14,MATCH(1,Calc!$J$11:$J$14,0)),"?")</f>
        <v>Brasil</v>
      </c>
      <c r="AI10" s="51"/>
      <c r="AJ10" s="51"/>
      <c r="AK10" s="51"/>
      <c r="AL10" s="51"/>
      <c r="AM10" s="22"/>
      <c r="AN10" s="58">
        <f t="array" ref="AN10">IFERROR(INDEX(Calc!$H$11:$H$14,MATCH(1,Calc!$J$11:$J$14,0)),0)</f>
        <v>9</v>
      </c>
      <c r="AO10" s="58">
        <f t="array" ref="AO10">IFERROR(INDEX(Calc!$K$11:$K$14,MATCH(1,Calc!$J$11:$J$14,0)),0)</f>
        <v>3</v>
      </c>
      <c r="AP10" s="58">
        <f t="array" ref="AP10">IFERROR(INDEX(Calc!$C$11:$C$14,MATCH(1,Calc!$J$11:$J$14,0)),0)</f>
        <v>3</v>
      </c>
      <c r="AQ10" s="58">
        <f t="array" ref="AQ10">IFERROR(INDEX(Calc!$D$11:$D$14,MATCH(1,Calc!$J$11:$J$14,0)),0)</f>
        <v>0</v>
      </c>
      <c r="AR10" s="58">
        <f t="array" ref="AR10">IFERROR(INDEX(Calc!$L$11:$L$14,MATCH(1,Calc!$J$11:$J$14,0)),0)</f>
        <v>0</v>
      </c>
      <c r="AS10" s="58">
        <f t="array" ref="AS10">IFERROR(INDEX(Calc!$E$11:$E$14,MATCH(1,Calc!$J$11:$J$14,0)),0)</f>
        <v>9</v>
      </c>
      <c r="AT10" s="58">
        <f t="array" ref="AT10">IFERROR(INDEX(Calc!$F$11:$F$14,MATCH(1,Calc!$J$11:$J$14,0)),0)</f>
        <v>1</v>
      </c>
      <c r="AU10" s="58">
        <f t="array" ref="AU10">IFERROR(INDEX(Calc!$G$11:$G$14,MATCH(1,Calc!$J$11:$J$14,0)),0)</f>
        <v>8</v>
      </c>
      <c r="AV10" s="58">
        <f t="array" ref="AV10">IFERROR(ROUND(INDEX(Calc!$H$11:$H$14,MATCH(1,Calc!$J$11:$J$14,0))/(INDEX(Calc!$K$11:$K$14,MATCH(1,Calc!$J$11:$J$14,0))*3)*100,0),0)</f>
        <v>100</v>
      </c>
    </row>
    <row r="11" ht="18.0" customHeight="1">
      <c r="A11" s="59">
        <v>2.0</v>
      </c>
      <c r="B11" s="60" t="str">
        <f t="array" ref="B11">IFERROR(INDEX(Calc!$B$3:$B$6,MATCH(2,Calc!$J$3:$J$6,0)),"?")</f>
        <v>Africa do Sul</v>
      </c>
      <c r="C11" s="51"/>
      <c r="D11" s="51"/>
      <c r="E11" s="51"/>
      <c r="F11" s="51"/>
      <c r="G11" s="22"/>
      <c r="H11" s="61">
        <f t="array" ref="H11">IFERROR(INDEX(Calc!$H$3:$H$6,MATCH(2,Calc!$J$3:$J$6,0)),0)</f>
        <v>6</v>
      </c>
      <c r="I11" s="61">
        <f t="array" ref="I11">IFERROR(INDEX(Calc!$K$3:$K$6,MATCH(2,Calc!$J$3:$J$6,0)),0)</f>
        <v>3</v>
      </c>
      <c r="J11" s="61">
        <f t="array" ref="J11">IFERROR(INDEX(Calc!$C$3:$C$6,MATCH(2,Calc!$J$3:$J$6,0)),0)</f>
        <v>2</v>
      </c>
      <c r="K11" s="61">
        <f t="array" ref="K11">IFERROR(INDEX(Calc!$D$3:$D$6,MATCH(2,Calc!$J$3:$J$6,0)),0)</f>
        <v>0</v>
      </c>
      <c r="L11" s="61">
        <f t="array" ref="L11">IFERROR(INDEX(Calc!$L$3:$L$6,MATCH(2,Calc!$J$3:$J$6,0)),0)</f>
        <v>1</v>
      </c>
      <c r="M11" s="61">
        <f t="array" ref="M11">IFERROR(INDEX(Calc!$E$3:$E$6,MATCH(2,Calc!$J$3:$J$6,0)),0)</f>
        <v>5</v>
      </c>
      <c r="N11" s="61">
        <f t="array" ref="N11">IFERROR(INDEX(Calc!$F$3:$F$6,MATCH(2,Calc!$J$3:$J$6,0)),0)</f>
        <v>2</v>
      </c>
      <c r="O11" s="61">
        <f t="array" ref="O11">IFERROR(INDEX(Calc!$G$3:$G$6,MATCH(2,Calc!$J$3:$J$6,0)),0)</f>
        <v>3</v>
      </c>
      <c r="P11" s="61">
        <f t="array" ref="P11">IFERROR(ROUND(INDEX(Calc!$H$3:$H$6,MATCH(2,Calc!$J$3:$J$6,0))/(INDEX(Calc!$K$3:$K$6,MATCH(2,Calc!$J$3:$J$6,0))*3)*100,0),0)</f>
        <v>67</v>
      </c>
      <c r="Q11" s="59">
        <v>2.0</v>
      </c>
      <c r="R11" s="60" t="str">
        <f t="array" ref="R11">IFERROR(INDEX(Calc!$B$7:$B$10,MATCH(2,Calc!$J$7:$J$10,0)),"?")</f>
        <v>Bosnia e Herzegovina</v>
      </c>
      <c r="S11" s="51"/>
      <c r="T11" s="51"/>
      <c r="U11" s="51"/>
      <c r="V11" s="51"/>
      <c r="W11" s="22"/>
      <c r="X11" s="61">
        <f t="array" ref="X11">IFERROR(INDEX(Calc!$H$7:$H$10,MATCH(2,Calc!$J$7:$J$10,0)),0)</f>
        <v>2</v>
      </c>
      <c r="Y11" s="61">
        <f t="array" ref="Y11">IFERROR(INDEX(Calc!$K$7:$K$10,MATCH(2,Calc!$J$7:$J$10,0)),0)</f>
        <v>3</v>
      </c>
      <c r="Z11" s="61">
        <f t="array" ref="Z11">IFERROR(INDEX(Calc!$C$7:$C$10,MATCH(2,Calc!$J$7:$J$10,0)),0)</f>
        <v>0</v>
      </c>
      <c r="AA11" s="61">
        <f t="array" ref="AA11">IFERROR(INDEX(Calc!$D$7:$D$10,MATCH(2,Calc!$J$7:$J$10,0)),0)</f>
        <v>2</v>
      </c>
      <c r="AB11" s="61">
        <f t="array" ref="AB11">IFERROR(INDEX(Calc!$L$7:$L$10,MATCH(2,Calc!$J$7:$J$10,0)),0)</f>
        <v>1</v>
      </c>
      <c r="AC11" s="61">
        <f t="array" ref="AC11">IFERROR(INDEX(Calc!$E$7:$E$10,MATCH(2,Calc!$J$7:$J$10,0)),0)</f>
        <v>2</v>
      </c>
      <c r="AD11" s="61">
        <f t="array" ref="AD11">IFERROR(INDEX(Calc!$F$7:$F$10,MATCH(2,Calc!$J$7:$J$10,0)),0)</f>
        <v>3</v>
      </c>
      <c r="AE11" s="61">
        <f t="array" ref="AE11">IFERROR(INDEX(Calc!$G$7:$G$10,MATCH(2,Calc!$J$7:$J$10,0)),0)</f>
        <v>-1</v>
      </c>
      <c r="AF11" s="61">
        <f t="array" ref="AF11">IFERROR(ROUND(INDEX(Calc!$H$7:$H$10,MATCH(2,Calc!$J$7:$J$10,0))/(INDEX(Calc!$K$7:$K$10,MATCH(2,Calc!$J$7:$J$10,0))*3)*100,0),0)</f>
        <v>22</v>
      </c>
      <c r="AG11" s="59">
        <v>2.0</v>
      </c>
      <c r="AH11" s="60" t="str">
        <f t="array" ref="AH11">IFERROR(INDEX(Calc!$B$11:$B$14,MATCH(2,Calc!$J$11:$J$14,0)),"?")</f>
        <v>Marrocos</v>
      </c>
      <c r="AI11" s="51"/>
      <c r="AJ11" s="51"/>
      <c r="AK11" s="51"/>
      <c r="AL11" s="51"/>
      <c r="AM11" s="22"/>
      <c r="AN11" s="61">
        <f t="array" ref="AN11">IFERROR(INDEX(Calc!$H$11:$H$14,MATCH(2,Calc!$J$11:$J$14,0)),0)</f>
        <v>6</v>
      </c>
      <c r="AO11" s="61">
        <f t="array" ref="AO11">IFERROR(INDEX(Calc!$K$11:$K$14,MATCH(2,Calc!$J$11:$J$14,0)),0)</f>
        <v>3</v>
      </c>
      <c r="AP11" s="61">
        <f t="array" ref="AP11">IFERROR(INDEX(Calc!$C$11:$C$14,MATCH(2,Calc!$J$11:$J$14,0)),0)</f>
        <v>2</v>
      </c>
      <c r="AQ11" s="61">
        <f t="array" ref="AQ11">IFERROR(INDEX(Calc!$D$11:$D$14,MATCH(2,Calc!$J$11:$J$14,0)),0)</f>
        <v>0</v>
      </c>
      <c r="AR11" s="61">
        <f t="array" ref="AR11">IFERROR(INDEX(Calc!$L$11:$L$14,MATCH(2,Calc!$J$11:$J$14,0)),0)</f>
        <v>1</v>
      </c>
      <c r="AS11" s="61">
        <f t="array" ref="AS11">IFERROR(INDEX(Calc!$E$11:$E$14,MATCH(2,Calc!$J$11:$J$14,0)),0)</f>
        <v>7</v>
      </c>
      <c r="AT11" s="61">
        <f t="array" ref="AT11">IFERROR(INDEX(Calc!$F$11:$F$14,MATCH(2,Calc!$J$11:$J$14,0)),0)</f>
        <v>2</v>
      </c>
      <c r="AU11" s="61">
        <f t="array" ref="AU11">IFERROR(INDEX(Calc!$G$11:$G$14,MATCH(2,Calc!$J$11:$J$14,0)),0)</f>
        <v>5</v>
      </c>
      <c r="AV11" s="61">
        <f t="array" ref="AV11">IFERROR(ROUND(INDEX(Calc!$H$11:$H$14,MATCH(2,Calc!$J$11:$J$14,0))/(INDEX(Calc!$K$11:$K$14,MATCH(2,Calc!$J$11:$J$14,0))*3)*100,0),0)</f>
        <v>67</v>
      </c>
    </row>
    <row r="12" ht="18.0" customHeight="1">
      <c r="A12" s="62">
        <v>3.0</v>
      </c>
      <c r="B12" s="63" t="str">
        <f t="array" ref="B12">IFERROR(INDEX(Calc!$B$3:$B$6,MATCH(3,Calc!$J$3:$J$6,0)),"?")</f>
        <v>Coreia do Sul</v>
      </c>
      <c r="C12" s="51"/>
      <c r="D12" s="51"/>
      <c r="E12" s="51"/>
      <c r="F12" s="51"/>
      <c r="G12" s="22"/>
      <c r="H12" s="64">
        <f t="array" ref="H12">IFERROR(INDEX(Calc!$H$3:$H$6,MATCH(3,Calc!$J$3:$J$6,0)),0)</f>
        <v>3</v>
      </c>
      <c r="I12" s="64">
        <f t="array" ref="I12">IFERROR(INDEX(Calc!$K$3:$K$6,MATCH(3,Calc!$J$3:$J$6,0)),0)</f>
        <v>3</v>
      </c>
      <c r="J12" s="64">
        <f t="array" ref="J12">IFERROR(INDEX(Calc!$C$3:$C$6,MATCH(3,Calc!$J$3:$J$6,0)),0)</f>
        <v>1</v>
      </c>
      <c r="K12" s="64">
        <f t="array" ref="K12">IFERROR(INDEX(Calc!$D$3:$D$6,MATCH(3,Calc!$J$3:$J$6,0)),0)</f>
        <v>0</v>
      </c>
      <c r="L12" s="64">
        <f t="array" ref="L12">IFERROR(INDEX(Calc!$L$3:$L$6,MATCH(3,Calc!$J$3:$J$6,0)),0)</f>
        <v>2</v>
      </c>
      <c r="M12" s="64">
        <f t="array" ref="M12">IFERROR(INDEX(Calc!$E$3:$E$6,MATCH(3,Calc!$J$3:$J$6,0)),0)</f>
        <v>1</v>
      </c>
      <c r="N12" s="64">
        <f t="array" ref="N12">IFERROR(INDEX(Calc!$F$3:$F$6,MATCH(3,Calc!$J$3:$J$6,0)),0)</f>
        <v>4</v>
      </c>
      <c r="O12" s="64">
        <f t="array" ref="O12">IFERROR(INDEX(Calc!$G$3:$G$6,MATCH(3,Calc!$J$3:$J$6,0)),0)</f>
        <v>-3</v>
      </c>
      <c r="P12" s="64">
        <f t="array" ref="P12">IFERROR(ROUND(INDEX(Calc!$H$3:$H$6,MATCH(3,Calc!$J$3:$J$6,0))/(INDEX(Calc!$K$3:$K$6,MATCH(3,Calc!$J$3:$J$6,0))*3)*100,0),0)</f>
        <v>33</v>
      </c>
      <c r="Q12" s="62">
        <v>3.0</v>
      </c>
      <c r="R12" s="63" t="str">
        <f t="array" ref="R12">IFERROR(INDEX(Calc!$B$7:$B$10,MATCH(3,Calc!$J$7:$J$10,0)),"?")</f>
        <v>Canada</v>
      </c>
      <c r="S12" s="51"/>
      <c r="T12" s="51"/>
      <c r="U12" s="51"/>
      <c r="V12" s="51"/>
      <c r="W12" s="22"/>
      <c r="X12" s="64">
        <f t="array" ref="X12">IFERROR(INDEX(Calc!$H$7:$H$10,MATCH(3,Calc!$J$7:$J$10,0)),0)</f>
        <v>2</v>
      </c>
      <c r="Y12" s="64">
        <f t="array" ref="Y12">IFERROR(INDEX(Calc!$K$7:$K$10,MATCH(3,Calc!$J$7:$J$10,0)),0)</f>
        <v>3</v>
      </c>
      <c r="Z12" s="64">
        <f t="array" ref="Z12">IFERROR(INDEX(Calc!$C$7:$C$10,MATCH(3,Calc!$J$7:$J$10,0)),0)</f>
        <v>0</v>
      </c>
      <c r="AA12" s="64">
        <f t="array" ref="AA12">IFERROR(INDEX(Calc!$D$7:$D$10,MATCH(3,Calc!$J$7:$J$10,0)),0)</f>
        <v>2</v>
      </c>
      <c r="AB12" s="64">
        <f t="array" ref="AB12">IFERROR(INDEX(Calc!$L$7:$L$10,MATCH(3,Calc!$J$7:$J$10,0)),0)</f>
        <v>1</v>
      </c>
      <c r="AC12" s="64">
        <f t="array" ref="AC12">IFERROR(INDEX(Calc!$E$7:$E$10,MATCH(3,Calc!$J$7:$J$10,0)),0)</f>
        <v>1</v>
      </c>
      <c r="AD12" s="64">
        <f t="array" ref="AD12">IFERROR(INDEX(Calc!$F$7:$F$10,MATCH(3,Calc!$J$7:$J$10,0)),0)</f>
        <v>2</v>
      </c>
      <c r="AE12" s="64">
        <f t="array" ref="AE12">IFERROR(INDEX(Calc!$G$7:$G$10,MATCH(3,Calc!$J$7:$J$10,0)),0)</f>
        <v>-1</v>
      </c>
      <c r="AF12" s="64">
        <f t="array" ref="AF12">IFERROR(ROUND(INDEX(Calc!$H$7:$H$10,MATCH(3,Calc!$J$7:$J$10,0))/(INDEX(Calc!$K$7:$K$10,MATCH(3,Calc!$J$7:$J$10,0))*3)*100,0),0)</f>
        <v>22</v>
      </c>
      <c r="AG12" s="62">
        <v>3.0</v>
      </c>
      <c r="AH12" s="63" t="str">
        <f t="array" ref="AH12">IFERROR(INDEX(Calc!$B$11:$B$14,MATCH(3,Calc!$J$11:$J$14,0)),"?")</f>
        <v>Escocia</v>
      </c>
      <c r="AI12" s="51"/>
      <c r="AJ12" s="51"/>
      <c r="AK12" s="51"/>
      <c r="AL12" s="51"/>
      <c r="AM12" s="22"/>
      <c r="AN12" s="64">
        <f t="array" ref="AN12">IFERROR(INDEX(Calc!$H$11:$H$14,MATCH(3,Calc!$J$11:$J$14,0)),0)</f>
        <v>1</v>
      </c>
      <c r="AO12" s="64">
        <f t="array" ref="AO12">IFERROR(INDEX(Calc!$K$11:$K$14,MATCH(3,Calc!$J$11:$J$14,0)),0)</f>
        <v>3</v>
      </c>
      <c r="AP12" s="64">
        <f t="array" ref="AP12">IFERROR(INDEX(Calc!$C$11:$C$14,MATCH(3,Calc!$J$11:$J$14,0)),0)</f>
        <v>0</v>
      </c>
      <c r="AQ12" s="64">
        <f t="array" ref="AQ12">IFERROR(INDEX(Calc!$D$11:$D$14,MATCH(3,Calc!$J$11:$J$14,0)),0)</f>
        <v>1</v>
      </c>
      <c r="AR12" s="64">
        <f t="array" ref="AR12">IFERROR(INDEX(Calc!$L$11:$L$14,MATCH(3,Calc!$J$11:$J$14,0)),0)</f>
        <v>2</v>
      </c>
      <c r="AS12" s="64">
        <f t="array" ref="AS12">IFERROR(INDEX(Calc!$E$11:$E$14,MATCH(3,Calc!$J$11:$J$14,0)),0)</f>
        <v>0</v>
      </c>
      <c r="AT12" s="64">
        <f t="array" ref="AT12">IFERROR(INDEX(Calc!$F$11:$F$14,MATCH(3,Calc!$J$11:$J$14,0)),0)</f>
        <v>6</v>
      </c>
      <c r="AU12" s="64">
        <f t="array" ref="AU12">IFERROR(INDEX(Calc!$G$11:$G$14,MATCH(3,Calc!$J$11:$J$14,0)),0)</f>
        <v>-6</v>
      </c>
      <c r="AV12" s="64">
        <f t="array" ref="AV12">IFERROR(ROUND(INDEX(Calc!$H$11:$H$14,MATCH(3,Calc!$J$11:$J$14,0))/(INDEX(Calc!$K$11:$K$14,MATCH(3,Calc!$J$11:$J$14,0))*3)*100,0),0)</f>
        <v>11</v>
      </c>
    </row>
    <row r="13" ht="18.0" customHeight="1">
      <c r="A13" s="65">
        <v>4.0</v>
      </c>
      <c r="B13" s="66" t="str">
        <f t="array" ref="B13">IFERROR(INDEX(Calc!$B$3:$B$6,MATCH(4,Calc!$J$3:$J$6,0)),"?")</f>
        <v>Tchequia</v>
      </c>
      <c r="C13" s="51"/>
      <c r="D13" s="51"/>
      <c r="E13" s="51"/>
      <c r="F13" s="51"/>
      <c r="G13" s="22"/>
      <c r="H13" s="67">
        <f t="array" ref="H13">IFERROR(INDEX(Calc!$H$3:$H$6,MATCH(4,Calc!$J$3:$J$6,0)),0)</f>
        <v>0</v>
      </c>
      <c r="I13" s="67">
        <f t="array" ref="I13">IFERROR(INDEX(Calc!$K$3:$K$6,MATCH(4,Calc!$J$3:$J$6,0)),0)</f>
        <v>3</v>
      </c>
      <c r="J13" s="67">
        <f t="array" ref="J13">IFERROR(INDEX(Calc!$C$3:$C$6,MATCH(4,Calc!$J$3:$J$6,0)),0)</f>
        <v>0</v>
      </c>
      <c r="K13" s="67">
        <f t="array" ref="K13">IFERROR(INDEX(Calc!$D$3:$D$6,MATCH(4,Calc!$J$3:$J$6,0)),0)</f>
        <v>0</v>
      </c>
      <c r="L13" s="67">
        <f t="array" ref="L13">IFERROR(INDEX(Calc!$L$3:$L$6,MATCH(4,Calc!$J$3:$J$6,0)),0)</f>
        <v>3</v>
      </c>
      <c r="M13" s="67">
        <f t="array" ref="M13">IFERROR(INDEX(Calc!$E$3:$E$6,MATCH(4,Calc!$J$3:$J$6,0)),0)</f>
        <v>0</v>
      </c>
      <c r="N13" s="67">
        <f t="array" ref="N13">IFERROR(INDEX(Calc!$F$3:$F$6,MATCH(4,Calc!$J$3:$J$6,0)),0)</f>
        <v>5</v>
      </c>
      <c r="O13" s="67">
        <f t="array" ref="O13">IFERROR(INDEX(Calc!$G$3:$G$6,MATCH(4,Calc!$J$3:$J$6,0)),0)</f>
        <v>-5</v>
      </c>
      <c r="P13" s="67">
        <f t="array" ref="P13">IFERROR(ROUND(INDEX(Calc!$H$3:$H$6,MATCH(4,Calc!$J$3:$J$6,0))/(INDEX(Calc!$K$3:$K$6,MATCH(4,Calc!$J$3:$J$6,0))*3)*100,0),0)</f>
        <v>0</v>
      </c>
      <c r="Q13" s="65">
        <v>4.0</v>
      </c>
      <c r="R13" s="66" t="str">
        <f t="array" ref="R13">IFERROR(INDEX(Calc!$B$7:$B$10,MATCH(4,Calc!$J$7:$J$10,0)),"?")</f>
        <v>Qatar</v>
      </c>
      <c r="S13" s="51"/>
      <c r="T13" s="51"/>
      <c r="U13" s="51"/>
      <c r="V13" s="51"/>
      <c r="W13" s="22"/>
      <c r="X13" s="67">
        <f t="array" ref="X13">IFERROR(INDEX(Calc!$H$7:$H$10,MATCH(4,Calc!$J$7:$J$10,0)),0)</f>
        <v>2</v>
      </c>
      <c r="Y13" s="67">
        <f t="array" ref="Y13">IFERROR(INDEX(Calc!$K$7:$K$10,MATCH(4,Calc!$J$7:$J$10,0)),0)</f>
        <v>3</v>
      </c>
      <c r="Z13" s="67">
        <f t="array" ref="Z13">IFERROR(INDEX(Calc!$C$7:$C$10,MATCH(4,Calc!$J$7:$J$10,0)),0)</f>
        <v>0</v>
      </c>
      <c r="AA13" s="67">
        <f t="array" ref="AA13">IFERROR(INDEX(Calc!$D$7:$D$10,MATCH(4,Calc!$J$7:$J$10,0)),0)</f>
        <v>2</v>
      </c>
      <c r="AB13" s="67">
        <f t="array" ref="AB13">IFERROR(INDEX(Calc!$L$7:$L$10,MATCH(4,Calc!$J$7:$J$10,0)),0)</f>
        <v>1</v>
      </c>
      <c r="AC13" s="67">
        <f t="array" ref="AC13">IFERROR(INDEX(Calc!$E$7:$E$10,MATCH(4,Calc!$J$7:$J$10,0)),0)</f>
        <v>1</v>
      </c>
      <c r="AD13" s="67">
        <f t="array" ref="AD13">IFERROR(INDEX(Calc!$F$7:$F$10,MATCH(4,Calc!$J$7:$J$10,0)),0)</f>
        <v>3</v>
      </c>
      <c r="AE13" s="67">
        <f t="array" ref="AE13">IFERROR(INDEX(Calc!$G$7:$G$10,MATCH(4,Calc!$J$7:$J$10,0)),0)</f>
        <v>-2</v>
      </c>
      <c r="AF13" s="67">
        <f t="array" ref="AF13">IFERROR(ROUND(INDEX(Calc!$H$7:$H$10,MATCH(4,Calc!$J$7:$J$10,0))/(INDEX(Calc!$K$7:$K$10,MATCH(4,Calc!$J$7:$J$10,0))*3)*100,0),0)</f>
        <v>22</v>
      </c>
      <c r="AG13" s="65">
        <v>4.0</v>
      </c>
      <c r="AH13" s="66" t="str">
        <f t="array" ref="AH13">IFERROR(INDEX(Calc!$B$11:$B$14,MATCH(4,Calc!$J$11:$J$14,0)),"?")</f>
        <v>Haiti</v>
      </c>
      <c r="AI13" s="51"/>
      <c r="AJ13" s="51"/>
      <c r="AK13" s="51"/>
      <c r="AL13" s="51"/>
      <c r="AM13" s="22"/>
      <c r="AN13" s="67">
        <f t="array" ref="AN13">IFERROR(INDEX(Calc!$H$11:$H$14,MATCH(4,Calc!$J$11:$J$14,0)),0)</f>
        <v>1</v>
      </c>
      <c r="AO13" s="67">
        <f t="array" ref="AO13">IFERROR(INDEX(Calc!$K$11:$K$14,MATCH(4,Calc!$J$11:$J$14,0)),0)</f>
        <v>3</v>
      </c>
      <c r="AP13" s="67">
        <f t="array" ref="AP13">IFERROR(INDEX(Calc!$C$11:$C$14,MATCH(4,Calc!$J$11:$J$14,0)),0)</f>
        <v>0</v>
      </c>
      <c r="AQ13" s="67">
        <f t="array" ref="AQ13">IFERROR(INDEX(Calc!$D$11:$D$14,MATCH(4,Calc!$J$11:$J$14,0)),0)</f>
        <v>1</v>
      </c>
      <c r="AR13" s="67">
        <f t="array" ref="AR13">IFERROR(INDEX(Calc!$L$11:$L$14,MATCH(4,Calc!$J$11:$J$14,0)),0)</f>
        <v>2</v>
      </c>
      <c r="AS13" s="67">
        <f t="array" ref="AS13">IFERROR(INDEX(Calc!$E$11:$E$14,MATCH(4,Calc!$J$11:$J$14,0)),0)</f>
        <v>0</v>
      </c>
      <c r="AT13" s="67">
        <f t="array" ref="AT13">IFERROR(INDEX(Calc!$F$11:$F$14,MATCH(4,Calc!$J$11:$J$14,0)),0)</f>
        <v>7</v>
      </c>
      <c r="AU13" s="67">
        <f t="array" ref="AU13">IFERROR(INDEX(Calc!$G$11:$G$14,MATCH(4,Calc!$J$11:$J$14,0)),0)</f>
        <v>-7</v>
      </c>
      <c r="AV13" s="67">
        <f t="array" ref="AV13">IFERROR(ROUND(INDEX(Calc!$H$11:$H$14,MATCH(4,Calc!$J$11:$J$14,0))/(INDEX(Calc!$K$11:$K$14,MATCH(4,Calc!$J$11:$J$14,0))*3)*100,0),0)</f>
        <v>11</v>
      </c>
    </row>
    <row r="15" ht="21.75" customHeight="1">
      <c r="A15" s="68" t="s">
        <v>168</v>
      </c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22"/>
      <c r="Q15" s="69" t="s">
        <v>169</v>
      </c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22"/>
      <c r="AG15" s="70" t="s">
        <v>170</v>
      </c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22"/>
    </row>
    <row r="16" ht="18.0" customHeight="1">
      <c r="A16" s="54" t="s">
        <v>157</v>
      </c>
      <c r="B16" s="55" t="s">
        <v>158</v>
      </c>
      <c r="C16" s="51"/>
      <c r="D16" s="51"/>
      <c r="E16" s="51"/>
      <c r="F16" s="51"/>
      <c r="G16" s="22"/>
      <c r="H16" s="54" t="s">
        <v>159</v>
      </c>
      <c r="I16" s="54" t="s">
        <v>160</v>
      </c>
      <c r="J16" s="54" t="s">
        <v>161</v>
      </c>
      <c r="K16" s="54" t="s">
        <v>162</v>
      </c>
      <c r="L16" s="54" t="s">
        <v>163</v>
      </c>
      <c r="M16" s="54" t="s">
        <v>164</v>
      </c>
      <c r="N16" s="54" t="s">
        <v>165</v>
      </c>
      <c r="O16" s="54" t="s">
        <v>166</v>
      </c>
      <c r="P16" s="54" t="s">
        <v>167</v>
      </c>
      <c r="Q16" s="54" t="s">
        <v>157</v>
      </c>
      <c r="R16" s="55" t="s">
        <v>158</v>
      </c>
      <c r="S16" s="51"/>
      <c r="T16" s="51"/>
      <c r="U16" s="51"/>
      <c r="V16" s="51"/>
      <c r="W16" s="22"/>
      <c r="X16" s="54" t="s">
        <v>159</v>
      </c>
      <c r="Y16" s="54" t="s">
        <v>160</v>
      </c>
      <c r="Z16" s="54" t="s">
        <v>161</v>
      </c>
      <c r="AA16" s="54" t="s">
        <v>162</v>
      </c>
      <c r="AB16" s="54" t="s">
        <v>163</v>
      </c>
      <c r="AC16" s="54" t="s">
        <v>164</v>
      </c>
      <c r="AD16" s="54" t="s">
        <v>165</v>
      </c>
      <c r="AE16" s="54" t="s">
        <v>166</v>
      </c>
      <c r="AF16" s="54" t="s">
        <v>167</v>
      </c>
      <c r="AG16" s="54" t="s">
        <v>157</v>
      </c>
      <c r="AH16" s="55" t="s">
        <v>158</v>
      </c>
      <c r="AI16" s="51"/>
      <c r="AJ16" s="51"/>
      <c r="AK16" s="51"/>
      <c r="AL16" s="51"/>
      <c r="AM16" s="22"/>
      <c r="AN16" s="54" t="s">
        <v>159</v>
      </c>
      <c r="AO16" s="54" t="s">
        <v>160</v>
      </c>
      <c r="AP16" s="54" t="s">
        <v>161</v>
      </c>
      <c r="AQ16" s="54" t="s">
        <v>162</v>
      </c>
      <c r="AR16" s="54" t="s">
        <v>163</v>
      </c>
      <c r="AS16" s="54" t="s">
        <v>164</v>
      </c>
      <c r="AT16" s="54" t="s">
        <v>165</v>
      </c>
      <c r="AU16" s="54" t="s">
        <v>166</v>
      </c>
      <c r="AV16" s="54" t="s">
        <v>167</v>
      </c>
    </row>
    <row r="17" ht="18.0" customHeight="1">
      <c r="A17" s="56">
        <v>1.0</v>
      </c>
      <c r="B17" s="57" t="str">
        <f t="array" ref="B17">IFERROR(INDEX(Calc!$B$15:$B$18,MATCH(1,Calc!$J$15:$J$18,0)),"?")</f>
        <v>Paraguai</v>
      </c>
      <c r="C17" s="51"/>
      <c r="D17" s="51"/>
      <c r="E17" s="51"/>
      <c r="F17" s="51"/>
      <c r="G17" s="22"/>
      <c r="H17" s="58">
        <f t="array" ref="H17">IFERROR(INDEX(Calc!$H$15:$H$18,MATCH(1,Calc!$J$15:$J$18,0)),0)</f>
        <v>7</v>
      </c>
      <c r="I17" s="58">
        <f t="array" ref="I17">IFERROR(INDEX(Calc!$K$15:$K$18,MATCH(1,Calc!$J$15:$J$18,0)),0)</f>
        <v>3</v>
      </c>
      <c r="J17" s="58">
        <f t="array" ref="J17">IFERROR(INDEX(Calc!$C$15:$C$18,MATCH(1,Calc!$J$15:$J$18,0)),0)</f>
        <v>2</v>
      </c>
      <c r="K17" s="58">
        <f t="array" ref="K17">IFERROR(INDEX(Calc!$D$15:$D$18,MATCH(1,Calc!$J$15:$J$18,0)),0)</f>
        <v>1</v>
      </c>
      <c r="L17" s="58">
        <f t="array" ref="L17">IFERROR(INDEX(Calc!$L$15:$L$18,MATCH(1,Calc!$J$15:$J$18,0)),0)</f>
        <v>0</v>
      </c>
      <c r="M17" s="58">
        <f t="array" ref="M17">IFERROR(INDEX(Calc!$E$15:$E$18,MATCH(1,Calc!$J$15:$J$18,0)),0)</f>
        <v>5</v>
      </c>
      <c r="N17" s="58">
        <f t="array" ref="N17">IFERROR(INDEX(Calc!$F$15:$F$18,MATCH(1,Calc!$J$15:$J$18,0)),0)</f>
        <v>3</v>
      </c>
      <c r="O17" s="58">
        <f t="array" ref="O17">IFERROR(INDEX(Calc!$G$15:$G$18,MATCH(1,Calc!$J$15:$J$18,0)),0)</f>
        <v>2</v>
      </c>
      <c r="P17" s="58">
        <f t="array" ref="P17">IFERROR(ROUND(INDEX(Calc!$H$15:$H$18,MATCH(1,Calc!$J$15:$J$18,0))/(INDEX(Calc!$K$15:$K$18,MATCH(1,Calc!$J$15:$J$18,0))*3)*100,0),0)</f>
        <v>78</v>
      </c>
      <c r="Q17" s="56">
        <v>1.0</v>
      </c>
      <c r="R17" s="57" t="str">
        <f t="array" ref="R17">IFERROR(INDEX(Calc!$B$19:$B$22,MATCH(1,Calc!$J$19:$J$22,0)),"?")</f>
        <v>Alemanha</v>
      </c>
      <c r="S17" s="51"/>
      <c r="T17" s="51"/>
      <c r="U17" s="51"/>
      <c r="V17" s="51"/>
      <c r="W17" s="22"/>
      <c r="X17" s="58">
        <f t="array" ref="X17">IFERROR(INDEX(Calc!$H$19:$H$22,MATCH(1,Calc!$J$19:$J$22,0)),0)</f>
        <v>9</v>
      </c>
      <c r="Y17" s="58">
        <f t="array" ref="Y17">IFERROR(INDEX(Calc!$K$19:$K$22,MATCH(1,Calc!$J$19:$J$22,0)),0)</f>
        <v>3</v>
      </c>
      <c r="Z17" s="58">
        <f t="array" ref="Z17">IFERROR(INDEX(Calc!$C$19:$C$22,MATCH(1,Calc!$J$19:$J$22,0)),0)</f>
        <v>3</v>
      </c>
      <c r="AA17" s="58">
        <f t="array" ref="AA17">IFERROR(INDEX(Calc!$D$19:$D$22,MATCH(1,Calc!$J$19:$J$22,0)),0)</f>
        <v>0</v>
      </c>
      <c r="AB17" s="58">
        <f t="array" ref="AB17">IFERROR(INDEX(Calc!$L$19:$L$22,MATCH(1,Calc!$J$19:$J$22,0)),0)</f>
        <v>0</v>
      </c>
      <c r="AC17" s="58">
        <f t="array" ref="AC17">IFERROR(INDEX(Calc!$E$19:$E$22,MATCH(1,Calc!$J$19:$J$22,0)),0)</f>
        <v>7</v>
      </c>
      <c r="AD17" s="58">
        <f t="array" ref="AD17">IFERROR(INDEX(Calc!$F$19:$F$22,MATCH(1,Calc!$J$19:$J$22,0)),0)</f>
        <v>1</v>
      </c>
      <c r="AE17" s="58">
        <f t="array" ref="AE17">IFERROR(INDEX(Calc!$G$19:$G$22,MATCH(1,Calc!$J$19:$J$22,0)),0)</f>
        <v>6</v>
      </c>
      <c r="AF17" s="58">
        <f t="array" ref="AF17">IFERROR(ROUND(INDEX(Calc!$H$19:$H$22,MATCH(1,Calc!$J$19:$J$22,0))/(INDEX(Calc!$K$19:$K$22,MATCH(1,Calc!$J$19:$J$22,0))*3)*100,0),0)</f>
        <v>100</v>
      </c>
      <c r="AG17" s="56">
        <v>1.0</v>
      </c>
      <c r="AH17" s="57" t="str">
        <f t="array" ref="AH17">IFERROR(INDEX(Calc!$B$23:$B$26,MATCH(1,Calc!$J$23:$J$26,0)),"?")</f>
        <v>Holanda</v>
      </c>
      <c r="AI17" s="51"/>
      <c r="AJ17" s="51"/>
      <c r="AK17" s="51"/>
      <c r="AL17" s="51"/>
      <c r="AM17" s="22"/>
      <c r="AN17" s="58">
        <f t="array" ref="AN17">IFERROR(INDEX(Calc!$H$23:$H$26,MATCH(1,Calc!$J$23:$J$26,0)),0)</f>
        <v>7</v>
      </c>
      <c r="AO17" s="58">
        <f t="array" ref="AO17">IFERROR(INDEX(Calc!$K$23:$K$26,MATCH(1,Calc!$J$23:$J$26,0)),0)</f>
        <v>3</v>
      </c>
      <c r="AP17" s="58">
        <f t="array" ref="AP17">IFERROR(INDEX(Calc!$C$23:$C$26,MATCH(1,Calc!$J$23:$J$26,0)),0)</f>
        <v>2</v>
      </c>
      <c r="AQ17" s="58">
        <f t="array" ref="AQ17">IFERROR(INDEX(Calc!$D$23:$D$26,MATCH(1,Calc!$J$23:$J$26,0)),0)</f>
        <v>1</v>
      </c>
      <c r="AR17" s="58">
        <f t="array" ref="AR17">IFERROR(INDEX(Calc!$L$23:$L$26,MATCH(1,Calc!$J$23:$J$26,0)),0)</f>
        <v>0</v>
      </c>
      <c r="AS17" s="58">
        <f t="array" ref="AS17">IFERROR(INDEX(Calc!$E$23:$E$26,MATCH(1,Calc!$J$23:$J$26,0)),0)</f>
        <v>6</v>
      </c>
      <c r="AT17" s="58">
        <f t="array" ref="AT17">IFERROR(INDEX(Calc!$F$23:$F$26,MATCH(1,Calc!$J$23:$J$26,0)),0)</f>
        <v>3</v>
      </c>
      <c r="AU17" s="58">
        <f t="array" ref="AU17">IFERROR(INDEX(Calc!$G$23:$G$26,MATCH(1,Calc!$J$23:$J$26,0)),0)</f>
        <v>3</v>
      </c>
      <c r="AV17" s="58">
        <f t="array" ref="AV17">IFERROR(ROUND(INDEX(Calc!$H$23:$H$26,MATCH(1,Calc!$J$23:$J$26,0))/(INDEX(Calc!$K$23:$K$26,MATCH(1,Calc!$J$23:$J$26,0))*3)*100,0),0)</f>
        <v>78</v>
      </c>
    </row>
    <row r="18" ht="18.0" customHeight="1">
      <c r="A18" s="59">
        <v>2.0</v>
      </c>
      <c r="B18" s="60" t="str">
        <f t="array" ref="B18">IFERROR(INDEX(Calc!$B$15:$B$18,MATCH(2,Calc!$J$15:$J$18,0)),"?")</f>
        <v>Australia</v>
      </c>
      <c r="C18" s="51"/>
      <c r="D18" s="51"/>
      <c r="E18" s="51"/>
      <c r="F18" s="51"/>
      <c r="G18" s="22"/>
      <c r="H18" s="61">
        <f t="array" ref="H18">IFERROR(INDEX(Calc!$H$15:$H$18,MATCH(2,Calc!$J$15:$J$18,0)),0)</f>
        <v>3</v>
      </c>
      <c r="I18" s="61">
        <f t="array" ref="I18">IFERROR(INDEX(Calc!$K$15:$K$18,MATCH(2,Calc!$J$15:$J$18,0)),0)</f>
        <v>3</v>
      </c>
      <c r="J18" s="61">
        <f t="array" ref="J18">IFERROR(INDEX(Calc!$C$15:$C$18,MATCH(2,Calc!$J$15:$J$18,0)),0)</f>
        <v>0</v>
      </c>
      <c r="K18" s="61">
        <f t="array" ref="K18">IFERROR(INDEX(Calc!$D$15:$D$18,MATCH(2,Calc!$J$15:$J$18,0)),0)</f>
        <v>3</v>
      </c>
      <c r="L18" s="61">
        <f t="array" ref="L18">IFERROR(INDEX(Calc!$L$15:$L$18,MATCH(2,Calc!$J$15:$J$18,0)),0)</f>
        <v>0</v>
      </c>
      <c r="M18" s="61">
        <f t="array" ref="M18">IFERROR(INDEX(Calc!$E$15:$E$18,MATCH(2,Calc!$J$15:$J$18,0)),0)</f>
        <v>2</v>
      </c>
      <c r="N18" s="61">
        <f t="array" ref="N18">IFERROR(INDEX(Calc!$F$15:$F$18,MATCH(2,Calc!$J$15:$J$18,0)),0)</f>
        <v>2</v>
      </c>
      <c r="O18" s="61">
        <f t="array" ref="O18">IFERROR(INDEX(Calc!$G$15:$G$18,MATCH(2,Calc!$J$15:$J$18,0)),0)</f>
        <v>0</v>
      </c>
      <c r="P18" s="61">
        <f t="array" ref="P18">IFERROR(ROUND(INDEX(Calc!$H$15:$H$18,MATCH(2,Calc!$J$15:$J$18,0))/(INDEX(Calc!$K$15:$K$18,MATCH(2,Calc!$J$15:$J$18,0))*3)*100,0),0)</f>
        <v>33</v>
      </c>
      <c r="Q18" s="59">
        <v>2.0</v>
      </c>
      <c r="R18" s="60" t="str">
        <f t="array" ref="R18">IFERROR(INDEX(Calc!$B$19:$B$22,MATCH(2,Calc!$J$19:$J$22,0)),"?")</f>
        <v>Equador</v>
      </c>
      <c r="S18" s="51"/>
      <c r="T18" s="51"/>
      <c r="U18" s="51"/>
      <c r="V18" s="51"/>
      <c r="W18" s="22"/>
      <c r="X18" s="61">
        <f t="array" ref="X18">IFERROR(INDEX(Calc!$H$19:$H$22,MATCH(2,Calc!$J$19:$J$22,0)),0)</f>
        <v>4</v>
      </c>
      <c r="Y18" s="61">
        <f t="array" ref="Y18">IFERROR(INDEX(Calc!$K$19:$K$22,MATCH(2,Calc!$J$19:$J$22,0)),0)</f>
        <v>3</v>
      </c>
      <c r="Z18" s="61">
        <f t="array" ref="Z18">IFERROR(INDEX(Calc!$C$19:$C$22,MATCH(2,Calc!$J$19:$J$22,0)),0)</f>
        <v>1</v>
      </c>
      <c r="AA18" s="61">
        <f t="array" ref="AA18">IFERROR(INDEX(Calc!$D$19:$D$22,MATCH(2,Calc!$J$19:$J$22,0)),0)</f>
        <v>1</v>
      </c>
      <c r="AB18" s="61">
        <f t="array" ref="AB18">IFERROR(INDEX(Calc!$L$19:$L$22,MATCH(2,Calc!$J$19:$J$22,0)),0)</f>
        <v>1</v>
      </c>
      <c r="AC18" s="61">
        <f t="array" ref="AC18">IFERROR(INDEX(Calc!$E$19:$E$22,MATCH(2,Calc!$J$19:$J$22,0)),0)</f>
        <v>4</v>
      </c>
      <c r="AD18" s="61">
        <f t="array" ref="AD18">IFERROR(INDEX(Calc!$F$19:$F$22,MATCH(2,Calc!$J$19:$J$22,0)),0)</f>
        <v>3</v>
      </c>
      <c r="AE18" s="61">
        <f t="array" ref="AE18">IFERROR(INDEX(Calc!$G$19:$G$22,MATCH(2,Calc!$J$19:$J$22,0)),0)</f>
        <v>1</v>
      </c>
      <c r="AF18" s="61">
        <f t="array" ref="AF18">IFERROR(ROUND(INDEX(Calc!$H$19:$H$22,MATCH(2,Calc!$J$19:$J$22,0))/(INDEX(Calc!$K$19:$K$22,MATCH(2,Calc!$J$19:$J$22,0))*3)*100,0),0)</f>
        <v>44</v>
      </c>
      <c r="AG18" s="59">
        <v>2.0</v>
      </c>
      <c r="AH18" s="60" t="str">
        <f t="array" ref="AH18">IFERROR(INDEX(Calc!$B$23:$B$26,MATCH(2,Calc!$J$23:$J$26,0)),"?")</f>
        <v>Japao</v>
      </c>
      <c r="AI18" s="51"/>
      <c r="AJ18" s="51"/>
      <c r="AK18" s="51"/>
      <c r="AL18" s="51"/>
      <c r="AM18" s="22"/>
      <c r="AN18" s="61">
        <f t="array" ref="AN18">IFERROR(INDEX(Calc!$H$23:$H$26,MATCH(2,Calc!$J$23:$J$26,0)),0)</f>
        <v>6</v>
      </c>
      <c r="AO18" s="61">
        <f t="array" ref="AO18">IFERROR(INDEX(Calc!$K$23:$K$26,MATCH(2,Calc!$J$23:$J$26,0)),0)</f>
        <v>3</v>
      </c>
      <c r="AP18" s="61">
        <f t="array" ref="AP18">IFERROR(INDEX(Calc!$C$23:$C$26,MATCH(2,Calc!$J$23:$J$26,0)),0)</f>
        <v>2</v>
      </c>
      <c r="AQ18" s="61">
        <f t="array" ref="AQ18">IFERROR(INDEX(Calc!$D$23:$D$26,MATCH(2,Calc!$J$23:$J$26,0)),0)</f>
        <v>0</v>
      </c>
      <c r="AR18" s="61">
        <f t="array" ref="AR18">IFERROR(INDEX(Calc!$L$23:$L$26,MATCH(2,Calc!$J$23:$J$26,0)),0)</f>
        <v>1</v>
      </c>
      <c r="AS18" s="61">
        <f t="array" ref="AS18">IFERROR(INDEX(Calc!$E$23:$E$26,MATCH(2,Calc!$J$23:$J$26,0)),0)</f>
        <v>3</v>
      </c>
      <c r="AT18" s="61">
        <f t="array" ref="AT18">IFERROR(INDEX(Calc!$F$23:$F$26,MATCH(2,Calc!$J$23:$J$26,0)),0)</f>
        <v>2</v>
      </c>
      <c r="AU18" s="61">
        <f t="array" ref="AU18">IFERROR(INDEX(Calc!$G$23:$G$26,MATCH(2,Calc!$J$23:$J$26,0)),0)</f>
        <v>1</v>
      </c>
      <c r="AV18" s="61">
        <f t="array" ref="AV18">IFERROR(ROUND(INDEX(Calc!$H$23:$H$26,MATCH(2,Calc!$J$23:$J$26,0))/(INDEX(Calc!$K$23:$K$26,MATCH(2,Calc!$J$23:$J$26,0))*3)*100,0),0)</f>
        <v>67</v>
      </c>
    </row>
    <row r="19" ht="18.0" customHeight="1">
      <c r="A19" s="62">
        <v>3.0</v>
      </c>
      <c r="B19" s="63" t="str">
        <f t="array" ref="B19">IFERROR(INDEX(Calc!$B$15:$B$18,MATCH(3,Calc!$J$15:$J$18,0)),"?")</f>
        <v>Turquia</v>
      </c>
      <c r="C19" s="51"/>
      <c r="D19" s="51"/>
      <c r="E19" s="51"/>
      <c r="F19" s="51"/>
      <c r="G19" s="22"/>
      <c r="H19" s="64">
        <f t="array" ref="H19">IFERROR(INDEX(Calc!$H$15:$H$18,MATCH(3,Calc!$J$15:$J$18,0)),0)</f>
        <v>2</v>
      </c>
      <c r="I19" s="64">
        <f t="array" ref="I19">IFERROR(INDEX(Calc!$K$15:$K$18,MATCH(3,Calc!$J$15:$J$18,0)),0)</f>
        <v>3</v>
      </c>
      <c r="J19" s="64">
        <f t="array" ref="J19">IFERROR(INDEX(Calc!$C$15:$C$18,MATCH(3,Calc!$J$15:$J$18,0)),0)</f>
        <v>0</v>
      </c>
      <c r="K19" s="64">
        <f t="array" ref="K19">IFERROR(INDEX(Calc!$D$15:$D$18,MATCH(3,Calc!$J$15:$J$18,0)),0)</f>
        <v>2</v>
      </c>
      <c r="L19" s="64">
        <f t="array" ref="L19">IFERROR(INDEX(Calc!$L$15:$L$18,MATCH(3,Calc!$J$15:$J$18,0)),0)</f>
        <v>1</v>
      </c>
      <c r="M19" s="64">
        <f t="array" ref="M19">IFERROR(INDEX(Calc!$E$15:$E$18,MATCH(3,Calc!$J$15:$J$18,0)),0)</f>
        <v>3</v>
      </c>
      <c r="N19" s="64">
        <f t="array" ref="N19">IFERROR(INDEX(Calc!$F$15:$F$18,MATCH(3,Calc!$J$15:$J$18,0)),0)</f>
        <v>4</v>
      </c>
      <c r="O19" s="64">
        <f t="array" ref="O19">IFERROR(INDEX(Calc!$G$15:$G$18,MATCH(3,Calc!$J$15:$J$18,0)),0)</f>
        <v>-1</v>
      </c>
      <c r="P19" s="64">
        <f t="array" ref="P19">IFERROR(ROUND(INDEX(Calc!$H$15:$H$18,MATCH(3,Calc!$J$15:$J$18,0))/(INDEX(Calc!$K$15:$K$18,MATCH(3,Calc!$J$15:$J$18,0))*3)*100,0),0)</f>
        <v>22</v>
      </c>
      <c r="Q19" s="62">
        <v>3.0</v>
      </c>
      <c r="R19" s="63" t="str">
        <f t="array" ref="R19">IFERROR(INDEX(Calc!$B$19:$B$22,MATCH(3,Calc!$J$19:$J$22,0)),"?")</f>
        <v>Costa do Marfim</v>
      </c>
      <c r="S19" s="51"/>
      <c r="T19" s="51"/>
      <c r="U19" s="51"/>
      <c r="V19" s="51"/>
      <c r="W19" s="22"/>
      <c r="X19" s="64">
        <f t="array" ref="X19">IFERROR(INDEX(Calc!$H$19:$H$22,MATCH(3,Calc!$J$19:$J$22,0)),0)</f>
        <v>2</v>
      </c>
      <c r="Y19" s="64">
        <f t="array" ref="Y19">IFERROR(INDEX(Calc!$K$19:$K$22,MATCH(3,Calc!$J$19:$J$22,0)),0)</f>
        <v>3</v>
      </c>
      <c r="Z19" s="64">
        <f t="array" ref="Z19">IFERROR(INDEX(Calc!$C$19:$C$22,MATCH(3,Calc!$J$19:$J$22,0)),0)</f>
        <v>0</v>
      </c>
      <c r="AA19" s="64">
        <f t="array" ref="AA19">IFERROR(INDEX(Calc!$D$19:$D$22,MATCH(3,Calc!$J$19:$J$22,0)),0)</f>
        <v>2</v>
      </c>
      <c r="AB19" s="64">
        <f t="array" ref="AB19">IFERROR(INDEX(Calc!$L$19:$L$22,MATCH(3,Calc!$J$19:$J$22,0)),0)</f>
        <v>1</v>
      </c>
      <c r="AC19" s="64">
        <f t="array" ref="AC19">IFERROR(INDEX(Calc!$E$19:$E$22,MATCH(3,Calc!$J$19:$J$22,0)),0)</f>
        <v>1</v>
      </c>
      <c r="AD19" s="64">
        <f t="array" ref="AD19">IFERROR(INDEX(Calc!$F$19:$F$22,MATCH(3,Calc!$J$19:$J$22,0)),0)</f>
        <v>3</v>
      </c>
      <c r="AE19" s="64">
        <f t="array" ref="AE19">IFERROR(INDEX(Calc!$G$19:$G$22,MATCH(3,Calc!$J$19:$J$22,0)),0)</f>
        <v>-2</v>
      </c>
      <c r="AF19" s="64">
        <f t="array" ref="AF19">IFERROR(ROUND(INDEX(Calc!$H$19:$H$22,MATCH(3,Calc!$J$19:$J$22,0))/(INDEX(Calc!$K$19:$K$22,MATCH(3,Calc!$J$19:$J$22,0))*3)*100,0),0)</f>
        <v>22</v>
      </c>
      <c r="AG19" s="62">
        <v>3.0</v>
      </c>
      <c r="AH19" s="63" t="str">
        <f t="array" ref="AH19">IFERROR(INDEX(Calc!$B$23:$B$26,MATCH(3,Calc!$J$23:$J$26,0)),"?")</f>
        <v>Suecia</v>
      </c>
      <c r="AI19" s="51"/>
      <c r="AJ19" s="51"/>
      <c r="AK19" s="51"/>
      <c r="AL19" s="51"/>
      <c r="AM19" s="22"/>
      <c r="AN19" s="64">
        <f t="array" ref="AN19">IFERROR(INDEX(Calc!$H$23:$H$26,MATCH(3,Calc!$J$23:$J$26,0)),0)</f>
        <v>4</v>
      </c>
      <c r="AO19" s="64">
        <f t="array" ref="AO19">IFERROR(INDEX(Calc!$K$23:$K$26,MATCH(3,Calc!$J$23:$J$26,0)),0)</f>
        <v>3</v>
      </c>
      <c r="AP19" s="64">
        <f t="array" ref="AP19">IFERROR(INDEX(Calc!$C$23:$C$26,MATCH(3,Calc!$J$23:$J$26,0)),0)</f>
        <v>1</v>
      </c>
      <c r="AQ19" s="64">
        <f t="array" ref="AQ19">IFERROR(INDEX(Calc!$D$23:$D$26,MATCH(3,Calc!$J$23:$J$26,0)),0)</f>
        <v>1</v>
      </c>
      <c r="AR19" s="64">
        <f t="array" ref="AR19">IFERROR(INDEX(Calc!$L$23:$L$26,MATCH(3,Calc!$J$23:$J$26,0)),0)</f>
        <v>1</v>
      </c>
      <c r="AS19" s="64">
        <f t="array" ref="AS19">IFERROR(INDEX(Calc!$E$23:$E$26,MATCH(3,Calc!$J$23:$J$26,0)),0)</f>
        <v>3</v>
      </c>
      <c r="AT19" s="64">
        <f t="array" ref="AT19">IFERROR(INDEX(Calc!$F$23:$F$26,MATCH(3,Calc!$J$23:$J$26,0)),0)</f>
        <v>3</v>
      </c>
      <c r="AU19" s="64">
        <f t="array" ref="AU19">IFERROR(INDEX(Calc!$G$23:$G$26,MATCH(3,Calc!$J$23:$J$26,0)),0)</f>
        <v>0</v>
      </c>
      <c r="AV19" s="64">
        <f t="array" ref="AV19">IFERROR(ROUND(INDEX(Calc!$H$23:$H$26,MATCH(3,Calc!$J$23:$J$26,0))/(INDEX(Calc!$K$23:$K$26,MATCH(3,Calc!$J$23:$J$26,0))*3)*100,0),0)</f>
        <v>44</v>
      </c>
    </row>
    <row r="20" ht="18.0" customHeight="1">
      <c r="A20" s="65">
        <v>4.0</v>
      </c>
      <c r="B20" s="66" t="str">
        <f t="array" ref="B20">IFERROR(INDEX(Calc!$B$15:$B$18,MATCH(4,Calc!$J$15:$J$18,0)),"?")</f>
        <v>Estados Unidos</v>
      </c>
      <c r="C20" s="51"/>
      <c r="D20" s="51"/>
      <c r="E20" s="51"/>
      <c r="F20" s="51"/>
      <c r="G20" s="22"/>
      <c r="H20" s="67">
        <f t="array" ref="H20">IFERROR(INDEX(Calc!$H$15:$H$18,MATCH(4,Calc!$J$15:$J$18,0)),0)</f>
        <v>2</v>
      </c>
      <c r="I20" s="67">
        <f t="array" ref="I20">IFERROR(INDEX(Calc!$K$15:$K$18,MATCH(4,Calc!$J$15:$J$18,0)),0)</f>
        <v>3</v>
      </c>
      <c r="J20" s="67">
        <f t="array" ref="J20">IFERROR(INDEX(Calc!$C$15:$C$18,MATCH(4,Calc!$J$15:$J$18,0)),0)</f>
        <v>0</v>
      </c>
      <c r="K20" s="67">
        <f t="array" ref="K20">IFERROR(INDEX(Calc!$D$15:$D$18,MATCH(4,Calc!$J$15:$J$18,0)),0)</f>
        <v>2</v>
      </c>
      <c r="L20" s="67">
        <f t="array" ref="L20">IFERROR(INDEX(Calc!$L$15:$L$18,MATCH(4,Calc!$J$15:$J$18,0)),0)</f>
        <v>1</v>
      </c>
      <c r="M20" s="67">
        <f t="array" ref="M20">IFERROR(INDEX(Calc!$E$15:$E$18,MATCH(4,Calc!$J$15:$J$18,0)),0)</f>
        <v>2</v>
      </c>
      <c r="N20" s="67">
        <f t="array" ref="N20">IFERROR(INDEX(Calc!$F$15:$F$18,MATCH(4,Calc!$J$15:$J$18,0)),0)</f>
        <v>3</v>
      </c>
      <c r="O20" s="67">
        <f t="array" ref="O20">IFERROR(INDEX(Calc!$G$15:$G$18,MATCH(4,Calc!$J$15:$J$18,0)),0)</f>
        <v>-1</v>
      </c>
      <c r="P20" s="67">
        <f t="array" ref="P20">IFERROR(ROUND(INDEX(Calc!$H$15:$H$18,MATCH(4,Calc!$J$15:$J$18,0))/(INDEX(Calc!$K$15:$K$18,MATCH(4,Calc!$J$15:$J$18,0))*3)*100,0),0)</f>
        <v>22</v>
      </c>
      <c r="Q20" s="65">
        <v>4.0</v>
      </c>
      <c r="R20" s="66" t="str">
        <f t="array" ref="R20">IFERROR(INDEX(Calc!$B$19:$B$22,MATCH(4,Calc!$J$19:$J$22,0)),"?")</f>
        <v>Curacao</v>
      </c>
      <c r="S20" s="51"/>
      <c r="T20" s="51"/>
      <c r="U20" s="51"/>
      <c r="V20" s="51"/>
      <c r="W20" s="22"/>
      <c r="X20" s="67">
        <f t="array" ref="X20">IFERROR(INDEX(Calc!$H$19:$H$22,MATCH(4,Calc!$J$19:$J$22,0)),0)</f>
        <v>1</v>
      </c>
      <c r="Y20" s="67">
        <f t="array" ref="Y20">IFERROR(INDEX(Calc!$K$19:$K$22,MATCH(4,Calc!$J$19:$J$22,0)),0)</f>
        <v>3</v>
      </c>
      <c r="Z20" s="67">
        <f t="array" ref="Z20">IFERROR(INDEX(Calc!$C$19:$C$22,MATCH(4,Calc!$J$19:$J$22,0)),0)</f>
        <v>0</v>
      </c>
      <c r="AA20" s="67">
        <f t="array" ref="AA20">IFERROR(INDEX(Calc!$D$19:$D$22,MATCH(4,Calc!$J$19:$J$22,0)),0)</f>
        <v>1</v>
      </c>
      <c r="AB20" s="67">
        <f t="array" ref="AB20">IFERROR(INDEX(Calc!$L$19:$L$22,MATCH(4,Calc!$J$19:$J$22,0)),0)</f>
        <v>2</v>
      </c>
      <c r="AC20" s="67">
        <f t="array" ref="AC20">IFERROR(INDEX(Calc!$E$19:$E$22,MATCH(4,Calc!$J$19:$J$22,0)),0)</f>
        <v>0</v>
      </c>
      <c r="AD20" s="67">
        <f t="array" ref="AD20">IFERROR(INDEX(Calc!$F$19:$F$22,MATCH(4,Calc!$J$19:$J$22,0)),0)</f>
        <v>5</v>
      </c>
      <c r="AE20" s="67">
        <f t="array" ref="AE20">IFERROR(INDEX(Calc!$G$19:$G$22,MATCH(4,Calc!$J$19:$J$22,0)),0)</f>
        <v>-5</v>
      </c>
      <c r="AF20" s="67">
        <f t="array" ref="AF20">IFERROR(ROUND(INDEX(Calc!$H$19:$H$22,MATCH(4,Calc!$J$19:$J$22,0))/(INDEX(Calc!$K$19:$K$22,MATCH(4,Calc!$J$19:$J$22,0))*3)*100,0),0)</f>
        <v>11</v>
      </c>
      <c r="AG20" s="65">
        <v>4.0</v>
      </c>
      <c r="AH20" s="66" t="str">
        <f t="array" ref="AH20">IFERROR(INDEX(Calc!$B$23:$B$26,MATCH(4,Calc!$J$23:$J$26,0)),"?")</f>
        <v>Tunisia</v>
      </c>
      <c r="AI20" s="51"/>
      <c r="AJ20" s="51"/>
      <c r="AK20" s="51"/>
      <c r="AL20" s="51"/>
      <c r="AM20" s="22"/>
      <c r="AN20" s="67">
        <f t="array" ref="AN20">IFERROR(INDEX(Calc!$H$23:$H$26,MATCH(4,Calc!$J$23:$J$26,0)),0)</f>
        <v>0</v>
      </c>
      <c r="AO20" s="67">
        <f t="array" ref="AO20">IFERROR(INDEX(Calc!$K$23:$K$26,MATCH(4,Calc!$J$23:$J$26,0)),0)</f>
        <v>3</v>
      </c>
      <c r="AP20" s="67">
        <f t="array" ref="AP20">IFERROR(INDEX(Calc!$C$23:$C$26,MATCH(4,Calc!$J$23:$J$26,0)),0)</f>
        <v>0</v>
      </c>
      <c r="AQ20" s="67">
        <f t="array" ref="AQ20">IFERROR(INDEX(Calc!$D$23:$D$26,MATCH(4,Calc!$J$23:$J$26,0)),0)</f>
        <v>0</v>
      </c>
      <c r="AR20" s="67">
        <f t="array" ref="AR20">IFERROR(INDEX(Calc!$L$23:$L$26,MATCH(4,Calc!$J$23:$J$26,0)),0)</f>
        <v>3</v>
      </c>
      <c r="AS20" s="67">
        <f t="array" ref="AS20">IFERROR(INDEX(Calc!$E$23:$E$26,MATCH(4,Calc!$J$23:$J$26,0)),0)</f>
        <v>2</v>
      </c>
      <c r="AT20" s="67">
        <f t="array" ref="AT20">IFERROR(INDEX(Calc!$F$23:$F$26,MATCH(4,Calc!$J$23:$J$26,0)),0)</f>
        <v>6</v>
      </c>
      <c r="AU20" s="67">
        <f t="array" ref="AU20">IFERROR(INDEX(Calc!$G$23:$G$26,MATCH(4,Calc!$J$23:$J$26,0)),0)</f>
        <v>-4</v>
      </c>
      <c r="AV20" s="67">
        <f t="array" ref="AV20">IFERROR(ROUND(INDEX(Calc!$H$23:$H$26,MATCH(4,Calc!$J$23:$J$26,0))/(INDEX(Calc!$K$23:$K$26,MATCH(4,Calc!$J$23:$J$26,0))*3)*100,0),0)</f>
        <v>0</v>
      </c>
    </row>
    <row r="21" ht="15.75" customHeight="1"/>
    <row r="22" ht="21.75" customHeight="1">
      <c r="A22" s="71" t="s">
        <v>171</v>
      </c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22"/>
      <c r="Q22" s="72" t="s">
        <v>172</v>
      </c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22"/>
      <c r="AG22" s="73" t="s">
        <v>173</v>
      </c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22"/>
    </row>
    <row r="23" ht="18.0" customHeight="1">
      <c r="A23" s="54" t="s">
        <v>157</v>
      </c>
      <c r="B23" s="55" t="s">
        <v>158</v>
      </c>
      <c r="C23" s="51"/>
      <c r="D23" s="51"/>
      <c r="E23" s="51"/>
      <c r="F23" s="51"/>
      <c r="G23" s="22"/>
      <c r="H23" s="54" t="s">
        <v>159</v>
      </c>
      <c r="I23" s="54" t="s">
        <v>160</v>
      </c>
      <c r="J23" s="54" t="s">
        <v>161</v>
      </c>
      <c r="K23" s="54" t="s">
        <v>162</v>
      </c>
      <c r="L23" s="54" t="s">
        <v>163</v>
      </c>
      <c r="M23" s="54" t="s">
        <v>164</v>
      </c>
      <c r="N23" s="54" t="s">
        <v>165</v>
      </c>
      <c r="O23" s="54" t="s">
        <v>166</v>
      </c>
      <c r="P23" s="54" t="s">
        <v>167</v>
      </c>
      <c r="Q23" s="54" t="s">
        <v>157</v>
      </c>
      <c r="R23" s="55" t="s">
        <v>158</v>
      </c>
      <c r="S23" s="51"/>
      <c r="T23" s="51"/>
      <c r="U23" s="51"/>
      <c r="V23" s="51"/>
      <c r="W23" s="22"/>
      <c r="X23" s="54" t="s">
        <v>159</v>
      </c>
      <c r="Y23" s="54" t="s">
        <v>160</v>
      </c>
      <c r="Z23" s="54" t="s">
        <v>161</v>
      </c>
      <c r="AA23" s="54" t="s">
        <v>162</v>
      </c>
      <c r="AB23" s="54" t="s">
        <v>163</v>
      </c>
      <c r="AC23" s="54" t="s">
        <v>164</v>
      </c>
      <c r="AD23" s="54" t="s">
        <v>165</v>
      </c>
      <c r="AE23" s="54" t="s">
        <v>166</v>
      </c>
      <c r="AF23" s="54" t="s">
        <v>167</v>
      </c>
      <c r="AG23" s="54" t="s">
        <v>157</v>
      </c>
      <c r="AH23" s="55" t="s">
        <v>158</v>
      </c>
      <c r="AI23" s="51"/>
      <c r="AJ23" s="51"/>
      <c r="AK23" s="51"/>
      <c r="AL23" s="51"/>
      <c r="AM23" s="22"/>
      <c r="AN23" s="54" t="s">
        <v>159</v>
      </c>
      <c r="AO23" s="54" t="s">
        <v>160</v>
      </c>
      <c r="AP23" s="54" t="s">
        <v>161</v>
      </c>
      <c r="AQ23" s="54" t="s">
        <v>162</v>
      </c>
      <c r="AR23" s="54" t="s">
        <v>163</v>
      </c>
      <c r="AS23" s="54" t="s">
        <v>164</v>
      </c>
      <c r="AT23" s="54" t="s">
        <v>165</v>
      </c>
      <c r="AU23" s="54" t="s">
        <v>166</v>
      </c>
      <c r="AV23" s="54" t="s">
        <v>167</v>
      </c>
    </row>
    <row r="24" ht="18.0" customHeight="1">
      <c r="A24" s="56">
        <v>1.0</v>
      </c>
      <c r="B24" s="57" t="str">
        <f t="array" ref="B24">IFERROR(INDEX(Calc!$B$27:$B$30,MATCH(1,Calc!$J$27:$J$30,0)),"?")</f>
        <v>Belgica</v>
      </c>
      <c r="C24" s="51"/>
      <c r="D24" s="51"/>
      <c r="E24" s="51"/>
      <c r="F24" s="51"/>
      <c r="G24" s="22"/>
      <c r="H24" s="58">
        <f t="array" ref="H24">IFERROR(INDEX(Calc!$H$27:$H$30,MATCH(1,Calc!$J$27:$J$30,0)),0)</f>
        <v>7</v>
      </c>
      <c r="I24" s="58">
        <f t="array" ref="I24">IFERROR(INDEX(Calc!$K$27:$K$30,MATCH(1,Calc!$J$27:$J$30,0)),0)</f>
        <v>3</v>
      </c>
      <c r="J24" s="58">
        <f t="array" ref="J24">IFERROR(INDEX(Calc!$C$27:$C$30,MATCH(1,Calc!$J$27:$J$30,0)),0)</f>
        <v>2</v>
      </c>
      <c r="K24" s="58">
        <f t="array" ref="K24">IFERROR(INDEX(Calc!$D$27:$D$30,MATCH(1,Calc!$J$27:$J$30,0)),0)</f>
        <v>1</v>
      </c>
      <c r="L24" s="58">
        <f t="array" ref="L24">IFERROR(INDEX(Calc!$L$27:$L$30,MATCH(1,Calc!$J$27:$J$30,0)),0)</f>
        <v>0</v>
      </c>
      <c r="M24" s="58">
        <f t="array" ref="M24">IFERROR(INDEX(Calc!$E$27:$E$30,MATCH(1,Calc!$J$27:$J$30,0)),0)</f>
        <v>6</v>
      </c>
      <c r="N24" s="58">
        <f t="array" ref="N24">IFERROR(INDEX(Calc!$F$27:$F$30,MATCH(1,Calc!$J$27:$J$30,0)),0)</f>
        <v>3</v>
      </c>
      <c r="O24" s="58">
        <f t="array" ref="O24">IFERROR(INDEX(Calc!$G$27:$G$30,MATCH(1,Calc!$J$27:$J$30,0)),0)</f>
        <v>3</v>
      </c>
      <c r="P24" s="58">
        <f t="array" ref="P24">IFERROR(ROUND(INDEX(Calc!$H$27:$H$30,MATCH(1,Calc!$J$27:$J$30,0))/(INDEX(Calc!$K$27:$K$30,MATCH(1,Calc!$J$27:$J$30,0))*3)*100,0),0)</f>
        <v>78</v>
      </c>
      <c r="Q24" s="56">
        <v>1.0</v>
      </c>
      <c r="R24" s="57" t="str">
        <f t="array" ref="R24">IFERROR(INDEX(Calc!$B$31:$B$34,MATCH(1,Calc!$J$31:$J$34,0)),"?")</f>
        <v>Espanha</v>
      </c>
      <c r="S24" s="51"/>
      <c r="T24" s="51"/>
      <c r="U24" s="51"/>
      <c r="V24" s="51"/>
      <c r="W24" s="22"/>
      <c r="X24" s="58">
        <f t="array" ref="X24">IFERROR(INDEX(Calc!$H$31:$H$34,MATCH(1,Calc!$J$31:$J$34,0)),0)</f>
        <v>7</v>
      </c>
      <c r="Y24" s="58">
        <f t="array" ref="Y24">IFERROR(INDEX(Calc!$K$31:$K$34,MATCH(1,Calc!$J$31:$J$34,0)),0)</f>
        <v>3</v>
      </c>
      <c r="Z24" s="58">
        <f t="array" ref="Z24">IFERROR(INDEX(Calc!$C$31:$C$34,MATCH(1,Calc!$J$31:$J$34,0)),0)</f>
        <v>2</v>
      </c>
      <c r="AA24" s="58">
        <f t="array" ref="AA24">IFERROR(INDEX(Calc!$D$31:$D$34,MATCH(1,Calc!$J$31:$J$34,0)),0)</f>
        <v>1</v>
      </c>
      <c r="AB24" s="58">
        <f t="array" ref="AB24">IFERROR(INDEX(Calc!$L$31:$L$34,MATCH(1,Calc!$J$31:$J$34,0)),0)</f>
        <v>0</v>
      </c>
      <c r="AC24" s="58">
        <f t="array" ref="AC24">IFERROR(INDEX(Calc!$E$31:$E$34,MATCH(1,Calc!$J$31:$J$34,0)),0)</f>
        <v>7</v>
      </c>
      <c r="AD24" s="58">
        <f t="array" ref="AD24">IFERROR(INDEX(Calc!$F$31:$F$34,MATCH(1,Calc!$J$31:$J$34,0)),0)</f>
        <v>3</v>
      </c>
      <c r="AE24" s="58">
        <f t="array" ref="AE24">IFERROR(INDEX(Calc!$G$31:$G$34,MATCH(1,Calc!$J$31:$J$34,0)),0)</f>
        <v>4</v>
      </c>
      <c r="AF24" s="58">
        <f t="array" ref="AF24">IFERROR(ROUND(INDEX(Calc!$H$31:$H$34,MATCH(1,Calc!$J$31:$J$34,0))/(INDEX(Calc!$K$31:$K$34,MATCH(1,Calc!$J$31:$J$34,0))*3)*100,0),0)</f>
        <v>78</v>
      </c>
      <c r="AG24" s="56">
        <v>1.0</v>
      </c>
      <c r="AH24" s="57" t="str">
        <f t="array" ref="AH24">IFERROR(INDEX(Calc!$B$35:$B$38,MATCH(1,Calc!$J$35:$J$38,0)),"?")</f>
        <v>Franca</v>
      </c>
      <c r="AI24" s="51"/>
      <c r="AJ24" s="51"/>
      <c r="AK24" s="51"/>
      <c r="AL24" s="51"/>
      <c r="AM24" s="22"/>
      <c r="AN24" s="58">
        <f t="array" ref="AN24">IFERROR(INDEX(Calc!$H$35:$H$38,MATCH(1,Calc!$J$35:$J$38,0)),0)</f>
        <v>9</v>
      </c>
      <c r="AO24" s="58">
        <f t="array" ref="AO24">IFERROR(INDEX(Calc!$K$35:$K$38,MATCH(1,Calc!$J$35:$J$38,0)),0)</f>
        <v>3</v>
      </c>
      <c r="AP24" s="58">
        <f t="array" ref="AP24">IFERROR(INDEX(Calc!$C$35:$C$38,MATCH(1,Calc!$J$35:$J$38,0)),0)</f>
        <v>3</v>
      </c>
      <c r="AQ24" s="58">
        <f t="array" ref="AQ24">IFERROR(INDEX(Calc!$D$35:$D$38,MATCH(1,Calc!$J$35:$J$38,0)),0)</f>
        <v>0</v>
      </c>
      <c r="AR24" s="58">
        <f t="array" ref="AR24">IFERROR(INDEX(Calc!$L$35:$L$38,MATCH(1,Calc!$J$35:$J$38,0)),0)</f>
        <v>0</v>
      </c>
      <c r="AS24" s="58">
        <f t="array" ref="AS24">IFERROR(INDEX(Calc!$E$35:$E$38,MATCH(1,Calc!$J$35:$J$38,0)),0)</f>
        <v>7</v>
      </c>
      <c r="AT24" s="58">
        <f t="array" ref="AT24">IFERROR(INDEX(Calc!$F$35:$F$38,MATCH(1,Calc!$J$35:$J$38,0)),0)</f>
        <v>1</v>
      </c>
      <c r="AU24" s="58">
        <f t="array" ref="AU24">IFERROR(INDEX(Calc!$G$35:$G$38,MATCH(1,Calc!$J$35:$J$38,0)),0)</f>
        <v>6</v>
      </c>
      <c r="AV24" s="58">
        <f t="array" ref="AV24">IFERROR(ROUND(INDEX(Calc!$H$35:$H$38,MATCH(1,Calc!$J$35:$J$38,0))/(INDEX(Calc!$K$35:$K$38,MATCH(1,Calc!$J$35:$J$38,0))*3)*100,0),0)</f>
        <v>100</v>
      </c>
    </row>
    <row r="25" ht="18.0" customHeight="1">
      <c r="A25" s="59">
        <v>2.0</v>
      </c>
      <c r="B25" s="60" t="str">
        <f t="array" ref="B25">IFERROR(INDEX(Calc!$B$27:$B$30,MATCH(2,Calc!$J$27:$J$30,0)),"?")</f>
        <v>Egito</v>
      </c>
      <c r="C25" s="51"/>
      <c r="D25" s="51"/>
      <c r="E25" s="51"/>
      <c r="F25" s="51"/>
      <c r="G25" s="22"/>
      <c r="H25" s="61">
        <f t="array" ref="H25">IFERROR(INDEX(Calc!$H$27:$H$30,MATCH(2,Calc!$J$27:$J$30,0)),0)</f>
        <v>3</v>
      </c>
      <c r="I25" s="61">
        <f t="array" ref="I25">IFERROR(INDEX(Calc!$K$27:$K$30,MATCH(2,Calc!$J$27:$J$30,0)),0)</f>
        <v>3</v>
      </c>
      <c r="J25" s="61">
        <f t="array" ref="J25">IFERROR(INDEX(Calc!$C$27:$C$30,MATCH(2,Calc!$J$27:$J$30,0)),0)</f>
        <v>0</v>
      </c>
      <c r="K25" s="61">
        <f t="array" ref="K25">IFERROR(INDEX(Calc!$D$27:$D$30,MATCH(2,Calc!$J$27:$J$30,0)),0)</f>
        <v>3</v>
      </c>
      <c r="L25" s="61">
        <f t="array" ref="L25">IFERROR(INDEX(Calc!$L$27:$L$30,MATCH(2,Calc!$J$27:$J$30,0)),0)</f>
        <v>0</v>
      </c>
      <c r="M25" s="61">
        <f t="array" ref="M25">IFERROR(INDEX(Calc!$E$27:$E$30,MATCH(2,Calc!$J$27:$J$30,0)),0)</f>
        <v>3</v>
      </c>
      <c r="N25" s="61">
        <f t="array" ref="N25">IFERROR(INDEX(Calc!$F$27:$F$30,MATCH(2,Calc!$J$27:$J$30,0)),0)</f>
        <v>3</v>
      </c>
      <c r="O25" s="61">
        <f t="array" ref="O25">IFERROR(INDEX(Calc!$G$27:$G$30,MATCH(2,Calc!$J$27:$J$30,0)),0)</f>
        <v>0</v>
      </c>
      <c r="P25" s="61">
        <f t="array" ref="P25">IFERROR(ROUND(INDEX(Calc!$H$27:$H$30,MATCH(2,Calc!$J$27:$J$30,0))/(INDEX(Calc!$K$27:$K$30,MATCH(2,Calc!$J$27:$J$30,0))*3)*100,0),0)</f>
        <v>33</v>
      </c>
      <c r="Q25" s="59">
        <v>2.0</v>
      </c>
      <c r="R25" s="60" t="str">
        <f t="array" ref="R25">IFERROR(INDEX(Calc!$B$31:$B$34,MATCH(2,Calc!$J$31:$J$34,0)),"?")</f>
        <v>Uruguai</v>
      </c>
      <c r="S25" s="51"/>
      <c r="T25" s="51"/>
      <c r="U25" s="51"/>
      <c r="V25" s="51"/>
      <c r="W25" s="22"/>
      <c r="X25" s="61">
        <f t="array" ref="X25">IFERROR(INDEX(Calc!$H$31:$H$34,MATCH(2,Calc!$J$31:$J$34,0)),0)</f>
        <v>7</v>
      </c>
      <c r="Y25" s="61">
        <f t="array" ref="Y25">IFERROR(INDEX(Calc!$K$31:$K$34,MATCH(2,Calc!$J$31:$J$34,0)),0)</f>
        <v>3</v>
      </c>
      <c r="Z25" s="61">
        <f t="array" ref="Z25">IFERROR(INDEX(Calc!$C$31:$C$34,MATCH(2,Calc!$J$31:$J$34,0)),0)</f>
        <v>2</v>
      </c>
      <c r="AA25" s="61">
        <f t="array" ref="AA25">IFERROR(INDEX(Calc!$D$31:$D$34,MATCH(2,Calc!$J$31:$J$34,0)),0)</f>
        <v>1</v>
      </c>
      <c r="AB25" s="61">
        <f t="array" ref="AB25">IFERROR(INDEX(Calc!$L$31:$L$34,MATCH(2,Calc!$J$31:$J$34,0)),0)</f>
        <v>0</v>
      </c>
      <c r="AC25" s="61">
        <f t="array" ref="AC25">IFERROR(INDEX(Calc!$E$31:$E$34,MATCH(2,Calc!$J$31:$J$34,0)),0)</f>
        <v>7</v>
      </c>
      <c r="AD25" s="61">
        <f t="array" ref="AD25">IFERROR(INDEX(Calc!$F$31:$F$34,MATCH(2,Calc!$J$31:$J$34,0)),0)</f>
        <v>3</v>
      </c>
      <c r="AE25" s="61">
        <f t="array" ref="AE25">IFERROR(INDEX(Calc!$G$31:$G$34,MATCH(2,Calc!$J$31:$J$34,0)),0)</f>
        <v>4</v>
      </c>
      <c r="AF25" s="61">
        <f t="array" ref="AF25">IFERROR(ROUND(INDEX(Calc!$H$31:$H$34,MATCH(2,Calc!$J$31:$J$34,0))/(INDEX(Calc!$K$31:$K$34,MATCH(2,Calc!$J$31:$J$34,0))*3)*100,0),0)</f>
        <v>78</v>
      </c>
      <c r="AG25" s="59">
        <v>2.0</v>
      </c>
      <c r="AH25" s="60" t="str">
        <f t="array" ref="AH25">IFERROR(INDEX(Calc!$B$35:$B$38,MATCH(2,Calc!$J$35:$J$38,0)),"?")</f>
        <v>Noruega</v>
      </c>
      <c r="AI25" s="51"/>
      <c r="AJ25" s="51"/>
      <c r="AK25" s="51"/>
      <c r="AL25" s="51"/>
      <c r="AM25" s="22"/>
      <c r="AN25" s="61">
        <f t="array" ref="AN25">IFERROR(INDEX(Calc!$H$35:$H$38,MATCH(2,Calc!$J$35:$J$38,0)),0)</f>
        <v>2</v>
      </c>
      <c r="AO25" s="61">
        <f t="array" ref="AO25">IFERROR(INDEX(Calc!$K$35:$K$38,MATCH(2,Calc!$J$35:$J$38,0)),0)</f>
        <v>3</v>
      </c>
      <c r="AP25" s="61">
        <f t="array" ref="AP25">IFERROR(INDEX(Calc!$C$35:$C$38,MATCH(2,Calc!$J$35:$J$38,0)),0)</f>
        <v>0</v>
      </c>
      <c r="AQ25" s="61">
        <f t="array" ref="AQ25">IFERROR(INDEX(Calc!$D$35:$D$38,MATCH(2,Calc!$J$35:$J$38,0)),0)</f>
        <v>2</v>
      </c>
      <c r="AR25" s="61">
        <f t="array" ref="AR25">IFERROR(INDEX(Calc!$L$35:$L$38,MATCH(2,Calc!$J$35:$J$38,0)),0)</f>
        <v>1</v>
      </c>
      <c r="AS25" s="61">
        <f t="array" ref="AS25">IFERROR(INDEX(Calc!$E$35:$E$38,MATCH(2,Calc!$J$35:$J$38,0)),0)</f>
        <v>2</v>
      </c>
      <c r="AT25" s="61">
        <f t="array" ref="AT25">IFERROR(INDEX(Calc!$F$35:$F$38,MATCH(2,Calc!$J$35:$J$38,0)),0)</f>
        <v>3</v>
      </c>
      <c r="AU25" s="61">
        <f t="array" ref="AU25">IFERROR(INDEX(Calc!$G$35:$G$38,MATCH(2,Calc!$J$35:$J$38,0)),0)</f>
        <v>-1</v>
      </c>
      <c r="AV25" s="61">
        <f t="array" ref="AV25">IFERROR(ROUND(INDEX(Calc!$H$35:$H$38,MATCH(2,Calc!$J$35:$J$38,0))/(INDEX(Calc!$K$35:$K$38,MATCH(2,Calc!$J$35:$J$38,0))*3)*100,0),0)</f>
        <v>22</v>
      </c>
    </row>
    <row r="26" ht="18.0" customHeight="1">
      <c r="A26" s="62">
        <v>3.0</v>
      </c>
      <c r="B26" s="63" t="str">
        <f t="array" ref="B26">IFERROR(INDEX(Calc!$B$27:$B$30,MATCH(3,Calc!$J$27:$J$30,0)),"?")</f>
        <v>Nova Zelandia</v>
      </c>
      <c r="C26" s="51"/>
      <c r="D26" s="51"/>
      <c r="E26" s="51"/>
      <c r="F26" s="51"/>
      <c r="G26" s="22"/>
      <c r="H26" s="64">
        <f t="array" ref="H26">IFERROR(INDEX(Calc!$H$27:$H$30,MATCH(3,Calc!$J$27:$J$30,0)),0)</f>
        <v>2</v>
      </c>
      <c r="I26" s="64">
        <f t="array" ref="I26">IFERROR(INDEX(Calc!$K$27:$K$30,MATCH(3,Calc!$J$27:$J$30,0)),0)</f>
        <v>3</v>
      </c>
      <c r="J26" s="64">
        <f t="array" ref="J26">IFERROR(INDEX(Calc!$C$27:$C$30,MATCH(3,Calc!$J$27:$J$30,0)),0)</f>
        <v>0</v>
      </c>
      <c r="K26" s="64">
        <f t="array" ref="K26">IFERROR(INDEX(Calc!$D$27:$D$30,MATCH(3,Calc!$J$27:$J$30,0)),0)</f>
        <v>2</v>
      </c>
      <c r="L26" s="64">
        <f t="array" ref="L26">IFERROR(INDEX(Calc!$L$27:$L$30,MATCH(3,Calc!$J$27:$J$30,0)),0)</f>
        <v>1</v>
      </c>
      <c r="M26" s="64">
        <f t="array" ref="M26">IFERROR(INDEX(Calc!$E$27:$E$30,MATCH(3,Calc!$J$27:$J$30,0)),0)</f>
        <v>3</v>
      </c>
      <c r="N26" s="64">
        <f t="array" ref="N26">IFERROR(INDEX(Calc!$F$27:$F$30,MATCH(3,Calc!$J$27:$J$30,0)),0)</f>
        <v>4</v>
      </c>
      <c r="O26" s="64">
        <f t="array" ref="O26">IFERROR(INDEX(Calc!$G$27:$G$30,MATCH(3,Calc!$J$27:$J$30,0)),0)</f>
        <v>-1</v>
      </c>
      <c r="P26" s="64">
        <f t="array" ref="P26">IFERROR(ROUND(INDEX(Calc!$H$27:$H$30,MATCH(3,Calc!$J$27:$J$30,0))/(INDEX(Calc!$K$27:$K$30,MATCH(3,Calc!$J$27:$J$30,0))*3)*100,0),0)</f>
        <v>22</v>
      </c>
      <c r="Q26" s="62">
        <v>3.0</v>
      </c>
      <c r="R26" s="63" t="str">
        <f t="array" ref="R26">IFERROR(INDEX(Calc!$B$31:$B$34,MATCH(3,Calc!$J$31:$J$34,0)),"?")</f>
        <v>Arabia Saudita</v>
      </c>
      <c r="S26" s="51"/>
      <c r="T26" s="51"/>
      <c r="U26" s="51"/>
      <c r="V26" s="51"/>
      <c r="W26" s="22"/>
      <c r="X26" s="64">
        <f t="array" ref="X26">IFERROR(INDEX(Calc!$H$31:$H$34,MATCH(3,Calc!$J$31:$J$34,0)),0)</f>
        <v>1</v>
      </c>
      <c r="Y26" s="64">
        <f t="array" ref="Y26">IFERROR(INDEX(Calc!$K$31:$K$34,MATCH(3,Calc!$J$31:$J$34,0)),0)</f>
        <v>3</v>
      </c>
      <c r="Z26" s="64">
        <f t="array" ref="Z26">IFERROR(INDEX(Calc!$C$31:$C$34,MATCH(3,Calc!$J$31:$J$34,0)),0)</f>
        <v>0</v>
      </c>
      <c r="AA26" s="64">
        <f t="array" ref="AA26">IFERROR(INDEX(Calc!$D$31:$D$34,MATCH(3,Calc!$J$31:$J$34,0)),0)</f>
        <v>1</v>
      </c>
      <c r="AB26" s="64">
        <f t="array" ref="AB26">IFERROR(INDEX(Calc!$L$31:$L$34,MATCH(3,Calc!$J$31:$J$34,0)),0)</f>
        <v>2</v>
      </c>
      <c r="AC26" s="64">
        <f t="array" ref="AC26">IFERROR(INDEX(Calc!$E$31:$E$34,MATCH(3,Calc!$J$31:$J$34,0)),0)</f>
        <v>3</v>
      </c>
      <c r="AD26" s="64">
        <f t="array" ref="AD26">IFERROR(INDEX(Calc!$F$31:$F$34,MATCH(3,Calc!$J$31:$J$34,0)),0)</f>
        <v>5</v>
      </c>
      <c r="AE26" s="64">
        <f t="array" ref="AE26">IFERROR(INDEX(Calc!$G$31:$G$34,MATCH(3,Calc!$J$31:$J$34,0)),0)</f>
        <v>-2</v>
      </c>
      <c r="AF26" s="64">
        <f t="array" ref="AF26">IFERROR(ROUND(INDEX(Calc!$H$31:$H$34,MATCH(3,Calc!$J$31:$J$34,0))/(INDEX(Calc!$K$31:$K$34,MATCH(3,Calc!$J$31:$J$34,0))*3)*100,0),0)</f>
        <v>11</v>
      </c>
      <c r="AG26" s="62">
        <v>3.0</v>
      </c>
      <c r="AH26" s="63" t="str">
        <f t="array" ref="AH26">IFERROR(INDEX(Calc!$B$35:$B$38,MATCH(3,Calc!$J$35:$J$38,0)),"?")</f>
        <v>Iraque</v>
      </c>
      <c r="AI26" s="51"/>
      <c r="AJ26" s="51"/>
      <c r="AK26" s="51"/>
      <c r="AL26" s="51"/>
      <c r="AM26" s="22"/>
      <c r="AN26" s="64">
        <f t="array" ref="AN26">IFERROR(INDEX(Calc!$H$35:$H$38,MATCH(3,Calc!$J$35:$J$38,0)),0)</f>
        <v>2</v>
      </c>
      <c r="AO26" s="64">
        <f t="array" ref="AO26">IFERROR(INDEX(Calc!$K$35:$K$38,MATCH(3,Calc!$J$35:$J$38,0)),0)</f>
        <v>3</v>
      </c>
      <c r="AP26" s="64">
        <f t="array" ref="AP26">IFERROR(INDEX(Calc!$C$35:$C$38,MATCH(3,Calc!$J$35:$J$38,0)),0)</f>
        <v>0</v>
      </c>
      <c r="AQ26" s="64">
        <f t="array" ref="AQ26">IFERROR(INDEX(Calc!$D$35:$D$38,MATCH(3,Calc!$J$35:$J$38,0)),0)</f>
        <v>2</v>
      </c>
      <c r="AR26" s="64">
        <f t="array" ref="AR26">IFERROR(INDEX(Calc!$L$35:$L$38,MATCH(3,Calc!$J$35:$J$38,0)),0)</f>
        <v>1</v>
      </c>
      <c r="AS26" s="64">
        <f t="array" ref="AS26">IFERROR(INDEX(Calc!$E$35:$E$38,MATCH(3,Calc!$J$35:$J$38,0)),0)</f>
        <v>1</v>
      </c>
      <c r="AT26" s="64">
        <f t="array" ref="AT26">IFERROR(INDEX(Calc!$F$35:$F$38,MATCH(3,Calc!$J$35:$J$38,0)),0)</f>
        <v>3</v>
      </c>
      <c r="AU26" s="64">
        <f t="array" ref="AU26">IFERROR(INDEX(Calc!$G$35:$G$38,MATCH(3,Calc!$J$35:$J$38,0)),0)</f>
        <v>-2</v>
      </c>
      <c r="AV26" s="64">
        <f t="array" ref="AV26">IFERROR(ROUND(INDEX(Calc!$H$35:$H$38,MATCH(3,Calc!$J$35:$J$38,0))/(INDEX(Calc!$K$35:$K$38,MATCH(3,Calc!$J$35:$J$38,0))*3)*100,0),0)</f>
        <v>22</v>
      </c>
    </row>
    <row r="27" ht="18.0" customHeight="1">
      <c r="A27" s="65">
        <v>4.0</v>
      </c>
      <c r="B27" s="66" t="str">
        <f t="array" ref="B27">IFERROR(INDEX(Calc!$B$27:$B$30,MATCH(4,Calc!$J$27:$J$30,0)),"?")</f>
        <v>Ira</v>
      </c>
      <c r="C27" s="51"/>
      <c r="D27" s="51"/>
      <c r="E27" s="51"/>
      <c r="F27" s="51"/>
      <c r="G27" s="22"/>
      <c r="H27" s="67">
        <f t="array" ref="H27">IFERROR(INDEX(Calc!$H$27:$H$30,MATCH(4,Calc!$J$27:$J$30,0)),0)</f>
        <v>2</v>
      </c>
      <c r="I27" s="67">
        <f t="array" ref="I27">IFERROR(INDEX(Calc!$K$27:$K$30,MATCH(4,Calc!$J$27:$J$30,0)),0)</f>
        <v>3</v>
      </c>
      <c r="J27" s="67">
        <f t="array" ref="J27">IFERROR(INDEX(Calc!$C$27:$C$30,MATCH(4,Calc!$J$27:$J$30,0)),0)</f>
        <v>0</v>
      </c>
      <c r="K27" s="67">
        <f t="array" ref="K27">IFERROR(INDEX(Calc!$D$27:$D$30,MATCH(4,Calc!$J$27:$J$30,0)),0)</f>
        <v>2</v>
      </c>
      <c r="L27" s="67">
        <f t="array" ref="L27">IFERROR(INDEX(Calc!$L$27:$L$30,MATCH(4,Calc!$J$27:$J$30,0)),0)</f>
        <v>1</v>
      </c>
      <c r="M27" s="67">
        <f t="array" ref="M27">IFERROR(INDEX(Calc!$E$27:$E$30,MATCH(4,Calc!$J$27:$J$30,0)),0)</f>
        <v>1</v>
      </c>
      <c r="N27" s="67">
        <f t="array" ref="N27">IFERROR(INDEX(Calc!$F$27:$F$30,MATCH(4,Calc!$J$27:$J$30,0)),0)</f>
        <v>3</v>
      </c>
      <c r="O27" s="67">
        <f t="array" ref="O27">IFERROR(INDEX(Calc!$G$27:$G$30,MATCH(4,Calc!$J$27:$J$30,0)),0)</f>
        <v>-2</v>
      </c>
      <c r="P27" s="67">
        <f t="array" ref="P27">IFERROR(ROUND(INDEX(Calc!$H$27:$H$30,MATCH(4,Calc!$J$27:$J$30,0))/(INDEX(Calc!$K$27:$K$30,MATCH(4,Calc!$J$27:$J$30,0))*3)*100,0),0)</f>
        <v>22</v>
      </c>
      <c r="Q27" s="65">
        <v>4.0</v>
      </c>
      <c r="R27" s="66" t="str">
        <f t="array" ref="R27">IFERROR(INDEX(Calc!$B$31:$B$34,MATCH(4,Calc!$J$31:$J$34,0)),"?")</f>
        <v>Cabo Verde</v>
      </c>
      <c r="S27" s="51"/>
      <c r="T27" s="51"/>
      <c r="U27" s="51"/>
      <c r="V27" s="51"/>
      <c r="W27" s="22"/>
      <c r="X27" s="67">
        <f t="array" ref="X27">IFERROR(INDEX(Calc!$H$31:$H$34,MATCH(4,Calc!$J$31:$J$34,0)),0)</f>
        <v>1</v>
      </c>
      <c r="Y27" s="67">
        <f t="array" ref="Y27">IFERROR(INDEX(Calc!$K$31:$K$34,MATCH(4,Calc!$J$31:$J$34,0)),0)</f>
        <v>3</v>
      </c>
      <c r="Z27" s="67">
        <f t="array" ref="Z27">IFERROR(INDEX(Calc!$C$31:$C$34,MATCH(4,Calc!$J$31:$J$34,0)),0)</f>
        <v>0</v>
      </c>
      <c r="AA27" s="67">
        <f t="array" ref="AA27">IFERROR(INDEX(Calc!$D$31:$D$34,MATCH(4,Calc!$J$31:$J$34,0)),0)</f>
        <v>1</v>
      </c>
      <c r="AB27" s="67">
        <f t="array" ref="AB27">IFERROR(INDEX(Calc!$L$31:$L$34,MATCH(4,Calc!$J$31:$J$34,0)),0)</f>
        <v>2</v>
      </c>
      <c r="AC27" s="67">
        <f t="array" ref="AC27">IFERROR(INDEX(Calc!$E$31:$E$34,MATCH(4,Calc!$J$31:$J$34,0)),0)</f>
        <v>1</v>
      </c>
      <c r="AD27" s="67">
        <f t="array" ref="AD27">IFERROR(INDEX(Calc!$F$31:$F$34,MATCH(4,Calc!$J$31:$J$34,0)),0)</f>
        <v>7</v>
      </c>
      <c r="AE27" s="67">
        <f t="array" ref="AE27">IFERROR(INDEX(Calc!$G$31:$G$34,MATCH(4,Calc!$J$31:$J$34,0)),0)</f>
        <v>-6</v>
      </c>
      <c r="AF27" s="67">
        <f t="array" ref="AF27">IFERROR(ROUND(INDEX(Calc!$H$31:$H$34,MATCH(4,Calc!$J$31:$J$34,0))/(INDEX(Calc!$K$31:$K$34,MATCH(4,Calc!$J$31:$J$34,0))*3)*100,0),0)</f>
        <v>11</v>
      </c>
      <c r="AG27" s="65">
        <v>4.0</v>
      </c>
      <c r="AH27" s="66" t="str">
        <f t="array" ref="AH27">IFERROR(INDEX(Calc!$B$35:$B$38,MATCH(4,Calc!$J$35:$J$38,0)),"?")</f>
        <v>Senegal</v>
      </c>
      <c r="AI27" s="51"/>
      <c r="AJ27" s="51"/>
      <c r="AK27" s="51"/>
      <c r="AL27" s="51"/>
      <c r="AM27" s="22"/>
      <c r="AN27" s="67">
        <f t="array" ref="AN27">IFERROR(INDEX(Calc!$H$35:$H$38,MATCH(4,Calc!$J$35:$J$38,0)),0)</f>
        <v>2</v>
      </c>
      <c r="AO27" s="67">
        <f t="array" ref="AO27">IFERROR(INDEX(Calc!$K$35:$K$38,MATCH(4,Calc!$J$35:$J$38,0)),0)</f>
        <v>3</v>
      </c>
      <c r="AP27" s="67">
        <f t="array" ref="AP27">IFERROR(INDEX(Calc!$C$35:$C$38,MATCH(4,Calc!$J$35:$J$38,0)),0)</f>
        <v>0</v>
      </c>
      <c r="AQ27" s="67">
        <f t="array" ref="AQ27">IFERROR(INDEX(Calc!$D$35:$D$38,MATCH(4,Calc!$J$35:$J$38,0)),0)</f>
        <v>2</v>
      </c>
      <c r="AR27" s="67">
        <f t="array" ref="AR27">IFERROR(INDEX(Calc!$L$35:$L$38,MATCH(4,Calc!$J$35:$J$38,0)),0)</f>
        <v>1</v>
      </c>
      <c r="AS27" s="67">
        <f t="array" ref="AS27">IFERROR(INDEX(Calc!$E$35:$E$38,MATCH(4,Calc!$J$35:$J$38,0)),0)</f>
        <v>2</v>
      </c>
      <c r="AT27" s="67">
        <f t="array" ref="AT27">IFERROR(INDEX(Calc!$F$35:$F$38,MATCH(4,Calc!$J$35:$J$38,0)),0)</f>
        <v>5</v>
      </c>
      <c r="AU27" s="67">
        <f t="array" ref="AU27">IFERROR(INDEX(Calc!$G$35:$G$38,MATCH(4,Calc!$J$35:$J$38,0)),0)</f>
        <v>-3</v>
      </c>
      <c r="AV27" s="67">
        <f t="array" ref="AV27">IFERROR(ROUND(INDEX(Calc!$H$35:$H$38,MATCH(4,Calc!$J$35:$J$38,0))/(INDEX(Calc!$K$35:$K$38,MATCH(4,Calc!$J$35:$J$38,0))*3)*100,0),0)</f>
        <v>22</v>
      </c>
    </row>
    <row r="28" ht="15.75" customHeight="1"/>
    <row r="29" ht="21.75" customHeight="1">
      <c r="A29" s="74" t="s">
        <v>174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22"/>
      <c r="Q29" s="75" t="s">
        <v>175</v>
      </c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22"/>
      <c r="AG29" s="76" t="s">
        <v>176</v>
      </c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22"/>
    </row>
    <row r="30" ht="18.0" customHeight="1">
      <c r="A30" s="54" t="s">
        <v>157</v>
      </c>
      <c r="B30" s="55" t="s">
        <v>158</v>
      </c>
      <c r="C30" s="51"/>
      <c r="D30" s="51"/>
      <c r="E30" s="51"/>
      <c r="F30" s="51"/>
      <c r="G30" s="22"/>
      <c r="H30" s="54" t="s">
        <v>159</v>
      </c>
      <c r="I30" s="54" t="s">
        <v>160</v>
      </c>
      <c r="J30" s="54" t="s">
        <v>161</v>
      </c>
      <c r="K30" s="54" t="s">
        <v>162</v>
      </c>
      <c r="L30" s="54" t="s">
        <v>163</v>
      </c>
      <c r="M30" s="54" t="s">
        <v>164</v>
      </c>
      <c r="N30" s="54" t="s">
        <v>165</v>
      </c>
      <c r="O30" s="54" t="s">
        <v>166</v>
      </c>
      <c r="P30" s="54" t="s">
        <v>167</v>
      </c>
      <c r="Q30" s="54" t="s">
        <v>157</v>
      </c>
      <c r="R30" s="55" t="s">
        <v>158</v>
      </c>
      <c r="S30" s="51"/>
      <c r="T30" s="51"/>
      <c r="U30" s="51"/>
      <c r="V30" s="51"/>
      <c r="W30" s="22"/>
      <c r="X30" s="54" t="s">
        <v>159</v>
      </c>
      <c r="Y30" s="54" t="s">
        <v>160</v>
      </c>
      <c r="Z30" s="54" t="s">
        <v>161</v>
      </c>
      <c r="AA30" s="54" t="s">
        <v>162</v>
      </c>
      <c r="AB30" s="54" t="s">
        <v>163</v>
      </c>
      <c r="AC30" s="54" t="s">
        <v>164</v>
      </c>
      <c r="AD30" s="54" t="s">
        <v>165</v>
      </c>
      <c r="AE30" s="54" t="s">
        <v>166</v>
      </c>
      <c r="AF30" s="54" t="s">
        <v>167</v>
      </c>
      <c r="AG30" s="54" t="s">
        <v>157</v>
      </c>
      <c r="AH30" s="55" t="s">
        <v>158</v>
      </c>
      <c r="AI30" s="51"/>
      <c r="AJ30" s="51"/>
      <c r="AK30" s="51"/>
      <c r="AL30" s="51"/>
      <c r="AM30" s="22"/>
      <c r="AN30" s="54" t="s">
        <v>159</v>
      </c>
      <c r="AO30" s="54" t="s">
        <v>160</v>
      </c>
      <c r="AP30" s="54" t="s">
        <v>161</v>
      </c>
      <c r="AQ30" s="54" t="s">
        <v>162</v>
      </c>
      <c r="AR30" s="54" t="s">
        <v>163</v>
      </c>
      <c r="AS30" s="54" t="s">
        <v>164</v>
      </c>
      <c r="AT30" s="54" t="s">
        <v>165</v>
      </c>
      <c r="AU30" s="54" t="s">
        <v>166</v>
      </c>
      <c r="AV30" s="54" t="s">
        <v>167</v>
      </c>
    </row>
    <row r="31" ht="18.0" customHeight="1">
      <c r="A31" s="56">
        <v>1.0</v>
      </c>
      <c r="B31" s="57" t="str">
        <f t="array" ref="B31">IFERROR(INDEX(Calc!$B$39:$B$42,MATCH(1,Calc!$J$39:$J$42,0)),"?")</f>
        <v>Argentina</v>
      </c>
      <c r="C31" s="51"/>
      <c r="D31" s="51"/>
      <c r="E31" s="51"/>
      <c r="F31" s="51"/>
      <c r="G31" s="22"/>
      <c r="H31" s="58">
        <f t="array" ref="H31">IFERROR(INDEX(Calc!$H$39:$H$42,MATCH(1,Calc!$J$39:$J$42,0)),0)</f>
        <v>9</v>
      </c>
      <c r="I31" s="58">
        <f t="array" ref="I31">IFERROR(INDEX(Calc!$K$39:$K$42,MATCH(1,Calc!$J$39:$J$42,0)),0)</f>
        <v>3</v>
      </c>
      <c r="J31" s="58">
        <f t="array" ref="J31">IFERROR(INDEX(Calc!$C$39:$C$42,MATCH(1,Calc!$J$39:$J$42,0)),0)</f>
        <v>3</v>
      </c>
      <c r="K31" s="58">
        <f t="array" ref="K31">IFERROR(INDEX(Calc!$D$39:$D$42,MATCH(1,Calc!$J$39:$J$42,0)),0)</f>
        <v>0</v>
      </c>
      <c r="L31" s="58">
        <f t="array" ref="L31">IFERROR(INDEX(Calc!$L$39:$L$42,MATCH(1,Calc!$J$39:$J$42,0)),0)</f>
        <v>0</v>
      </c>
      <c r="M31" s="58">
        <f t="array" ref="M31">IFERROR(INDEX(Calc!$E$39:$E$42,MATCH(1,Calc!$J$39:$J$42,0)),0)</f>
        <v>7</v>
      </c>
      <c r="N31" s="58">
        <f t="array" ref="N31">IFERROR(INDEX(Calc!$F$39:$F$42,MATCH(1,Calc!$J$39:$J$42,0)),0)</f>
        <v>0</v>
      </c>
      <c r="O31" s="58">
        <f t="array" ref="O31">IFERROR(INDEX(Calc!$G$39:$G$42,MATCH(1,Calc!$J$39:$J$42,0)),0)</f>
        <v>7</v>
      </c>
      <c r="P31" s="58">
        <f t="array" ref="P31">IFERROR(ROUND(INDEX(Calc!$H$39:$H$42,MATCH(1,Calc!$J$39:$J$42,0))/(INDEX(Calc!$K$39:$K$42,MATCH(1,Calc!$J$39:$J$42,0))*3)*100,0),0)</f>
        <v>100</v>
      </c>
      <c r="Q31" s="56">
        <v>1.0</v>
      </c>
      <c r="R31" s="57" t="str">
        <f t="array" ref="R31">IFERROR(INDEX(Calc!$B$43:$B$46,MATCH(1,Calc!$J$43:$J$46,0)),"?")</f>
        <v>Portugal</v>
      </c>
      <c r="S31" s="51"/>
      <c r="T31" s="51"/>
      <c r="U31" s="51"/>
      <c r="V31" s="51"/>
      <c r="W31" s="22"/>
      <c r="X31" s="58">
        <f t="array" ref="X31">IFERROR(INDEX(Calc!$H$43:$H$46,MATCH(1,Calc!$J$43:$J$46,0)),0)</f>
        <v>7</v>
      </c>
      <c r="Y31" s="58">
        <f t="array" ref="Y31">IFERROR(INDEX(Calc!$K$43:$K$46,MATCH(1,Calc!$J$43:$J$46,0)),0)</f>
        <v>3</v>
      </c>
      <c r="Z31" s="58">
        <f t="array" ref="Z31">IFERROR(INDEX(Calc!$C$43:$C$46,MATCH(1,Calc!$J$43:$J$46,0)),0)</f>
        <v>2</v>
      </c>
      <c r="AA31" s="58">
        <f t="array" ref="AA31">IFERROR(INDEX(Calc!$D$43:$D$46,MATCH(1,Calc!$J$43:$J$46,0)),0)</f>
        <v>1</v>
      </c>
      <c r="AB31" s="58">
        <f t="array" ref="AB31">IFERROR(INDEX(Calc!$L$43:$L$46,MATCH(1,Calc!$J$43:$J$46,0)),0)</f>
        <v>0</v>
      </c>
      <c r="AC31" s="58">
        <f t="array" ref="AC31">IFERROR(INDEX(Calc!$E$43:$E$46,MATCH(1,Calc!$J$43:$J$46,0)),0)</f>
        <v>7</v>
      </c>
      <c r="AD31" s="58">
        <f t="array" ref="AD31">IFERROR(INDEX(Calc!$F$43:$F$46,MATCH(1,Calc!$J$43:$J$46,0)),0)</f>
        <v>2</v>
      </c>
      <c r="AE31" s="58">
        <f t="array" ref="AE31">IFERROR(INDEX(Calc!$G$43:$G$46,MATCH(1,Calc!$J$43:$J$46,0)),0)</f>
        <v>5</v>
      </c>
      <c r="AF31" s="58">
        <f t="array" ref="AF31">IFERROR(ROUND(INDEX(Calc!$H$43:$H$46,MATCH(1,Calc!$J$43:$J$46,0))/(INDEX(Calc!$K$43:$K$46,MATCH(1,Calc!$J$43:$J$46,0))*3)*100,0),0)</f>
        <v>78</v>
      </c>
      <c r="AG31" s="56">
        <v>1.0</v>
      </c>
      <c r="AH31" s="57" t="str">
        <f t="array" ref="AH31">IFERROR(INDEX(Calc!$B$47:$B$50,MATCH(1,Calc!$J$47:$J$50,0)),"?")</f>
        <v>Inglaterra</v>
      </c>
      <c r="AI31" s="51"/>
      <c r="AJ31" s="51"/>
      <c r="AK31" s="51"/>
      <c r="AL31" s="51"/>
      <c r="AM31" s="22"/>
      <c r="AN31" s="58">
        <f t="array" ref="AN31">IFERROR(INDEX(Calc!$H$47:$H$50,MATCH(1,Calc!$J$47:$J$50,0)),0)</f>
        <v>9</v>
      </c>
      <c r="AO31" s="58">
        <f t="array" ref="AO31">IFERROR(INDEX(Calc!$K$47:$K$50,MATCH(1,Calc!$J$47:$J$50,0)),0)</f>
        <v>3</v>
      </c>
      <c r="AP31" s="58">
        <f t="array" ref="AP31">IFERROR(INDEX(Calc!$C$47:$C$50,MATCH(1,Calc!$J$47:$J$50,0)),0)</f>
        <v>3</v>
      </c>
      <c r="AQ31" s="58">
        <f t="array" ref="AQ31">IFERROR(INDEX(Calc!$D$47:$D$50,MATCH(1,Calc!$J$47:$J$50,0)),0)</f>
        <v>0</v>
      </c>
      <c r="AR31" s="58">
        <f t="array" ref="AR31">IFERROR(INDEX(Calc!$L$47:$L$50,MATCH(1,Calc!$J$47:$J$50,0)),0)</f>
        <v>0</v>
      </c>
      <c r="AS31" s="58">
        <f t="array" ref="AS31">IFERROR(INDEX(Calc!$E$47:$E$50,MATCH(1,Calc!$J$47:$J$50,0)),0)</f>
        <v>7</v>
      </c>
      <c r="AT31" s="58">
        <f t="array" ref="AT31">IFERROR(INDEX(Calc!$F$47:$F$50,MATCH(1,Calc!$J$47:$J$50,0)),0)</f>
        <v>0</v>
      </c>
      <c r="AU31" s="58">
        <f t="array" ref="AU31">IFERROR(INDEX(Calc!$G$47:$G$50,MATCH(1,Calc!$J$47:$J$50,0)),0)</f>
        <v>7</v>
      </c>
      <c r="AV31" s="58">
        <f t="array" ref="AV31">IFERROR(ROUND(INDEX(Calc!$H$47:$H$50,MATCH(1,Calc!$J$47:$J$50,0))/(INDEX(Calc!$K$47:$K$50,MATCH(1,Calc!$J$47:$J$50,0))*3)*100,0),0)</f>
        <v>100</v>
      </c>
    </row>
    <row r="32" ht="18.0" customHeight="1">
      <c r="A32" s="59">
        <v>2.0</v>
      </c>
      <c r="B32" s="60" t="str">
        <f t="array" ref="B32">IFERROR(INDEX(Calc!$B$39:$B$42,MATCH(2,Calc!$J$39:$J$42,0)),"?")</f>
        <v>Argelia</v>
      </c>
      <c r="C32" s="51"/>
      <c r="D32" s="51"/>
      <c r="E32" s="51"/>
      <c r="F32" s="51"/>
      <c r="G32" s="22"/>
      <c r="H32" s="61">
        <f t="array" ref="H32">IFERROR(INDEX(Calc!$H$39:$H$42,MATCH(2,Calc!$J$39:$J$42,0)),0)</f>
        <v>4</v>
      </c>
      <c r="I32" s="61">
        <f t="array" ref="I32">IFERROR(INDEX(Calc!$K$39:$K$42,MATCH(2,Calc!$J$39:$J$42,0)),0)</f>
        <v>3</v>
      </c>
      <c r="J32" s="61">
        <f t="array" ref="J32">IFERROR(INDEX(Calc!$C$39:$C$42,MATCH(2,Calc!$J$39:$J$42,0)),0)</f>
        <v>1</v>
      </c>
      <c r="K32" s="61">
        <f t="array" ref="K32">IFERROR(INDEX(Calc!$D$39:$D$42,MATCH(2,Calc!$J$39:$J$42,0)),0)</f>
        <v>1</v>
      </c>
      <c r="L32" s="61">
        <f t="array" ref="L32">IFERROR(INDEX(Calc!$L$39:$L$42,MATCH(2,Calc!$J$39:$J$42,0)),0)</f>
        <v>1</v>
      </c>
      <c r="M32" s="61">
        <f t="array" ref="M32">IFERROR(INDEX(Calc!$E$39:$E$42,MATCH(2,Calc!$J$39:$J$42,0)),0)</f>
        <v>4</v>
      </c>
      <c r="N32" s="61">
        <f t="array" ref="N32">IFERROR(INDEX(Calc!$F$39:$F$42,MATCH(2,Calc!$J$39:$J$42,0)),0)</f>
        <v>5</v>
      </c>
      <c r="O32" s="61">
        <f t="array" ref="O32">IFERROR(INDEX(Calc!$G$39:$G$42,MATCH(2,Calc!$J$39:$J$42,0)),0)</f>
        <v>-1</v>
      </c>
      <c r="P32" s="61">
        <f t="array" ref="P32">IFERROR(ROUND(INDEX(Calc!$H$39:$H$42,MATCH(2,Calc!$J$39:$J$42,0))/(INDEX(Calc!$K$39:$K$42,MATCH(2,Calc!$J$39:$J$42,0))*3)*100,0),0)</f>
        <v>44</v>
      </c>
      <c r="Q32" s="59">
        <v>2.0</v>
      </c>
      <c r="R32" s="60" t="str">
        <f t="array" ref="R32">IFERROR(INDEX(Calc!$B$43:$B$46,MATCH(2,Calc!$J$43:$J$46,0)),"?")</f>
        <v>Colombia</v>
      </c>
      <c r="S32" s="51"/>
      <c r="T32" s="51"/>
      <c r="U32" s="51"/>
      <c r="V32" s="51"/>
      <c r="W32" s="22"/>
      <c r="X32" s="61">
        <f t="array" ref="X32">IFERROR(INDEX(Calc!$H$43:$H$46,MATCH(2,Calc!$J$43:$J$46,0)),0)</f>
        <v>7</v>
      </c>
      <c r="Y32" s="61">
        <f t="array" ref="Y32">IFERROR(INDEX(Calc!$K$43:$K$46,MATCH(2,Calc!$J$43:$J$46,0)),0)</f>
        <v>3</v>
      </c>
      <c r="Z32" s="61">
        <f t="array" ref="Z32">IFERROR(INDEX(Calc!$C$43:$C$46,MATCH(2,Calc!$J$43:$J$46,0)),0)</f>
        <v>2</v>
      </c>
      <c r="AA32" s="61">
        <f t="array" ref="AA32">IFERROR(INDEX(Calc!$D$43:$D$46,MATCH(2,Calc!$J$43:$J$46,0)),0)</f>
        <v>1</v>
      </c>
      <c r="AB32" s="61">
        <f t="array" ref="AB32">IFERROR(INDEX(Calc!$L$43:$L$46,MATCH(2,Calc!$J$43:$J$46,0)),0)</f>
        <v>0</v>
      </c>
      <c r="AC32" s="61">
        <f t="array" ref="AC32">IFERROR(INDEX(Calc!$E$43:$E$46,MATCH(2,Calc!$J$43:$J$46,0)),0)</f>
        <v>6</v>
      </c>
      <c r="AD32" s="61">
        <f t="array" ref="AD32">IFERROR(INDEX(Calc!$F$43:$F$46,MATCH(2,Calc!$J$43:$J$46,0)),0)</f>
        <v>2</v>
      </c>
      <c r="AE32" s="61">
        <f t="array" ref="AE32">IFERROR(INDEX(Calc!$G$43:$G$46,MATCH(2,Calc!$J$43:$J$46,0)),0)</f>
        <v>4</v>
      </c>
      <c r="AF32" s="61">
        <f t="array" ref="AF32">IFERROR(ROUND(INDEX(Calc!$H$43:$H$46,MATCH(2,Calc!$J$43:$J$46,0))/(INDEX(Calc!$K$43:$K$46,MATCH(2,Calc!$J$43:$J$46,0))*3)*100,0),0)</f>
        <v>78</v>
      </c>
      <c r="AG32" s="59">
        <v>2.0</v>
      </c>
      <c r="AH32" s="60" t="str">
        <f t="array" ref="AH32">IFERROR(INDEX(Calc!$B$47:$B$50,MATCH(2,Calc!$J$47:$J$50,0)),"?")</f>
        <v>Croacia</v>
      </c>
      <c r="AI32" s="51"/>
      <c r="AJ32" s="51"/>
      <c r="AK32" s="51"/>
      <c r="AL32" s="51"/>
      <c r="AM32" s="22"/>
      <c r="AN32" s="61">
        <f t="array" ref="AN32">IFERROR(INDEX(Calc!$H$47:$H$50,MATCH(2,Calc!$J$47:$J$50,0)),0)</f>
        <v>4</v>
      </c>
      <c r="AO32" s="61">
        <f t="array" ref="AO32">IFERROR(INDEX(Calc!$K$47:$K$50,MATCH(2,Calc!$J$47:$J$50,0)),0)</f>
        <v>3</v>
      </c>
      <c r="AP32" s="61">
        <f t="array" ref="AP32">IFERROR(INDEX(Calc!$C$47:$C$50,MATCH(2,Calc!$J$47:$J$50,0)),0)</f>
        <v>1</v>
      </c>
      <c r="AQ32" s="61">
        <f t="array" ref="AQ32">IFERROR(INDEX(Calc!$D$47:$D$50,MATCH(2,Calc!$J$47:$J$50,0)),0)</f>
        <v>1</v>
      </c>
      <c r="AR32" s="61">
        <f t="array" ref="AR32">IFERROR(INDEX(Calc!$L$47:$L$50,MATCH(2,Calc!$J$47:$J$50,0)),0)</f>
        <v>1</v>
      </c>
      <c r="AS32" s="61">
        <f t="array" ref="AS32">IFERROR(INDEX(Calc!$E$47:$E$50,MATCH(2,Calc!$J$47:$J$50,0)),0)</f>
        <v>3</v>
      </c>
      <c r="AT32" s="61">
        <f t="array" ref="AT32">IFERROR(INDEX(Calc!$F$47:$F$50,MATCH(2,Calc!$J$47:$J$50,0)),0)</f>
        <v>4</v>
      </c>
      <c r="AU32" s="61">
        <f t="array" ref="AU32">IFERROR(INDEX(Calc!$G$47:$G$50,MATCH(2,Calc!$J$47:$J$50,0)),0)</f>
        <v>-1</v>
      </c>
      <c r="AV32" s="61">
        <f t="array" ref="AV32">IFERROR(ROUND(INDEX(Calc!$H$47:$H$50,MATCH(2,Calc!$J$47:$J$50,0))/(INDEX(Calc!$K$47:$K$50,MATCH(2,Calc!$J$47:$J$50,0))*3)*100,0),0)</f>
        <v>44</v>
      </c>
    </row>
    <row r="33" ht="18.0" customHeight="1">
      <c r="A33" s="62">
        <v>3.0</v>
      </c>
      <c r="B33" s="63" t="str">
        <f t="array" ref="B33">IFERROR(INDEX(Calc!$B$39:$B$42,MATCH(3,Calc!$J$39:$J$42,0)),"?")</f>
        <v>Jordania</v>
      </c>
      <c r="C33" s="51"/>
      <c r="D33" s="51"/>
      <c r="E33" s="51"/>
      <c r="F33" s="51"/>
      <c r="G33" s="22"/>
      <c r="H33" s="64">
        <f t="array" ref="H33">IFERROR(INDEX(Calc!$H$39:$H$42,MATCH(3,Calc!$J$39:$J$42,0)),0)</f>
        <v>2</v>
      </c>
      <c r="I33" s="64">
        <f t="array" ref="I33">IFERROR(INDEX(Calc!$K$39:$K$42,MATCH(3,Calc!$J$39:$J$42,0)),0)</f>
        <v>3</v>
      </c>
      <c r="J33" s="64">
        <f t="array" ref="J33">IFERROR(INDEX(Calc!$C$39:$C$42,MATCH(3,Calc!$J$39:$J$42,0)),0)</f>
        <v>0</v>
      </c>
      <c r="K33" s="64">
        <f t="array" ref="K33">IFERROR(INDEX(Calc!$D$39:$D$42,MATCH(3,Calc!$J$39:$J$42,0)),0)</f>
        <v>2</v>
      </c>
      <c r="L33" s="64">
        <f t="array" ref="L33">IFERROR(INDEX(Calc!$L$39:$L$42,MATCH(3,Calc!$J$39:$J$42,0)),0)</f>
        <v>1</v>
      </c>
      <c r="M33" s="64">
        <f t="array" ref="M33">IFERROR(INDEX(Calc!$E$39:$E$42,MATCH(3,Calc!$J$39:$J$42,0)),0)</f>
        <v>2</v>
      </c>
      <c r="N33" s="64">
        <f t="array" ref="N33">IFERROR(INDEX(Calc!$F$39:$F$42,MATCH(3,Calc!$J$39:$J$42,0)),0)</f>
        <v>4</v>
      </c>
      <c r="O33" s="64">
        <f t="array" ref="O33">IFERROR(INDEX(Calc!$G$39:$G$42,MATCH(3,Calc!$J$39:$J$42,0)),0)</f>
        <v>-2</v>
      </c>
      <c r="P33" s="64">
        <f t="array" ref="P33">IFERROR(ROUND(INDEX(Calc!$H$39:$H$42,MATCH(3,Calc!$J$39:$J$42,0))/(INDEX(Calc!$K$39:$K$42,MATCH(3,Calc!$J$39:$J$42,0))*3)*100,0),0)</f>
        <v>22</v>
      </c>
      <c r="Q33" s="62">
        <v>3.0</v>
      </c>
      <c r="R33" s="63" t="str">
        <f t="array" ref="R33">IFERROR(INDEX(Calc!$B$43:$B$46,MATCH(3,Calc!$J$43:$J$46,0)),"?")</f>
        <v>Uzbequistao</v>
      </c>
      <c r="S33" s="51"/>
      <c r="T33" s="51"/>
      <c r="U33" s="51"/>
      <c r="V33" s="51"/>
      <c r="W33" s="22"/>
      <c r="X33" s="64">
        <f t="array" ref="X33">IFERROR(INDEX(Calc!$H$43:$H$46,MATCH(3,Calc!$J$43:$J$46,0)),0)</f>
        <v>1</v>
      </c>
      <c r="Y33" s="64">
        <f t="array" ref="Y33">IFERROR(INDEX(Calc!$K$43:$K$46,MATCH(3,Calc!$J$43:$J$46,0)),0)</f>
        <v>3</v>
      </c>
      <c r="Z33" s="64">
        <f t="array" ref="Z33">IFERROR(INDEX(Calc!$C$43:$C$46,MATCH(3,Calc!$J$43:$J$46,0)),0)</f>
        <v>0</v>
      </c>
      <c r="AA33" s="64">
        <f t="array" ref="AA33">IFERROR(INDEX(Calc!$D$43:$D$46,MATCH(3,Calc!$J$43:$J$46,0)),0)</f>
        <v>1</v>
      </c>
      <c r="AB33" s="64">
        <f t="array" ref="AB33">IFERROR(INDEX(Calc!$L$43:$L$46,MATCH(3,Calc!$J$43:$J$46,0)),0)</f>
        <v>2</v>
      </c>
      <c r="AC33" s="64">
        <f t="array" ref="AC33">IFERROR(INDEX(Calc!$E$43:$E$46,MATCH(3,Calc!$J$43:$J$46,0)),0)</f>
        <v>0</v>
      </c>
      <c r="AD33" s="64">
        <f t="array" ref="AD33">IFERROR(INDEX(Calc!$F$43:$F$46,MATCH(3,Calc!$J$43:$J$46,0)),0)</f>
        <v>4</v>
      </c>
      <c r="AE33" s="64">
        <f t="array" ref="AE33">IFERROR(INDEX(Calc!$G$43:$G$46,MATCH(3,Calc!$J$43:$J$46,0)),0)</f>
        <v>-4</v>
      </c>
      <c r="AF33" s="64">
        <f t="array" ref="AF33">IFERROR(ROUND(INDEX(Calc!$H$43:$H$46,MATCH(3,Calc!$J$43:$J$46,0))/(INDEX(Calc!$K$43:$K$46,MATCH(3,Calc!$J$43:$J$46,0))*3)*100,0),0)</f>
        <v>11</v>
      </c>
      <c r="AG33" s="62">
        <v>3.0</v>
      </c>
      <c r="AH33" s="63" t="str">
        <f t="array" ref="AH33">IFERROR(INDEX(Calc!$B$47:$B$50,MATCH(3,Calc!$J$47:$J$50,0)),"?")</f>
        <v>Gana</v>
      </c>
      <c r="AI33" s="51"/>
      <c r="AJ33" s="51"/>
      <c r="AK33" s="51"/>
      <c r="AL33" s="51"/>
      <c r="AM33" s="22"/>
      <c r="AN33" s="64">
        <f t="array" ref="AN33">IFERROR(INDEX(Calc!$H$47:$H$50,MATCH(3,Calc!$J$47:$J$50,0)),0)</f>
        <v>2</v>
      </c>
      <c r="AO33" s="64">
        <f t="array" ref="AO33">IFERROR(INDEX(Calc!$K$47:$K$50,MATCH(3,Calc!$J$47:$J$50,0)),0)</f>
        <v>3</v>
      </c>
      <c r="AP33" s="64">
        <f t="array" ref="AP33">IFERROR(INDEX(Calc!$C$47:$C$50,MATCH(3,Calc!$J$47:$J$50,0)),0)</f>
        <v>0</v>
      </c>
      <c r="AQ33" s="64">
        <f t="array" ref="AQ33">IFERROR(INDEX(Calc!$D$47:$D$50,MATCH(3,Calc!$J$47:$J$50,0)),0)</f>
        <v>2</v>
      </c>
      <c r="AR33" s="64">
        <f t="array" ref="AR33">IFERROR(INDEX(Calc!$L$47:$L$50,MATCH(3,Calc!$J$47:$J$50,0)),0)</f>
        <v>1</v>
      </c>
      <c r="AS33" s="64">
        <f t="array" ref="AS33">IFERROR(INDEX(Calc!$E$47:$E$50,MATCH(3,Calc!$J$47:$J$50,0)),0)</f>
        <v>1</v>
      </c>
      <c r="AT33" s="64">
        <f t="array" ref="AT33">IFERROR(INDEX(Calc!$F$47:$F$50,MATCH(3,Calc!$J$47:$J$50,0)),0)</f>
        <v>3</v>
      </c>
      <c r="AU33" s="64">
        <f t="array" ref="AU33">IFERROR(INDEX(Calc!$G$47:$G$50,MATCH(3,Calc!$J$47:$J$50,0)),0)</f>
        <v>-2</v>
      </c>
      <c r="AV33" s="64">
        <f t="array" ref="AV33">IFERROR(ROUND(INDEX(Calc!$H$47:$H$50,MATCH(3,Calc!$J$47:$J$50,0))/(INDEX(Calc!$K$47:$K$50,MATCH(3,Calc!$J$47:$J$50,0))*3)*100,0),0)</f>
        <v>22</v>
      </c>
    </row>
    <row r="34" ht="18.0" customHeight="1">
      <c r="A34" s="65">
        <v>4.0</v>
      </c>
      <c r="B34" s="66" t="str">
        <f t="array" ref="B34">IFERROR(INDEX(Calc!$B$39:$B$42,MATCH(4,Calc!$J$39:$J$42,0)),"?")</f>
        <v>Austria</v>
      </c>
      <c r="C34" s="51"/>
      <c r="D34" s="51"/>
      <c r="E34" s="51"/>
      <c r="F34" s="51"/>
      <c r="G34" s="22"/>
      <c r="H34" s="67">
        <f t="array" ref="H34">IFERROR(INDEX(Calc!$H$39:$H$42,MATCH(4,Calc!$J$39:$J$42,0)),0)</f>
        <v>1</v>
      </c>
      <c r="I34" s="67">
        <f t="array" ref="I34">IFERROR(INDEX(Calc!$K$39:$K$42,MATCH(4,Calc!$J$39:$J$42,0)),0)</f>
        <v>3</v>
      </c>
      <c r="J34" s="67">
        <f t="array" ref="J34">IFERROR(INDEX(Calc!$C$39:$C$42,MATCH(4,Calc!$J$39:$J$42,0)),0)</f>
        <v>0</v>
      </c>
      <c r="K34" s="67">
        <f t="array" ref="K34">IFERROR(INDEX(Calc!$D$39:$D$42,MATCH(4,Calc!$J$39:$J$42,0)),0)</f>
        <v>1</v>
      </c>
      <c r="L34" s="67">
        <f t="array" ref="L34">IFERROR(INDEX(Calc!$L$39:$L$42,MATCH(4,Calc!$J$39:$J$42,0)),0)</f>
        <v>2</v>
      </c>
      <c r="M34" s="67">
        <f t="array" ref="M34">IFERROR(INDEX(Calc!$E$39:$E$42,MATCH(4,Calc!$J$39:$J$42,0)),0)</f>
        <v>2</v>
      </c>
      <c r="N34" s="67">
        <f t="array" ref="N34">IFERROR(INDEX(Calc!$F$39:$F$42,MATCH(4,Calc!$J$39:$J$42,0)),0)</f>
        <v>6</v>
      </c>
      <c r="O34" s="67">
        <f t="array" ref="O34">IFERROR(INDEX(Calc!$G$39:$G$42,MATCH(4,Calc!$J$39:$J$42,0)),0)</f>
        <v>-4</v>
      </c>
      <c r="P34" s="67">
        <f t="array" ref="P34">IFERROR(ROUND(INDEX(Calc!$H$39:$H$42,MATCH(4,Calc!$J$39:$J$42,0))/(INDEX(Calc!$K$39:$K$42,MATCH(4,Calc!$J$39:$J$42,0))*3)*100,0),0)</f>
        <v>11</v>
      </c>
      <c r="Q34" s="65">
        <v>4.0</v>
      </c>
      <c r="R34" s="66" t="str">
        <f t="array" ref="R34">IFERROR(INDEX(Calc!$B$43:$B$46,MATCH(4,Calc!$J$43:$J$46,0)),"?")</f>
        <v>RD Congo</v>
      </c>
      <c r="S34" s="51"/>
      <c r="T34" s="51"/>
      <c r="U34" s="51"/>
      <c r="V34" s="51"/>
      <c r="W34" s="22"/>
      <c r="X34" s="67">
        <f t="array" ref="X34">IFERROR(INDEX(Calc!$H$43:$H$46,MATCH(4,Calc!$J$43:$J$46,0)),0)</f>
        <v>1</v>
      </c>
      <c r="Y34" s="67">
        <f t="array" ref="Y34">IFERROR(INDEX(Calc!$K$43:$K$46,MATCH(4,Calc!$J$43:$J$46,0)),0)</f>
        <v>3</v>
      </c>
      <c r="Z34" s="67">
        <f t="array" ref="Z34">IFERROR(INDEX(Calc!$C$43:$C$46,MATCH(4,Calc!$J$43:$J$46,0)),0)</f>
        <v>0</v>
      </c>
      <c r="AA34" s="67">
        <f t="array" ref="AA34">IFERROR(INDEX(Calc!$D$43:$D$46,MATCH(4,Calc!$J$43:$J$46,0)),0)</f>
        <v>1</v>
      </c>
      <c r="AB34" s="67">
        <f t="array" ref="AB34">IFERROR(INDEX(Calc!$L$43:$L$46,MATCH(4,Calc!$J$43:$J$46,0)),0)</f>
        <v>2</v>
      </c>
      <c r="AC34" s="67">
        <f t="array" ref="AC34">IFERROR(INDEX(Calc!$E$43:$E$46,MATCH(4,Calc!$J$43:$J$46,0)),0)</f>
        <v>0</v>
      </c>
      <c r="AD34" s="67">
        <f t="array" ref="AD34">IFERROR(INDEX(Calc!$F$43:$F$46,MATCH(4,Calc!$J$43:$J$46,0)),0)</f>
        <v>5</v>
      </c>
      <c r="AE34" s="67">
        <f t="array" ref="AE34">IFERROR(INDEX(Calc!$G$43:$G$46,MATCH(4,Calc!$J$43:$J$46,0)),0)</f>
        <v>-5</v>
      </c>
      <c r="AF34" s="67">
        <f t="array" ref="AF34">IFERROR(ROUND(INDEX(Calc!$H$43:$H$46,MATCH(4,Calc!$J$43:$J$46,0))/(INDEX(Calc!$K$43:$K$46,MATCH(4,Calc!$J$43:$J$46,0))*3)*100,0),0)</f>
        <v>11</v>
      </c>
      <c r="AG34" s="65">
        <v>4.0</v>
      </c>
      <c r="AH34" s="66" t="str">
        <f t="array" ref="AH34">IFERROR(INDEX(Calc!$B$47:$B$50,MATCH(4,Calc!$J$47:$J$50,0)),"?")</f>
        <v>Panama</v>
      </c>
      <c r="AI34" s="51"/>
      <c r="AJ34" s="51"/>
      <c r="AK34" s="51"/>
      <c r="AL34" s="51"/>
      <c r="AM34" s="22"/>
      <c r="AN34" s="67">
        <f t="array" ref="AN34">IFERROR(INDEX(Calc!$H$47:$H$50,MATCH(4,Calc!$J$47:$J$50,0)),0)</f>
        <v>1</v>
      </c>
      <c r="AO34" s="67">
        <f t="array" ref="AO34">IFERROR(INDEX(Calc!$K$47:$K$50,MATCH(4,Calc!$J$47:$J$50,0)),0)</f>
        <v>3</v>
      </c>
      <c r="AP34" s="67">
        <f t="array" ref="AP34">IFERROR(INDEX(Calc!$C$47:$C$50,MATCH(4,Calc!$J$47:$J$50,0)),0)</f>
        <v>0</v>
      </c>
      <c r="AQ34" s="67">
        <f t="array" ref="AQ34">IFERROR(INDEX(Calc!$D$47:$D$50,MATCH(4,Calc!$J$47:$J$50,0)),0)</f>
        <v>1</v>
      </c>
      <c r="AR34" s="67">
        <f t="array" ref="AR34">IFERROR(INDEX(Calc!$L$47:$L$50,MATCH(4,Calc!$J$47:$J$50,0)),0)</f>
        <v>2</v>
      </c>
      <c r="AS34" s="67">
        <f t="array" ref="AS34">IFERROR(INDEX(Calc!$E$47:$E$50,MATCH(4,Calc!$J$47:$J$50,0)),0)</f>
        <v>1</v>
      </c>
      <c r="AT34" s="67">
        <f t="array" ref="AT34">IFERROR(INDEX(Calc!$F$47:$F$50,MATCH(4,Calc!$J$47:$J$50,0)),0)</f>
        <v>5</v>
      </c>
      <c r="AU34" s="67">
        <f t="array" ref="AU34">IFERROR(INDEX(Calc!$G$47:$G$50,MATCH(4,Calc!$J$47:$J$50,0)),0)</f>
        <v>-4</v>
      </c>
      <c r="AV34" s="67">
        <f t="array" ref="AV34">IFERROR(ROUND(INDEX(Calc!$H$47:$H$50,MATCH(4,Calc!$J$47:$J$50,0))/(INDEX(Calc!$K$47:$K$50,MATCH(4,Calc!$J$47:$J$50,0))*3)*100,0),0)</f>
        <v>11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7">
    <mergeCell ref="AN3:AO3"/>
    <mergeCell ref="AP3:AQ3"/>
    <mergeCell ref="AR3:AS3"/>
    <mergeCell ref="AT3:AU3"/>
    <mergeCell ref="AV3:AW3"/>
    <mergeCell ref="AX3:AY3"/>
    <mergeCell ref="AZ3:BA3"/>
    <mergeCell ref="BB3:BC3"/>
    <mergeCell ref="BD3:BE3"/>
    <mergeCell ref="BF3:BG3"/>
    <mergeCell ref="BH3:BI3"/>
    <mergeCell ref="BJ3:BK3"/>
    <mergeCell ref="BL3:BM3"/>
    <mergeCell ref="BN3:BO3"/>
    <mergeCell ref="BP3:BQ3"/>
    <mergeCell ref="BR3:BS3"/>
    <mergeCell ref="BT3:BU3"/>
    <mergeCell ref="BV3:BW3"/>
    <mergeCell ref="BX3:BY3"/>
    <mergeCell ref="BZ3:CA3"/>
    <mergeCell ref="CB3:CC3"/>
    <mergeCell ref="CD3:CE3"/>
    <mergeCell ref="CF3:CG3"/>
    <mergeCell ref="CH3:CI3"/>
    <mergeCell ref="CJ3:CK3"/>
    <mergeCell ref="CL3:CM3"/>
    <mergeCell ref="CN3:CO3"/>
    <mergeCell ref="CP3:CQ3"/>
    <mergeCell ref="DT3:DU3"/>
    <mergeCell ref="DV3:DW3"/>
    <mergeCell ref="DX3:DY3"/>
    <mergeCell ref="DZ3:EA3"/>
    <mergeCell ref="EB3:EC3"/>
    <mergeCell ref="ED3:EE3"/>
    <mergeCell ref="EF3:EG3"/>
    <mergeCell ref="EH3:EI3"/>
    <mergeCell ref="EJ3:EK3"/>
    <mergeCell ref="EL3:EM3"/>
    <mergeCell ref="A1:EO1"/>
    <mergeCell ref="A2:EO2"/>
    <mergeCell ref="B3:C3"/>
    <mergeCell ref="D3:E3"/>
    <mergeCell ref="F3:G3"/>
    <mergeCell ref="H3:I3"/>
    <mergeCell ref="J3:K3"/>
    <mergeCell ref="EN3:EO3"/>
    <mergeCell ref="CR3:CS3"/>
    <mergeCell ref="CT3:CU3"/>
    <mergeCell ref="CV3:CW3"/>
    <mergeCell ref="CX3:CY3"/>
    <mergeCell ref="CZ3:DA3"/>
    <mergeCell ref="DB3:DC3"/>
    <mergeCell ref="DD3:DE3"/>
    <mergeCell ref="DF3:DG3"/>
    <mergeCell ref="DH3:DI3"/>
    <mergeCell ref="DJ3:DK3"/>
    <mergeCell ref="DL3:DM3"/>
    <mergeCell ref="DN3:DO3"/>
    <mergeCell ref="DP3:DQ3"/>
    <mergeCell ref="DR3:DS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R9:W9"/>
    <mergeCell ref="R10:W10"/>
    <mergeCell ref="AH25:AM25"/>
    <mergeCell ref="AH26:AM26"/>
    <mergeCell ref="AH16:AM16"/>
    <mergeCell ref="AH17:AM17"/>
    <mergeCell ref="AH19:AM19"/>
    <mergeCell ref="AH20:AM20"/>
    <mergeCell ref="AG22:AU22"/>
    <mergeCell ref="AH23:AM23"/>
    <mergeCell ref="AH24:AM24"/>
    <mergeCell ref="R30:W30"/>
    <mergeCell ref="R31:W31"/>
    <mergeCell ref="R25:W25"/>
    <mergeCell ref="R26:W26"/>
    <mergeCell ref="R27:W27"/>
    <mergeCell ref="AH27:AM27"/>
    <mergeCell ref="Q29:AE29"/>
    <mergeCell ref="AG29:AU29"/>
    <mergeCell ref="AH30:AM30"/>
    <mergeCell ref="AH31:AM31"/>
    <mergeCell ref="AG8:AU8"/>
    <mergeCell ref="AH9:AM9"/>
    <mergeCell ref="AH11:AM11"/>
    <mergeCell ref="AH12:AM12"/>
    <mergeCell ref="AH13:AM13"/>
    <mergeCell ref="AJ3:AK3"/>
    <mergeCell ref="AL3:AM3"/>
    <mergeCell ref="A7:AV7"/>
    <mergeCell ref="A8:O8"/>
    <mergeCell ref="Q8:AE8"/>
    <mergeCell ref="B9:G9"/>
    <mergeCell ref="AH10:AM10"/>
    <mergeCell ref="B10:G10"/>
    <mergeCell ref="B11:G11"/>
    <mergeCell ref="R11:W11"/>
    <mergeCell ref="B12:G12"/>
    <mergeCell ref="R12:W12"/>
    <mergeCell ref="B13:G13"/>
    <mergeCell ref="R13:W13"/>
    <mergeCell ref="A15:O15"/>
    <mergeCell ref="Q15:AE15"/>
    <mergeCell ref="AG15:AU15"/>
    <mergeCell ref="B16:G16"/>
    <mergeCell ref="R16:W16"/>
    <mergeCell ref="B17:G17"/>
    <mergeCell ref="AH18:AM18"/>
    <mergeCell ref="R17:W17"/>
    <mergeCell ref="R18:W18"/>
    <mergeCell ref="R19:W19"/>
    <mergeCell ref="R20:W20"/>
    <mergeCell ref="Q22:AE22"/>
    <mergeCell ref="R23:W23"/>
    <mergeCell ref="R24:W24"/>
    <mergeCell ref="B18:G18"/>
    <mergeCell ref="B19:G19"/>
    <mergeCell ref="B20:G20"/>
    <mergeCell ref="A22:O22"/>
    <mergeCell ref="B23:G23"/>
    <mergeCell ref="B24:G24"/>
    <mergeCell ref="B25:G25"/>
    <mergeCell ref="B32:G32"/>
    <mergeCell ref="B33:G33"/>
    <mergeCell ref="R33:W33"/>
    <mergeCell ref="AH33:AM33"/>
    <mergeCell ref="B34:G34"/>
    <mergeCell ref="R34:W34"/>
    <mergeCell ref="AH34:AM34"/>
    <mergeCell ref="B26:G26"/>
    <mergeCell ref="B27:G27"/>
    <mergeCell ref="A29:O29"/>
    <mergeCell ref="B30:G30"/>
    <mergeCell ref="B31:G31"/>
    <mergeCell ref="R32:W32"/>
    <mergeCell ref="AH32:AM3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43"/>
    <col customWidth="1" min="2" max="2" width="36.57"/>
    <col customWidth="1" min="3" max="3" width="8.71"/>
    <col customWidth="1" min="4" max="4" width="19.14"/>
    <col customWidth="1" min="5" max="26" width="8.71"/>
  </cols>
  <sheetData>
    <row r="1">
      <c r="A1" s="77" t="s">
        <v>158</v>
      </c>
      <c r="B1" s="77" t="s">
        <v>177</v>
      </c>
      <c r="D1" s="78" t="s">
        <v>178</v>
      </c>
    </row>
    <row r="2">
      <c r="A2" s="79" t="s">
        <v>179</v>
      </c>
      <c r="B2" s="79" t="s">
        <v>180</v>
      </c>
      <c r="D2" s="35" t="s">
        <v>104</v>
      </c>
    </row>
    <row r="3">
      <c r="A3" s="79" t="s">
        <v>179</v>
      </c>
      <c r="B3" s="79" t="s">
        <v>181</v>
      </c>
      <c r="D3" s="35" t="s">
        <v>105</v>
      </c>
    </row>
    <row r="4">
      <c r="A4" s="79" t="s">
        <v>179</v>
      </c>
      <c r="B4" s="79" t="s">
        <v>182</v>
      </c>
      <c r="D4" s="35" t="s">
        <v>106</v>
      </c>
    </row>
    <row r="5">
      <c r="A5" s="79" t="s">
        <v>179</v>
      </c>
      <c r="B5" s="79" t="s">
        <v>183</v>
      </c>
      <c r="D5" s="35" t="s">
        <v>107</v>
      </c>
    </row>
    <row r="6">
      <c r="A6" s="79" t="s">
        <v>179</v>
      </c>
      <c r="B6" s="79" t="s">
        <v>184</v>
      </c>
      <c r="D6" s="36" t="s">
        <v>108</v>
      </c>
    </row>
    <row r="7">
      <c r="A7" s="79" t="s">
        <v>179</v>
      </c>
      <c r="B7" s="79" t="s">
        <v>185</v>
      </c>
      <c r="D7" s="36" t="s">
        <v>109</v>
      </c>
    </row>
    <row r="8">
      <c r="A8" s="79" t="s">
        <v>179</v>
      </c>
      <c r="B8" s="79" t="s">
        <v>186</v>
      </c>
      <c r="D8" s="36" t="s">
        <v>110</v>
      </c>
    </row>
    <row r="9">
      <c r="A9" s="79" t="s">
        <v>179</v>
      </c>
      <c r="B9" s="79" t="s">
        <v>187</v>
      </c>
      <c r="D9" s="36" t="s">
        <v>111</v>
      </c>
    </row>
    <row r="10">
      <c r="A10" s="79" t="s">
        <v>179</v>
      </c>
      <c r="B10" s="79" t="s">
        <v>188</v>
      </c>
      <c r="D10" s="37" t="s">
        <v>112</v>
      </c>
    </row>
    <row r="11">
      <c r="A11" s="79" t="s">
        <v>179</v>
      </c>
      <c r="B11" s="79" t="s">
        <v>189</v>
      </c>
      <c r="D11" s="37" t="s">
        <v>113</v>
      </c>
    </row>
    <row r="12">
      <c r="A12" s="79" t="s">
        <v>179</v>
      </c>
      <c r="B12" s="79" t="s">
        <v>190</v>
      </c>
      <c r="D12" s="37" t="s">
        <v>114</v>
      </c>
    </row>
    <row r="13">
      <c r="A13" s="79" t="s">
        <v>179</v>
      </c>
      <c r="B13" s="79" t="s">
        <v>191</v>
      </c>
      <c r="D13" s="37" t="s">
        <v>115</v>
      </c>
    </row>
    <row r="14">
      <c r="A14" s="79" t="s">
        <v>179</v>
      </c>
      <c r="B14" s="79" t="s">
        <v>192</v>
      </c>
      <c r="D14" s="38" t="s">
        <v>116</v>
      </c>
    </row>
    <row r="15">
      <c r="A15" s="79" t="s">
        <v>179</v>
      </c>
      <c r="B15" s="79" t="s">
        <v>193</v>
      </c>
      <c r="D15" s="38" t="s">
        <v>117</v>
      </c>
    </row>
    <row r="16">
      <c r="A16" s="79" t="s">
        <v>179</v>
      </c>
      <c r="B16" s="79" t="s">
        <v>194</v>
      </c>
      <c r="D16" s="38" t="s">
        <v>118</v>
      </c>
    </row>
    <row r="17">
      <c r="A17" s="79" t="s">
        <v>179</v>
      </c>
      <c r="B17" s="79" t="s">
        <v>195</v>
      </c>
      <c r="D17" s="38" t="s">
        <v>119</v>
      </c>
    </row>
    <row r="18">
      <c r="A18" s="79" t="s">
        <v>179</v>
      </c>
      <c r="B18" s="79" t="s">
        <v>196</v>
      </c>
      <c r="D18" s="39" t="s">
        <v>120</v>
      </c>
    </row>
    <row r="19">
      <c r="A19" s="79" t="s">
        <v>179</v>
      </c>
      <c r="B19" s="79" t="s">
        <v>197</v>
      </c>
      <c r="D19" s="39" t="s">
        <v>121</v>
      </c>
    </row>
    <row r="20">
      <c r="A20" s="79" t="s">
        <v>179</v>
      </c>
      <c r="B20" s="79" t="s">
        <v>198</v>
      </c>
      <c r="D20" s="39" t="s">
        <v>122</v>
      </c>
    </row>
    <row r="21" ht="15.75" customHeight="1">
      <c r="A21" s="79" t="s">
        <v>179</v>
      </c>
      <c r="B21" s="79" t="s">
        <v>199</v>
      </c>
      <c r="D21" s="39" t="s">
        <v>123</v>
      </c>
    </row>
    <row r="22" ht="15.75" customHeight="1">
      <c r="A22" s="79" t="s">
        <v>200</v>
      </c>
      <c r="B22" s="79" t="s">
        <v>201</v>
      </c>
      <c r="D22" s="40" t="s">
        <v>124</v>
      </c>
    </row>
    <row r="23" ht="15.75" customHeight="1">
      <c r="A23" s="79" t="s">
        <v>200</v>
      </c>
      <c r="B23" s="79" t="s">
        <v>202</v>
      </c>
      <c r="D23" s="40" t="s">
        <v>125</v>
      </c>
    </row>
    <row r="24" ht="15.75" customHeight="1">
      <c r="A24" s="79" t="s">
        <v>200</v>
      </c>
      <c r="B24" s="79" t="s">
        <v>203</v>
      </c>
      <c r="D24" s="40" t="s">
        <v>126</v>
      </c>
    </row>
    <row r="25" ht="15.75" customHeight="1">
      <c r="A25" s="79" t="s">
        <v>200</v>
      </c>
      <c r="B25" s="79" t="s">
        <v>204</v>
      </c>
      <c r="D25" s="40" t="s">
        <v>127</v>
      </c>
    </row>
    <row r="26" ht="15.75" customHeight="1">
      <c r="A26" s="79" t="s">
        <v>200</v>
      </c>
      <c r="B26" s="79" t="s">
        <v>205</v>
      </c>
      <c r="D26" s="41" t="s">
        <v>128</v>
      </c>
    </row>
    <row r="27" ht="15.75" customHeight="1">
      <c r="A27" s="79" t="s">
        <v>200</v>
      </c>
      <c r="B27" s="79" t="s">
        <v>206</v>
      </c>
      <c r="D27" s="41" t="s">
        <v>129</v>
      </c>
    </row>
    <row r="28" ht="15.75" customHeight="1">
      <c r="A28" s="79" t="s">
        <v>200</v>
      </c>
      <c r="B28" s="79" t="s">
        <v>207</v>
      </c>
      <c r="D28" s="41" t="s">
        <v>130</v>
      </c>
    </row>
    <row r="29" ht="15.75" customHeight="1">
      <c r="A29" s="79" t="s">
        <v>200</v>
      </c>
      <c r="B29" s="79" t="s">
        <v>208</v>
      </c>
      <c r="D29" s="41" t="s">
        <v>131</v>
      </c>
    </row>
    <row r="30" ht="15.75" customHeight="1">
      <c r="A30" s="79" t="s">
        <v>200</v>
      </c>
      <c r="B30" s="79" t="s">
        <v>209</v>
      </c>
      <c r="D30" s="42" t="s">
        <v>132</v>
      </c>
    </row>
    <row r="31" ht="15.75" customHeight="1">
      <c r="A31" s="79" t="s">
        <v>200</v>
      </c>
      <c r="B31" s="79" t="s">
        <v>210</v>
      </c>
      <c r="D31" s="42" t="s">
        <v>133</v>
      </c>
    </row>
    <row r="32" ht="15.75" customHeight="1">
      <c r="A32" s="79" t="s">
        <v>200</v>
      </c>
      <c r="B32" s="79" t="s">
        <v>211</v>
      </c>
      <c r="D32" s="42" t="s">
        <v>134</v>
      </c>
    </row>
    <row r="33" ht="15.75" customHeight="1">
      <c r="A33" s="79" t="s">
        <v>200</v>
      </c>
      <c r="B33" s="79" t="s">
        <v>212</v>
      </c>
      <c r="D33" s="42" t="s">
        <v>135</v>
      </c>
    </row>
    <row r="34" ht="15.75" customHeight="1">
      <c r="A34" s="79" t="s">
        <v>200</v>
      </c>
      <c r="B34" s="79" t="s">
        <v>213</v>
      </c>
      <c r="D34" s="43" t="s">
        <v>136</v>
      </c>
    </row>
    <row r="35" ht="15.75" customHeight="1">
      <c r="A35" s="79" t="s">
        <v>200</v>
      </c>
      <c r="B35" s="79" t="s">
        <v>214</v>
      </c>
      <c r="D35" s="43" t="s">
        <v>137</v>
      </c>
    </row>
    <row r="36" ht="15.75" customHeight="1">
      <c r="A36" s="79" t="s">
        <v>200</v>
      </c>
      <c r="B36" s="79" t="s">
        <v>215</v>
      </c>
      <c r="D36" s="43" t="s">
        <v>138</v>
      </c>
    </row>
    <row r="37" ht="15.75" customHeight="1">
      <c r="A37" s="79" t="s">
        <v>200</v>
      </c>
      <c r="B37" s="79" t="s">
        <v>216</v>
      </c>
      <c r="D37" s="43" t="s">
        <v>139</v>
      </c>
    </row>
    <row r="38" ht="15.75" customHeight="1">
      <c r="A38" s="79" t="s">
        <v>200</v>
      </c>
      <c r="B38" s="79" t="s">
        <v>217</v>
      </c>
      <c r="D38" s="44" t="s">
        <v>140</v>
      </c>
    </row>
    <row r="39" ht="15.75" customHeight="1">
      <c r="A39" s="79" t="s">
        <v>200</v>
      </c>
      <c r="B39" s="79" t="s">
        <v>218</v>
      </c>
      <c r="D39" s="44" t="s">
        <v>141</v>
      </c>
    </row>
    <row r="40" ht="15.75" customHeight="1">
      <c r="A40" s="79" t="s">
        <v>200</v>
      </c>
      <c r="B40" s="79" t="s">
        <v>219</v>
      </c>
      <c r="D40" s="44" t="s">
        <v>142</v>
      </c>
    </row>
    <row r="41" ht="15.75" customHeight="1">
      <c r="A41" s="79" t="s">
        <v>200</v>
      </c>
      <c r="B41" s="79" t="s">
        <v>220</v>
      </c>
      <c r="D41" s="44" t="s">
        <v>143</v>
      </c>
    </row>
    <row r="42" ht="15.75" customHeight="1">
      <c r="A42" s="79" t="s">
        <v>200</v>
      </c>
      <c r="B42" s="79" t="s">
        <v>221</v>
      </c>
      <c r="D42" s="45" t="s">
        <v>144</v>
      </c>
    </row>
    <row r="43" ht="15.75" customHeight="1">
      <c r="A43" s="79" t="s">
        <v>138</v>
      </c>
      <c r="B43" s="79" t="s">
        <v>222</v>
      </c>
      <c r="D43" s="45" t="s">
        <v>145</v>
      </c>
    </row>
    <row r="44" ht="15.75" customHeight="1">
      <c r="A44" s="79" t="s">
        <v>138</v>
      </c>
      <c r="B44" s="79" t="s">
        <v>223</v>
      </c>
      <c r="D44" s="45" t="s">
        <v>146</v>
      </c>
    </row>
    <row r="45" ht="15.75" customHeight="1">
      <c r="A45" s="79" t="s">
        <v>138</v>
      </c>
      <c r="B45" s="79" t="s">
        <v>224</v>
      </c>
      <c r="D45" s="45" t="s">
        <v>147</v>
      </c>
    </row>
    <row r="46" ht="15.75" customHeight="1">
      <c r="A46" s="79" t="s">
        <v>138</v>
      </c>
      <c r="B46" s="79" t="s">
        <v>225</v>
      </c>
      <c r="D46" s="46" t="s">
        <v>148</v>
      </c>
    </row>
    <row r="47" ht="15.75" customHeight="1">
      <c r="A47" s="79" t="s">
        <v>138</v>
      </c>
      <c r="B47" s="79" t="s">
        <v>226</v>
      </c>
      <c r="D47" s="46" t="s">
        <v>149</v>
      </c>
    </row>
    <row r="48" ht="15.75" customHeight="1">
      <c r="A48" s="79" t="s">
        <v>138</v>
      </c>
      <c r="B48" s="79" t="s">
        <v>227</v>
      </c>
      <c r="D48" s="46" t="s">
        <v>150</v>
      </c>
    </row>
    <row r="49" ht="15.75" customHeight="1">
      <c r="A49" s="79" t="s">
        <v>138</v>
      </c>
      <c r="B49" s="79" t="s">
        <v>228</v>
      </c>
      <c r="D49" s="46" t="s">
        <v>151</v>
      </c>
    </row>
    <row r="50" ht="15.75" customHeight="1">
      <c r="A50" s="79" t="s">
        <v>138</v>
      </c>
      <c r="B50" s="79" t="s">
        <v>229</v>
      </c>
    </row>
    <row r="51" ht="15.75" customHeight="1">
      <c r="A51" s="79" t="s">
        <v>138</v>
      </c>
      <c r="B51" s="79" t="s">
        <v>230</v>
      </c>
    </row>
    <row r="52" ht="15.75" customHeight="1">
      <c r="A52" s="79" t="s">
        <v>138</v>
      </c>
      <c r="B52" s="79" t="s">
        <v>231</v>
      </c>
    </row>
    <row r="53" ht="15.75" customHeight="1">
      <c r="A53" s="79" t="s">
        <v>138</v>
      </c>
      <c r="B53" s="79" t="s">
        <v>232</v>
      </c>
    </row>
    <row r="54" ht="15.75" customHeight="1">
      <c r="A54" s="79" t="s">
        <v>138</v>
      </c>
      <c r="B54" s="79" t="s">
        <v>233</v>
      </c>
    </row>
    <row r="55" ht="15.75" customHeight="1">
      <c r="A55" s="79" t="s">
        <v>138</v>
      </c>
      <c r="B55" s="79" t="s">
        <v>234</v>
      </c>
    </row>
    <row r="56" ht="15.75" customHeight="1">
      <c r="A56" s="79" t="s">
        <v>138</v>
      </c>
      <c r="B56" s="79" t="s">
        <v>235</v>
      </c>
    </row>
    <row r="57" ht="15.75" customHeight="1">
      <c r="A57" s="79" t="s">
        <v>138</v>
      </c>
      <c r="B57" s="79" t="s">
        <v>236</v>
      </c>
    </row>
    <row r="58" ht="15.75" customHeight="1">
      <c r="A58" s="79" t="s">
        <v>138</v>
      </c>
      <c r="B58" s="79" t="s">
        <v>237</v>
      </c>
    </row>
    <row r="59" ht="15.75" customHeight="1">
      <c r="A59" s="79" t="s">
        <v>138</v>
      </c>
      <c r="B59" s="79" t="s">
        <v>238</v>
      </c>
    </row>
    <row r="60" ht="15.75" customHeight="1">
      <c r="A60" s="79" t="s">
        <v>138</v>
      </c>
      <c r="B60" s="79" t="s">
        <v>239</v>
      </c>
    </row>
    <row r="61" ht="15.75" customHeight="1">
      <c r="A61" s="79" t="s">
        <v>138</v>
      </c>
      <c r="B61" s="79" t="s">
        <v>240</v>
      </c>
    </row>
    <row r="62" ht="15.75" customHeight="1">
      <c r="A62" s="79" t="s">
        <v>138</v>
      </c>
      <c r="B62" s="79" t="s">
        <v>241</v>
      </c>
    </row>
    <row r="63" ht="15.75" customHeight="1">
      <c r="A63" s="79" t="s">
        <v>242</v>
      </c>
      <c r="B63" s="79" t="s">
        <v>243</v>
      </c>
    </row>
    <row r="64" ht="15.75" customHeight="1">
      <c r="A64" s="79" t="s">
        <v>242</v>
      </c>
      <c r="B64" s="79" t="s">
        <v>244</v>
      </c>
    </row>
    <row r="65" ht="15.75" customHeight="1">
      <c r="A65" s="79" t="s">
        <v>242</v>
      </c>
      <c r="B65" s="79" t="s">
        <v>245</v>
      </c>
    </row>
    <row r="66" ht="15.75" customHeight="1">
      <c r="A66" s="79" t="s">
        <v>242</v>
      </c>
      <c r="B66" s="79" t="s">
        <v>246</v>
      </c>
    </row>
    <row r="67" ht="15.75" customHeight="1">
      <c r="A67" s="79" t="s">
        <v>242</v>
      </c>
      <c r="B67" s="79" t="s">
        <v>247</v>
      </c>
    </row>
    <row r="68" ht="15.75" customHeight="1">
      <c r="A68" s="79" t="s">
        <v>242</v>
      </c>
      <c r="B68" s="79" t="s">
        <v>248</v>
      </c>
    </row>
    <row r="69" ht="15.75" customHeight="1">
      <c r="A69" s="79" t="s">
        <v>242</v>
      </c>
      <c r="B69" s="79" t="s">
        <v>249</v>
      </c>
    </row>
    <row r="70" ht="15.75" customHeight="1">
      <c r="A70" s="79" t="s">
        <v>242</v>
      </c>
      <c r="B70" s="79" t="s">
        <v>250</v>
      </c>
    </row>
    <row r="71" ht="15.75" customHeight="1">
      <c r="A71" s="79" t="s">
        <v>242</v>
      </c>
      <c r="B71" s="79" t="s">
        <v>251</v>
      </c>
    </row>
    <row r="72" ht="15.75" customHeight="1">
      <c r="A72" s="79" t="s">
        <v>242</v>
      </c>
      <c r="B72" s="79" t="s">
        <v>252</v>
      </c>
    </row>
    <row r="73" ht="15.75" customHeight="1">
      <c r="A73" s="79" t="s">
        <v>242</v>
      </c>
      <c r="B73" s="79" t="s">
        <v>253</v>
      </c>
    </row>
    <row r="74" ht="15.75" customHeight="1">
      <c r="A74" s="79" t="s">
        <v>242</v>
      </c>
      <c r="B74" s="79" t="s">
        <v>254</v>
      </c>
    </row>
    <row r="75" ht="15.75" customHeight="1">
      <c r="A75" s="79" t="s">
        <v>242</v>
      </c>
      <c r="B75" s="79" t="s">
        <v>255</v>
      </c>
    </row>
    <row r="76" ht="15.75" customHeight="1">
      <c r="A76" s="79" t="s">
        <v>242</v>
      </c>
      <c r="B76" s="79" t="s">
        <v>256</v>
      </c>
    </row>
    <row r="77" ht="15.75" customHeight="1">
      <c r="A77" s="79" t="s">
        <v>242</v>
      </c>
      <c r="B77" s="79" t="s">
        <v>257</v>
      </c>
    </row>
    <row r="78" ht="15.75" customHeight="1">
      <c r="A78" s="79" t="s">
        <v>242</v>
      </c>
      <c r="B78" s="79" t="s">
        <v>258</v>
      </c>
    </row>
    <row r="79" ht="15.75" customHeight="1">
      <c r="A79" s="79" t="s">
        <v>242</v>
      </c>
      <c r="B79" s="79" t="s">
        <v>259</v>
      </c>
    </row>
    <row r="80" ht="15.75" customHeight="1">
      <c r="A80" s="79" t="s">
        <v>242</v>
      </c>
      <c r="B80" s="79" t="s">
        <v>260</v>
      </c>
    </row>
    <row r="81" ht="15.75" customHeight="1">
      <c r="A81" s="79" t="s">
        <v>242</v>
      </c>
      <c r="B81" s="79" t="s">
        <v>261</v>
      </c>
    </row>
    <row r="82" ht="15.75" customHeight="1">
      <c r="A82" s="79" t="s">
        <v>242</v>
      </c>
      <c r="B82" s="79" t="s">
        <v>262</v>
      </c>
    </row>
    <row r="83" ht="15.75" customHeight="1">
      <c r="A83" s="79" t="s">
        <v>242</v>
      </c>
      <c r="B83" s="79" t="s">
        <v>263</v>
      </c>
    </row>
    <row r="84" ht="15.75" customHeight="1">
      <c r="A84" s="79" t="s">
        <v>264</v>
      </c>
      <c r="B84" s="79" t="s">
        <v>265</v>
      </c>
    </row>
    <row r="85" ht="15.75" customHeight="1">
      <c r="A85" s="79" t="s">
        <v>264</v>
      </c>
      <c r="B85" s="79" t="s">
        <v>266</v>
      </c>
    </row>
    <row r="86" ht="15.75" customHeight="1">
      <c r="A86" s="79" t="s">
        <v>264</v>
      </c>
      <c r="B86" s="79" t="s">
        <v>267</v>
      </c>
    </row>
    <row r="87" ht="15.75" customHeight="1">
      <c r="A87" s="79" t="s">
        <v>264</v>
      </c>
      <c r="B87" s="79" t="s">
        <v>268</v>
      </c>
    </row>
    <row r="88" ht="15.75" customHeight="1">
      <c r="A88" s="79" t="s">
        <v>264</v>
      </c>
      <c r="B88" s="79" t="s">
        <v>269</v>
      </c>
    </row>
    <row r="89" ht="15.75" customHeight="1">
      <c r="A89" s="79" t="s">
        <v>264</v>
      </c>
      <c r="B89" s="79" t="s">
        <v>270</v>
      </c>
    </row>
    <row r="90" ht="15.75" customHeight="1">
      <c r="A90" s="79" t="s">
        <v>264</v>
      </c>
      <c r="B90" s="79" t="s">
        <v>271</v>
      </c>
    </row>
    <row r="91" ht="15.75" customHeight="1">
      <c r="A91" s="79" t="s">
        <v>264</v>
      </c>
      <c r="B91" s="79" t="s">
        <v>272</v>
      </c>
    </row>
    <row r="92" ht="15.75" customHeight="1">
      <c r="A92" s="79" t="s">
        <v>264</v>
      </c>
      <c r="B92" s="79" t="s">
        <v>273</v>
      </c>
    </row>
    <row r="93" ht="15.75" customHeight="1">
      <c r="A93" s="79" t="s">
        <v>264</v>
      </c>
      <c r="B93" s="79" t="s">
        <v>274</v>
      </c>
    </row>
    <row r="94" ht="15.75" customHeight="1">
      <c r="A94" s="79" t="s">
        <v>264</v>
      </c>
      <c r="B94" s="79" t="s">
        <v>275</v>
      </c>
    </row>
    <row r="95" ht="15.75" customHeight="1">
      <c r="A95" s="79" t="s">
        <v>264</v>
      </c>
      <c r="B95" s="79" t="s">
        <v>276</v>
      </c>
    </row>
    <row r="96" ht="15.75" customHeight="1">
      <c r="A96" s="79" t="s">
        <v>264</v>
      </c>
      <c r="B96" s="79" t="s">
        <v>277</v>
      </c>
    </row>
    <row r="97" ht="15.75" customHeight="1">
      <c r="A97" s="79" t="s">
        <v>264</v>
      </c>
      <c r="B97" s="79" t="s">
        <v>278</v>
      </c>
    </row>
    <row r="98" ht="15.75" customHeight="1">
      <c r="A98" s="79" t="s">
        <v>264</v>
      </c>
      <c r="B98" s="79" t="s">
        <v>279</v>
      </c>
    </row>
    <row r="99" ht="15.75" customHeight="1">
      <c r="A99" s="79" t="s">
        <v>264</v>
      </c>
      <c r="B99" s="79" t="s">
        <v>280</v>
      </c>
    </row>
    <row r="100" ht="15.75" customHeight="1">
      <c r="A100" s="79" t="s">
        <v>264</v>
      </c>
      <c r="B100" s="79" t="s">
        <v>281</v>
      </c>
    </row>
    <row r="101" ht="15.75" customHeight="1">
      <c r="A101" s="79" t="s">
        <v>264</v>
      </c>
      <c r="B101" s="79" t="s">
        <v>282</v>
      </c>
    </row>
    <row r="102" ht="15.75" customHeight="1">
      <c r="A102" s="79" t="s">
        <v>264</v>
      </c>
      <c r="B102" s="79" t="s">
        <v>283</v>
      </c>
    </row>
    <row r="103" ht="15.75" customHeight="1">
      <c r="A103" s="79" t="s">
        <v>264</v>
      </c>
      <c r="B103" s="79" t="s">
        <v>284</v>
      </c>
    </row>
    <row r="104" ht="15.75" customHeight="1">
      <c r="A104" s="79" t="s">
        <v>264</v>
      </c>
      <c r="B104" s="79" t="s">
        <v>285</v>
      </c>
    </row>
    <row r="105" ht="15.75" customHeight="1">
      <c r="A105" s="79" t="s">
        <v>286</v>
      </c>
      <c r="B105" s="79" t="s">
        <v>287</v>
      </c>
    </row>
    <row r="106" ht="15.75" customHeight="1">
      <c r="A106" s="79" t="s">
        <v>286</v>
      </c>
      <c r="B106" s="79" t="s">
        <v>288</v>
      </c>
    </row>
    <row r="107" ht="15.75" customHeight="1">
      <c r="A107" s="79" t="s">
        <v>286</v>
      </c>
      <c r="B107" s="79" t="s">
        <v>289</v>
      </c>
    </row>
    <row r="108" ht="15.75" customHeight="1">
      <c r="A108" s="79" t="s">
        <v>286</v>
      </c>
      <c r="B108" s="79" t="s">
        <v>290</v>
      </c>
    </row>
    <row r="109" ht="15.75" customHeight="1">
      <c r="A109" s="79" t="s">
        <v>286</v>
      </c>
      <c r="B109" s="79" t="s">
        <v>291</v>
      </c>
    </row>
    <row r="110" ht="15.75" customHeight="1">
      <c r="A110" s="79" t="s">
        <v>286</v>
      </c>
      <c r="B110" s="79" t="s">
        <v>292</v>
      </c>
    </row>
    <row r="111" ht="15.75" customHeight="1">
      <c r="A111" s="79" t="s">
        <v>286</v>
      </c>
      <c r="B111" s="79" t="s">
        <v>293</v>
      </c>
    </row>
    <row r="112" ht="15.75" customHeight="1">
      <c r="A112" s="79" t="s">
        <v>286</v>
      </c>
      <c r="B112" s="79" t="s">
        <v>294</v>
      </c>
    </row>
    <row r="113" ht="15.75" customHeight="1">
      <c r="A113" s="79" t="s">
        <v>286</v>
      </c>
      <c r="B113" s="79" t="s">
        <v>295</v>
      </c>
    </row>
    <row r="114" ht="15.75" customHeight="1">
      <c r="A114" s="79" t="s">
        <v>286</v>
      </c>
      <c r="B114" s="79" t="s">
        <v>296</v>
      </c>
    </row>
    <row r="115" ht="15.75" customHeight="1">
      <c r="A115" s="79" t="s">
        <v>286</v>
      </c>
      <c r="B115" s="79" t="s">
        <v>297</v>
      </c>
    </row>
    <row r="116" ht="15.75" customHeight="1">
      <c r="A116" s="79" t="s">
        <v>286</v>
      </c>
      <c r="B116" s="79" t="s">
        <v>298</v>
      </c>
    </row>
    <row r="117" ht="15.75" customHeight="1">
      <c r="A117" s="79" t="s">
        <v>286</v>
      </c>
      <c r="B117" s="79" t="s">
        <v>299</v>
      </c>
    </row>
    <row r="118" ht="15.75" customHeight="1">
      <c r="A118" s="79" t="s">
        <v>286</v>
      </c>
      <c r="B118" s="79" t="s">
        <v>300</v>
      </c>
    </row>
    <row r="119" ht="15.75" customHeight="1">
      <c r="A119" s="79" t="s">
        <v>110</v>
      </c>
      <c r="B119" s="79" t="s">
        <v>301</v>
      </c>
    </row>
    <row r="120" ht="15.75" customHeight="1">
      <c r="A120" s="79" t="s">
        <v>110</v>
      </c>
      <c r="B120" s="79" t="s">
        <v>302</v>
      </c>
    </row>
    <row r="121" ht="15.75" customHeight="1">
      <c r="A121" s="79" t="s">
        <v>110</v>
      </c>
      <c r="B121" s="79" t="s">
        <v>303</v>
      </c>
    </row>
    <row r="122" ht="15.75" customHeight="1">
      <c r="A122" s="79" t="s">
        <v>110</v>
      </c>
      <c r="B122" s="79" t="s">
        <v>304</v>
      </c>
    </row>
    <row r="123" ht="15.75" customHeight="1">
      <c r="A123" s="79" t="s">
        <v>110</v>
      </c>
      <c r="B123" s="79" t="s">
        <v>305</v>
      </c>
    </row>
    <row r="124" ht="15.75" customHeight="1">
      <c r="A124" s="79" t="s">
        <v>110</v>
      </c>
      <c r="B124" s="79" t="s">
        <v>306</v>
      </c>
    </row>
    <row r="125" ht="15.75" customHeight="1">
      <c r="A125" s="79" t="s">
        <v>110</v>
      </c>
      <c r="B125" s="79" t="s">
        <v>307</v>
      </c>
    </row>
    <row r="126" ht="15.75" customHeight="1">
      <c r="A126" s="79" t="s">
        <v>110</v>
      </c>
      <c r="B126" s="79" t="s">
        <v>308</v>
      </c>
    </row>
    <row r="127" ht="15.75" customHeight="1">
      <c r="A127" s="79" t="s">
        <v>110</v>
      </c>
      <c r="B127" s="79" t="s">
        <v>309</v>
      </c>
    </row>
    <row r="128" ht="15.75" customHeight="1">
      <c r="A128" s="79" t="s">
        <v>110</v>
      </c>
      <c r="B128" s="79" t="s">
        <v>310</v>
      </c>
    </row>
    <row r="129" ht="15.75" customHeight="1">
      <c r="A129" s="79" t="s">
        <v>110</v>
      </c>
      <c r="B129" s="79" t="s">
        <v>311</v>
      </c>
    </row>
    <row r="130" ht="15.75" customHeight="1">
      <c r="A130" s="79" t="s">
        <v>110</v>
      </c>
      <c r="B130" s="79" t="s">
        <v>312</v>
      </c>
    </row>
    <row r="131" ht="15.75" customHeight="1">
      <c r="A131" s="79" t="s">
        <v>110</v>
      </c>
      <c r="B131" s="79" t="s">
        <v>313</v>
      </c>
    </row>
    <row r="132" ht="15.75" customHeight="1">
      <c r="A132" s="79" t="s">
        <v>110</v>
      </c>
      <c r="B132" s="79" t="s">
        <v>314</v>
      </c>
    </row>
    <row r="133" ht="15.75" customHeight="1">
      <c r="A133" s="79" t="s">
        <v>110</v>
      </c>
      <c r="B133" s="79" t="s">
        <v>315</v>
      </c>
    </row>
    <row r="134" ht="15.75" customHeight="1">
      <c r="A134" s="79" t="s">
        <v>110</v>
      </c>
      <c r="B134" s="79" t="s">
        <v>316</v>
      </c>
    </row>
    <row r="135" ht="15.75" customHeight="1">
      <c r="A135" s="79" t="s">
        <v>110</v>
      </c>
      <c r="B135" s="79" t="s">
        <v>317</v>
      </c>
    </row>
    <row r="136" ht="15.75" customHeight="1">
      <c r="A136" s="79" t="s">
        <v>110</v>
      </c>
      <c r="B136" s="79" t="s">
        <v>318</v>
      </c>
    </row>
    <row r="137" ht="15.75" customHeight="1">
      <c r="A137" s="79" t="s">
        <v>106</v>
      </c>
      <c r="B137" s="79" t="s">
        <v>319</v>
      </c>
    </row>
    <row r="138" ht="15.75" customHeight="1">
      <c r="A138" s="79" t="s">
        <v>106</v>
      </c>
      <c r="B138" s="79" t="s">
        <v>320</v>
      </c>
    </row>
    <row r="139" ht="15.75" customHeight="1">
      <c r="A139" s="79" t="s">
        <v>106</v>
      </c>
      <c r="B139" s="79" t="s">
        <v>321</v>
      </c>
    </row>
    <row r="140" ht="15.75" customHeight="1">
      <c r="A140" s="79" t="s">
        <v>106</v>
      </c>
      <c r="B140" s="79" t="s">
        <v>322</v>
      </c>
    </row>
    <row r="141" ht="15.75" customHeight="1">
      <c r="A141" s="79" t="s">
        <v>106</v>
      </c>
      <c r="B141" s="79" t="s">
        <v>323</v>
      </c>
    </row>
    <row r="142" ht="15.75" customHeight="1">
      <c r="A142" s="79" t="s">
        <v>106</v>
      </c>
      <c r="B142" s="79" t="s">
        <v>324</v>
      </c>
    </row>
    <row r="143" ht="15.75" customHeight="1">
      <c r="A143" s="79" t="s">
        <v>106</v>
      </c>
      <c r="B143" s="79" t="s">
        <v>325</v>
      </c>
    </row>
    <row r="144" ht="15.75" customHeight="1">
      <c r="A144" s="79" t="s">
        <v>106</v>
      </c>
      <c r="B144" s="79" t="s">
        <v>326</v>
      </c>
    </row>
    <row r="145" ht="15.75" customHeight="1">
      <c r="A145" s="79" t="s">
        <v>106</v>
      </c>
      <c r="B145" s="79" t="s">
        <v>327</v>
      </c>
    </row>
    <row r="146" ht="15.75" customHeight="1">
      <c r="A146" s="79" t="s">
        <v>106</v>
      </c>
      <c r="B146" s="79" t="s">
        <v>328</v>
      </c>
    </row>
    <row r="147" ht="15.75" customHeight="1">
      <c r="A147" s="79" t="s">
        <v>106</v>
      </c>
      <c r="B147" s="79" t="s">
        <v>329</v>
      </c>
    </row>
    <row r="148" ht="15.75" customHeight="1">
      <c r="A148" s="79" t="s">
        <v>106</v>
      </c>
      <c r="B148" s="79" t="s">
        <v>330</v>
      </c>
    </row>
    <row r="149" ht="15.75" customHeight="1">
      <c r="A149" s="79" t="s">
        <v>106</v>
      </c>
      <c r="B149" s="79" t="s">
        <v>331</v>
      </c>
    </row>
    <row r="150" ht="15.75" customHeight="1">
      <c r="A150" s="79" t="s">
        <v>106</v>
      </c>
      <c r="B150" s="79" t="s">
        <v>332</v>
      </c>
    </row>
    <row r="151" ht="15.75" customHeight="1">
      <c r="A151" s="79" t="s">
        <v>106</v>
      </c>
      <c r="B151" s="79" t="s">
        <v>333</v>
      </c>
    </row>
    <row r="152" ht="15.75" customHeight="1">
      <c r="A152" s="79" t="s">
        <v>106</v>
      </c>
      <c r="B152" s="79" t="s">
        <v>334</v>
      </c>
    </row>
    <row r="153" ht="15.75" customHeight="1">
      <c r="A153" s="79" t="s">
        <v>106</v>
      </c>
      <c r="B153" s="79" t="s">
        <v>335</v>
      </c>
    </row>
    <row r="154" ht="15.75" customHeight="1">
      <c r="A154" s="79" t="s">
        <v>336</v>
      </c>
      <c r="B154" s="79" t="s">
        <v>337</v>
      </c>
    </row>
    <row r="155" ht="15.75" customHeight="1">
      <c r="A155" s="79" t="s">
        <v>336</v>
      </c>
      <c r="B155" s="79" t="s">
        <v>338</v>
      </c>
    </row>
    <row r="156" ht="15.75" customHeight="1">
      <c r="A156" s="79" t="s">
        <v>336</v>
      </c>
      <c r="B156" s="79" t="s">
        <v>339</v>
      </c>
    </row>
    <row r="157" ht="15.75" customHeight="1">
      <c r="A157" s="79" t="s">
        <v>336</v>
      </c>
      <c r="B157" s="79" t="s">
        <v>340</v>
      </c>
    </row>
    <row r="158" ht="15.75" customHeight="1">
      <c r="A158" s="79" t="s">
        <v>336</v>
      </c>
      <c r="B158" s="79" t="s">
        <v>341</v>
      </c>
    </row>
    <row r="159" ht="15.75" customHeight="1">
      <c r="A159" s="79" t="s">
        <v>336</v>
      </c>
      <c r="B159" s="79" t="s">
        <v>342</v>
      </c>
    </row>
    <row r="160" ht="15.75" customHeight="1">
      <c r="A160" s="79" t="s">
        <v>336</v>
      </c>
      <c r="B160" s="79" t="s">
        <v>343</v>
      </c>
    </row>
    <row r="161" ht="15.75" customHeight="1">
      <c r="A161" s="79" t="s">
        <v>336</v>
      </c>
      <c r="B161" s="79" t="s">
        <v>344</v>
      </c>
    </row>
    <row r="162" ht="15.75" customHeight="1">
      <c r="A162" s="79" t="s">
        <v>336</v>
      </c>
      <c r="B162" s="79" t="s">
        <v>345</v>
      </c>
    </row>
    <row r="163" ht="15.75" customHeight="1">
      <c r="A163" s="79" t="s">
        <v>336</v>
      </c>
      <c r="B163" s="79" t="s">
        <v>346</v>
      </c>
    </row>
    <row r="164" ht="15.75" customHeight="1">
      <c r="A164" s="79" t="s">
        <v>336</v>
      </c>
      <c r="B164" s="79" t="s">
        <v>347</v>
      </c>
    </row>
    <row r="165" ht="15.75" customHeight="1">
      <c r="A165" s="79" t="s">
        <v>336</v>
      </c>
      <c r="B165" s="79" t="s">
        <v>348</v>
      </c>
    </row>
    <row r="166" ht="15.75" customHeight="1">
      <c r="A166" s="79" t="s">
        <v>336</v>
      </c>
      <c r="B166" s="79" t="s">
        <v>349</v>
      </c>
    </row>
    <row r="167" ht="15.75" customHeight="1">
      <c r="A167" s="79" t="s">
        <v>336</v>
      </c>
      <c r="B167" s="79" t="s">
        <v>350</v>
      </c>
    </row>
    <row r="168" ht="15.75" customHeight="1">
      <c r="A168" s="79" t="s">
        <v>336</v>
      </c>
      <c r="B168" s="79" t="s">
        <v>351</v>
      </c>
    </row>
    <row r="169" ht="15.75" customHeight="1">
      <c r="A169" s="79" t="s">
        <v>352</v>
      </c>
      <c r="B169" s="79" t="s">
        <v>353</v>
      </c>
    </row>
    <row r="170" ht="15.75" customHeight="1">
      <c r="A170" s="79" t="s">
        <v>352</v>
      </c>
      <c r="B170" s="79" t="s">
        <v>354</v>
      </c>
    </row>
    <row r="171" ht="15.75" customHeight="1">
      <c r="A171" s="79" t="s">
        <v>352</v>
      </c>
      <c r="B171" s="79" t="s">
        <v>355</v>
      </c>
    </row>
    <row r="172" ht="15.75" customHeight="1">
      <c r="A172" s="79" t="s">
        <v>352</v>
      </c>
      <c r="B172" s="79" t="s">
        <v>356</v>
      </c>
    </row>
    <row r="173" ht="15.75" customHeight="1">
      <c r="A173" s="79" t="s">
        <v>352</v>
      </c>
      <c r="B173" s="79" t="s">
        <v>357</v>
      </c>
    </row>
    <row r="174" ht="15.75" customHeight="1">
      <c r="A174" s="79" t="s">
        <v>352</v>
      </c>
      <c r="B174" s="79" t="s">
        <v>358</v>
      </c>
    </row>
    <row r="175" ht="15.75" customHeight="1">
      <c r="A175" s="79" t="s">
        <v>352</v>
      </c>
      <c r="B175" s="79" t="s">
        <v>359</v>
      </c>
    </row>
    <row r="176" ht="15.75" customHeight="1">
      <c r="A176" s="79" t="s">
        <v>352</v>
      </c>
      <c r="B176" s="79" t="s">
        <v>360</v>
      </c>
    </row>
    <row r="177" ht="15.75" customHeight="1">
      <c r="A177" s="79" t="s">
        <v>352</v>
      </c>
      <c r="B177" s="79" t="s">
        <v>361</v>
      </c>
    </row>
    <row r="178" ht="15.75" customHeight="1">
      <c r="A178" s="79" t="s">
        <v>352</v>
      </c>
      <c r="B178" s="79" t="s">
        <v>362</v>
      </c>
    </row>
    <row r="179" ht="15.75" customHeight="1">
      <c r="A179" s="79" t="s">
        <v>352</v>
      </c>
      <c r="B179" s="79" t="s">
        <v>363</v>
      </c>
    </row>
    <row r="180" ht="15.75" customHeight="1">
      <c r="A180" s="79" t="s">
        <v>352</v>
      </c>
      <c r="B180" s="79" t="s">
        <v>364</v>
      </c>
    </row>
    <row r="181" ht="15.75" customHeight="1">
      <c r="A181" s="79" t="s">
        <v>352</v>
      </c>
      <c r="B181" s="79" t="s">
        <v>365</v>
      </c>
    </row>
    <row r="182" ht="15.75" customHeight="1">
      <c r="A182" s="79" t="s">
        <v>352</v>
      </c>
      <c r="B182" s="79" t="s">
        <v>366</v>
      </c>
    </row>
    <row r="183" ht="15.75" customHeight="1">
      <c r="A183" s="79" t="s">
        <v>352</v>
      </c>
      <c r="B183" s="79" t="s">
        <v>367</v>
      </c>
    </row>
    <row r="184" ht="15.75" customHeight="1">
      <c r="A184" s="79" t="s">
        <v>352</v>
      </c>
      <c r="B184" s="79" t="s">
        <v>368</v>
      </c>
    </row>
    <row r="185" ht="15.75" customHeight="1">
      <c r="A185" s="79" t="s">
        <v>133</v>
      </c>
      <c r="B185" s="79" t="s">
        <v>369</v>
      </c>
    </row>
    <row r="186" ht="15.75" customHeight="1">
      <c r="A186" s="79" t="s">
        <v>133</v>
      </c>
      <c r="B186" s="79" t="s">
        <v>370</v>
      </c>
    </row>
    <row r="187" ht="15.75" customHeight="1">
      <c r="A187" s="79" t="s">
        <v>133</v>
      </c>
      <c r="B187" s="79" t="s">
        <v>371</v>
      </c>
    </row>
    <row r="188" ht="15.75" customHeight="1">
      <c r="A188" s="79" t="s">
        <v>133</v>
      </c>
      <c r="B188" s="79" t="s">
        <v>372</v>
      </c>
    </row>
    <row r="189" ht="15.75" customHeight="1">
      <c r="A189" s="79" t="s">
        <v>133</v>
      </c>
      <c r="B189" s="79" t="s">
        <v>373</v>
      </c>
    </row>
    <row r="190" ht="15.75" customHeight="1">
      <c r="A190" s="79" t="s">
        <v>133</v>
      </c>
      <c r="B190" s="79" t="s">
        <v>374</v>
      </c>
    </row>
    <row r="191" ht="15.75" customHeight="1">
      <c r="A191" s="79" t="s">
        <v>133</v>
      </c>
      <c r="B191" s="79" t="s">
        <v>375</v>
      </c>
    </row>
    <row r="192" ht="15.75" customHeight="1">
      <c r="A192" s="79" t="s">
        <v>133</v>
      </c>
      <c r="B192" s="79" t="s">
        <v>376</v>
      </c>
    </row>
    <row r="193" ht="15.75" customHeight="1">
      <c r="A193" s="79" t="s">
        <v>133</v>
      </c>
      <c r="B193" s="79" t="s">
        <v>377</v>
      </c>
    </row>
    <row r="194" ht="15.75" customHeight="1">
      <c r="A194" s="79" t="s">
        <v>133</v>
      </c>
      <c r="B194" s="79" t="s">
        <v>378</v>
      </c>
    </row>
    <row r="195" ht="15.75" customHeight="1">
      <c r="A195" s="79" t="s">
        <v>133</v>
      </c>
      <c r="B195" s="79" t="s">
        <v>379</v>
      </c>
    </row>
    <row r="196" ht="15.75" customHeight="1">
      <c r="A196" s="79" t="s">
        <v>133</v>
      </c>
      <c r="B196" s="79" t="s">
        <v>380</v>
      </c>
    </row>
    <row r="197" ht="15.75" customHeight="1">
      <c r="A197" s="79" t="s">
        <v>133</v>
      </c>
      <c r="B197" s="79" t="s">
        <v>381</v>
      </c>
    </row>
    <row r="198" ht="15.75" customHeight="1">
      <c r="A198" s="79" t="s">
        <v>133</v>
      </c>
      <c r="B198" s="79" t="s">
        <v>382</v>
      </c>
    </row>
    <row r="199" ht="15.75" customHeight="1">
      <c r="A199" s="79" t="s">
        <v>133</v>
      </c>
      <c r="B199" s="79" t="s">
        <v>383</v>
      </c>
    </row>
    <row r="200" ht="15.75" customHeight="1">
      <c r="A200" s="79" t="s">
        <v>122</v>
      </c>
      <c r="B200" s="79" t="s">
        <v>384</v>
      </c>
    </row>
    <row r="201" ht="15.75" customHeight="1">
      <c r="A201" s="79" t="s">
        <v>122</v>
      </c>
      <c r="B201" s="79" t="s">
        <v>385</v>
      </c>
    </row>
    <row r="202" ht="15.75" customHeight="1">
      <c r="A202" s="79" t="s">
        <v>122</v>
      </c>
      <c r="B202" s="79" t="s">
        <v>386</v>
      </c>
    </row>
    <row r="203" ht="15.75" customHeight="1">
      <c r="A203" s="79" t="s">
        <v>122</v>
      </c>
      <c r="B203" s="79" t="s">
        <v>387</v>
      </c>
    </row>
    <row r="204" ht="15.75" customHeight="1">
      <c r="A204" s="79" t="s">
        <v>122</v>
      </c>
      <c r="B204" s="79" t="s">
        <v>388</v>
      </c>
    </row>
    <row r="205" ht="15.75" customHeight="1">
      <c r="A205" s="79" t="s">
        <v>122</v>
      </c>
      <c r="B205" s="79" t="s">
        <v>389</v>
      </c>
    </row>
    <row r="206" ht="15.75" customHeight="1">
      <c r="A206" s="79" t="s">
        <v>122</v>
      </c>
      <c r="B206" s="79" t="s">
        <v>390</v>
      </c>
    </row>
    <row r="207" ht="15.75" customHeight="1">
      <c r="A207" s="79" t="s">
        <v>122</v>
      </c>
      <c r="B207" s="79" t="s">
        <v>391</v>
      </c>
    </row>
    <row r="208" ht="15.75" customHeight="1">
      <c r="A208" s="79" t="s">
        <v>122</v>
      </c>
      <c r="B208" s="79" t="s">
        <v>392</v>
      </c>
    </row>
    <row r="209" ht="15.75" customHeight="1">
      <c r="A209" s="79" t="s">
        <v>122</v>
      </c>
      <c r="B209" s="79" t="s">
        <v>393</v>
      </c>
    </row>
    <row r="210" ht="15.75" customHeight="1">
      <c r="A210" s="79" t="s">
        <v>122</v>
      </c>
      <c r="B210" s="79" t="s">
        <v>394</v>
      </c>
    </row>
    <row r="211" ht="15.75" customHeight="1">
      <c r="A211" s="79" t="s">
        <v>122</v>
      </c>
      <c r="B211" s="79" t="s">
        <v>395</v>
      </c>
    </row>
    <row r="212" ht="15.75" customHeight="1">
      <c r="A212" s="79" t="s">
        <v>122</v>
      </c>
      <c r="B212" s="79" t="s">
        <v>396</v>
      </c>
    </row>
    <row r="213" ht="15.75" customHeight="1">
      <c r="A213" s="79" t="s">
        <v>122</v>
      </c>
      <c r="B213" s="79" t="s">
        <v>397</v>
      </c>
    </row>
    <row r="214" ht="15.75" customHeight="1">
      <c r="A214" s="79" t="s">
        <v>122</v>
      </c>
      <c r="B214" s="79" t="s">
        <v>398</v>
      </c>
    </row>
    <row r="215" ht="15.75" customHeight="1">
      <c r="A215" s="79" t="s">
        <v>122</v>
      </c>
      <c r="B215" s="79" t="s">
        <v>399</v>
      </c>
    </row>
    <row r="216" ht="15.75" customHeight="1">
      <c r="A216" s="79" t="s">
        <v>122</v>
      </c>
      <c r="B216" s="79" t="s">
        <v>400</v>
      </c>
    </row>
    <row r="217" ht="15.75" customHeight="1">
      <c r="A217" s="79" t="s">
        <v>401</v>
      </c>
      <c r="B217" s="79" t="s">
        <v>402</v>
      </c>
    </row>
    <row r="218" ht="15.75" customHeight="1">
      <c r="A218" s="79" t="s">
        <v>401</v>
      </c>
      <c r="B218" s="79" t="s">
        <v>403</v>
      </c>
    </row>
    <row r="219" ht="15.75" customHeight="1">
      <c r="A219" s="79" t="s">
        <v>401</v>
      </c>
      <c r="B219" s="79" t="s">
        <v>404</v>
      </c>
    </row>
    <row r="220" ht="15.75" customHeight="1">
      <c r="A220" s="79" t="s">
        <v>401</v>
      </c>
      <c r="B220" s="79" t="s">
        <v>405</v>
      </c>
    </row>
    <row r="221" ht="15.75" customHeight="1">
      <c r="A221" s="79" t="s">
        <v>401</v>
      </c>
      <c r="B221" s="79" t="s">
        <v>406</v>
      </c>
    </row>
    <row r="222" ht="15.75" customHeight="1">
      <c r="A222" s="79" t="s">
        <v>401</v>
      </c>
      <c r="B222" s="79" t="s">
        <v>407</v>
      </c>
    </row>
    <row r="223" ht="15.75" customHeight="1">
      <c r="A223" s="79" t="s">
        <v>401</v>
      </c>
      <c r="B223" s="79" t="s">
        <v>408</v>
      </c>
    </row>
    <row r="224" ht="15.75" customHeight="1">
      <c r="A224" s="79" t="s">
        <v>401</v>
      </c>
      <c r="B224" s="79" t="s">
        <v>409</v>
      </c>
    </row>
    <row r="225" ht="15.75" customHeight="1">
      <c r="A225" s="79" t="s">
        <v>401</v>
      </c>
      <c r="B225" s="79" t="s">
        <v>410</v>
      </c>
    </row>
    <row r="226" ht="15.75" customHeight="1">
      <c r="A226" s="79" t="s">
        <v>401</v>
      </c>
      <c r="B226" s="79" t="s">
        <v>411</v>
      </c>
    </row>
    <row r="227" ht="15.75" customHeight="1">
      <c r="A227" s="79" t="s">
        <v>401</v>
      </c>
      <c r="B227" s="79" t="s">
        <v>412</v>
      </c>
    </row>
    <row r="228" ht="15.75" customHeight="1">
      <c r="A228" s="79" t="s">
        <v>401</v>
      </c>
      <c r="B228" s="79" t="s">
        <v>413</v>
      </c>
    </row>
    <row r="229" ht="15.75" customHeight="1">
      <c r="A229" s="79" t="s">
        <v>401</v>
      </c>
      <c r="B229" s="79" t="s">
        <v>414</v>
      </c>
    </row>
    <row r="230" ht="15.75" customHeight="1">
      <c r="A230" s="79" t="s">
        <v>401</v>
      </c>
      <c r="B230" s="79" t="s">
        <v>415</v>
      </c>
    </row>
    <row r="231" ht="15.75" customHeight="1">
      <c r="A231" s="79" t="s">
        <v>401</v>
      </c>
      <c r="B231" s="79" t="s">
        <v>416</v>
      </c>
    </row>
    <row r="232" ht="15.75" customHeight="1">
      <c r="A232" s="79" t="s">
        <v>401</v>
      </c>
      <c r="B232" s="79" t="s">
        <v>417</v>
      </c>
    </row>
    <row r="233" ht="15.75" customHeight="1">
      <c r="A233" s="79" t="s">
        <v>401</v>
      </c>
      <c r="B233" s="79" t="s">
        <v>418</v>
      </c>
    </row>
    <row r="234" ht="15.75" customHeight="1">
      <c r="A234" s="79" t="s">
        <v>129</v>
      </c>
      <c r="B234" s="79" t="s">
        <v>419</v>
      </c>
    </row>
    <row r="235" ht="15.75" customHeight="1">
      <c r="A235" s="79" t="s">
        <v>129</v>
      </c>
      <c r="B235" s="79" t="s">
        <v>420</v>
      </c>
    </row>
    <row r="236" ht="15.75" customHeight="1">
      <c r="A236" s="79" t="s">
        <v>129</v>
      </c>
      <c r="B236" s="79" t="s">
        <v>421</v>
      </c>
    </row>
    <row r="237" ht="15.75" customHeight="1">
      <c r="A237" s="79" t="s">
        <v>129</v>
      </c>
      <c r="B237" s="79" t="s">
        <v>422</v>
      </c>
    </row>
    <row r="238" ht="15.75" customHeight="1">
      <c r="A238" s="79" t="s">
        <v>129</v>
      </c>
      <c r="B238" s="79" t="s">
        <v>423</v>
      </c>
    </row>
    <row r="239" ht="15.75" customHeight="1">
      <c r="A239" s="79" t="s">
        <v>129</v>
      </c>
      <c r="B239" s="79" t="s">
        <v>424</v>
      </c>
    </row>
    <row r="240" ht="15.75" customHeight="1">
      <c r="A240" s="79" t="s">
        <v>129</v>
      </c>
      <c r="B240" s="79" t="s">
        <v>425</v>
      </c>
    </row>
    <row r="241" ht="15.75" customHeight="1">
      <c r="A241" s="79" t="s">
        <v>129</v>
      </c>
      <c r="B241" s="79" t="s">
        <v>426</v>
      </c>
    </row>
    <row r="242" ht="15.75" customHeight="1">
      <c r="A242" s="79" t="s">
        <v>129</v>
      </c>
      <c r="B242" s="79" t="s">
        <v>427</v>
      </c>
    </row>
    <row r="243" ht="15.75" customHeight="1">
      <c r="A243" s="79" t="s">
        <v>129</v>
      </c>
      <c r="B243" s="79" t="s">
        <v>428</v>
      </c>
    </row>
    <row r="244" ht="15.75" customHeight="1">
      <c r="A244" s="79" t="s">
        <v>129</v>
      </c>
      <c r="B244" s="79" t="s">
        <v>429</v>
      </c>
    </row>
    <row r="245" ht="15.75" customHeight="1">
      <c r="A245" s="79" t="s">
        <v>129</v>
      </c>
      <c r="B245" s="79" t="s">
        <v>430</v>
      </c>
    </row>
    <row r="246" ht="15.75" customHeight="1">
      <c r="A246" s="79" t="s">
        <v>129</v>
      </c>
      <c r="B246" s="79" t="s">
        <v>431</v>
      </c>
    </row>
    <row r="247" ht="15.75" customHeight="1">
      <c r="A247" s="79" t="s">
        <v>129</v>
      </c>
      <c r="B247" s="79" t="s">
        <v>432</v>
      </c>
    </row>
    <row r="248" ht="15.75" customHeight="1">
      <c r="A248" s="79" t="s">
        <v>129</v>
      </c>
      <c r="B248" s="79" t="s">
        <v>433</v>
      </c>
    </row>
    <row r="249" ht="15.75" customHeight="1">
      <c r="A249" s="79" t="s">
        <v>150</v>
      </c>
      <c r="B249" s="79" t="s">
        <v>434</v>
      </c>
    </row>
    <row r="250" ht="15.75" customHeight="1">
      <c r="A250" s="79" t="s">
        <v>150</v>
      </c>
      <c r="B250" s="79" t="s">
        <v>435</v>
      </c>
    </row>
    <row r="251" ht="15.75" customHeight="1">
      <c r="A251" s="79" t="s">
        <v>150</v>
      </c>
      <c r="B251" s="79" t="s">
        <v>436</v>
      </c>
    </row>
    <row r="252" ht="15.75" customHeight="1">
      <c r="A252" s="79" t="s">
        <v>150</v>
      </c>
      <c r="B252" s="79" t="s">
        <v>437</v>
      </c>
    </row>
    <row r="253" ht="15.75" customHeight="1">
      <c r="A253" s="79" t="s">
        <v>150</v>
      </c>
      <c r="B253" s="79" t="s">
        <v>438</v>
      </c>
    </row>
    <row r="254" ht="15.75" customHeight="1">
      <c r="A254" s="79" t="s">
        <v>150</v>
      </c>
      <c r="B254" s="79" t="s">
        <v>439</v>
      </c>
    </row>
    <row r="255" ht="15.75" customHeight="1">
      <c r="A255" s="79" t="s">
        <v>150</v>
      </c>
      <c r="B255" s="79" t="s">
        <v>440</v>
      </c>
    </row>
    <row r="256" ht="15.75" customHeight="1">
      <c r="A256" s="79" t="s">
        <v>150</v>
      </c>
      <c r="B256" s="79" t="s">
        <v>441</v>
      </c>
    </row>
    <row r="257" ht="15.75" customHeight="1">
      <c r="A257" s="79" t="s">
        <v>150</v>
      </c>
      <c r="B257" s="79" t="s">
        <v>442</v>
      </c>
    </row>
    <row r="258" ht="15.75" customHeight="1">
      <c r="A258" s="79" t="s">
        <v>150</v>
      </c>
      <c r="B258" s="79" t="s">
        <v>443</v>
      </c>
    </row>
    <row r="259" ht="15.75" customHeight="1">
      <c r="A259" s="79" t="s">
        <v>150</v>
      </c>
      <c r="B259" s="79" t="s">
        <v>444</v>
      </c>
    </row>
    <row r="260" ht="15.75" customHeight="1">
      <c r="A260" s="79" t="s">
        <v>150</v>
      </c>
      <c r="B260" s="79" t="s">
        <v>445</v>
      </c>
    </row>
    <row r="261" ht="15.75" customHeight="1">
      <c r="A261" s="79" t="s">
        <v>150</v>
      </c>
      <c r="B261" s="79" t="s">
        <v>446</v>
      </c>
    </row>
    <row r="262" ht="15.75" customHeight="1">
      <c r="A262" s="79" t="s">
        <v>150</v>
      </c>
      <c r="B262" s="79" t="s">
        <v>447</v>
      </c>
    </row>
    <row r="263" ht="15.75" customHeight="1">
      <c r="A263" s="79" t="s">
        <v>150</v>
      </c>
      <c r="B263" s="79" t="s">
        <v>448</v>
      </c>
    </row>
    <row r="264" ht="15.75" customHeight="1">
      <c r="A264" s="79" t="s">
        <v>150</v>
      </c>
      <c r="B264" s="79" t="s">
        <v>449</v>
      </c>
    </row>
    <row r="265" ht="15.75" customHeight="1">
      <c r="A265" s="79" t="s">
        <v>113</v>
      </c>
      <c r="B265" s="79" t="s">
        <v>450</v>
      </c>
    </row>
    <row r="266" ht="15.75" customHeight="1">
      <c r="A266" s="79" t="s">
        <v>113</v>
      </c>
      <c r="B266" s="79" t="s">
        <v>451</v>
      </c>
    </row>
    <row r="267" ht="15.75" customHeight="1">
      <c r="A267" s="79" t="s">
        <v>113</v>
      </c>
      <c r="B267" s="79" t="s">
        <v>452</v>
      </c>
    </row>
    <row r="268" ht="15.75" customHeight="1">
      <c r="A268" s="79" t="s">
        <v>113</v>
      </c>
      <c r="B268" s="79" t="s">
        <v>453</v>
      </c>
    </row>
    <row r="269" ht="15.75" customHeight="1">
      <c r="A269" s="79" t="s">
        <v>113</v>
      </c>
      <c r="B269" s="79" t="s">
        <v>454</v>
      </c>
    </row>
    <row r="270" ht="15.75" customHeight="1">
      <c r="A270" s="79" t="s">
        <v>113</v>
      </c>
      <c r="B270" s="79" t="s">
        <v>455</v>
      </c>
    </row>
    <row r="271" ht="15.75" customHeight="1">
      <c r="A271" s="79" t="s">
        <v>113</v>
      </c>
      <c r="B271" s="79" t="s">
        <v>456</v>
      </c>
    </row>
    <row r="272" ht="15.75" customHeight="1">
      <c r="A272" s="79" t="s">
        <v>113</v>
      </c>
      <c r="B272" s="79" t="s">
        <v>457</v>
      </c>
    </row>
    <row r="273" ht="15.75" customHeight="1">
      <c r="A273" s="79" t="s">
        <v>113</v>
      </c>
      <c r="B273" s="79" t="s">
        <v>458</v>
      </c>
    </row>
    <row r="274" ht="15.75" customHeight="1">
      <c r="A274" s="79" t="s">
        <v>113</v>
      </c>
      <c r="B274" s="79" t="s">
        <v>459</v>
      </c>
    </row>
    <row r="275" ht="15.75" customHeight="1">
      <c r="A275" s="79" t="s">
        <v>113</v>
      </c>
      <c r="B275" s="79" t="s">
        <v>460</v>
      </c>
    </row>
    <row r="276" ht="15.75" customHeight="1">
      <c r="A276" s="79" t="s">
        <v>113</v>
      </c>
      <c r="B276" s="79" t="s">
        <v>461</v>
      </c>
    </row>
    <row r="277" ht="15.75" customHeight="1">
      <c r="A277" s="79" t="s">
        <v>113</v>
      </c>
      <c r="B277" s="79" t="s">
        <v>462</v>
      </c>
    </row>
    <row r="278" ht="15.75" customHeight="1">
      <c r="A278" s="79" t="s">
        <v>113</v>
      </c>
      <c r="B278" s="79" t="s">
        <v>463</v>
      </c>
    </row>
    <row r="279" ht="15.75" customHeight="1">
      <c r="A279" s="79" t="s">
        <v>113</v>
      </c>
      <c r="B279" s="79" t="s">
        <v>464</v>
      </c>
    </row>
    <row r="280" ht="15.75" customHeight="1">
      <c r="A280" s="79" t="s">
        <v>113</v>
      </c>
      <c r="B280" s="79" t="s">
        <v>465</v>
      </c>
    </row>
    <row r="281" ht="15.75" customHeight="1">
      <c r="A281" s="79" t="s">
        <v>113</v>
      </c>
      <c r="B281" s="79" t="s">
        <v>466</v>
      </c>
    </row>
    <row r="282" ht="15.75" customHeight="1">
      <c r="A282" s="79" t="s">
        <v>113</v>
      </c>
      <c r="B282" s="79" t="s">
        <v>467</v>
      </c>
    </row>
    <row r="283" ht="15.75" customHeight="1">
      <c r="A283" s="79" t="s">
        <v>137</v>
      </c>
      <c r="B283" s="79" t="s">
        <v>468</v>
      </c>
    </row>
    <row r="284" ht="15.75" customHeight="1">
      <c r="A284" s="79" t="s">
        <v>137</v>
      </c>
      <c r="B284" s="79" t="s">
        <v>469</v>
      </c>
    </row>
    <row r="285" ht="15.75" customHeight="1">
      <c r="A285" s="79" t="s">
        <v>137</v>
      </c>
      <c r="B285" s="79" t="s">
        <v>470</v>
      </c>
    </row>
    <row r="286" ht="15.75" customHeight="1">
      <c r="A286" s="79" t="s">
        <v>137</v>
      </c>
      <c r="B286" s="79" t="s">
        <v>471</v>
      </c>
    </row>
    <row r="287" ht="15.75" customHeight="1">
      <c r="A287" s="79" t="s">
        <v>137</v>
      </c>
      <c r="B287" s="79" t="s">
        <v>472</v>
      </c>
    </row>
    <row r="288" ht="15.75" customHeight="1">
      <c r="A288" s="79" t="s">
        <v>137</v>
      </c>
      <c r="B288" s="79" t="s">
        <v>473</v>
      </c>
    </row>
    <row r="289" ht="15.75" customHeight="1">
      <c r="A289" s="79" t="s">
        <v>137</v>
      </c>
      <c r="B289" s="79" t="s">
        <v>474</v>
      </c>
    </row>
    <row r="290" ht="15.75" customHeight="1">
      <c r="A290" s="79" t="s">
        <v>137</v>
      </c>
      <c r="B290" s="79" t="s">
        <v>475</v>
      </c>
    </row>
    <row r="291" ht="15.75" customHeight="1">
      <c r="A291" s="79" t="s">
        <v>137</v>
      </c>
      <c r="B291" s="79" t="s">
        <v>476</v>
      </c>
    </row>
    <row r="292" ht="15.75" customHeight="1">
      <c r="A292" s="79" t="s">
        <v>137</v>
      </c>
      <c r="B292" s="79" t="s">
        <v>477</v>
      </c>
    </row>
    <row r="293" ht="15.75" customHeight="1">
      <c r="A293" s="79" t="s">
        <v>137</v>
      </c>
      <c r="B293" s="79" t="s">
        <v>478</v>
      </c>
    </row>
    <row r="294" ht="15.75" customHeight="1">
      <c r="A294" s="79" t="s">
        <v>137</v>
      </c>
      <c r="B294" s="79" t="s">
        <v>479</v>
      </c>
    </row>
    <row r="295" ht="15.75" customHeight="1">
      <c r="A295" s="79" t="s">
        <v>137</v>
      </c>
      <c r="B295" s="79" t="s">
        <v>480</v>
      </c>
    </row>
    <row r="296" ht="15.75" customHeight="1">
      <c r="A296" s="79" t="s">
        <v>137</v>
      </c>
      <c r="B296" s="79" t="s">
        <v>481</v>
      </c>
    </row>
    <row r="297" ht="15.75" customHeight="1">
      <c r="A297" s="79" t="s">
        <v>137</v>
      </c>
      <c r="B297" s="79" t="s">
        <v>482</v>
      </c>
    </row>
    <row r="298" ht="15.75" customHeight="1">
      <c r="A298" s="79" t="s">
        <v>137</v>
      </c>
      <c r="B298" s="79" t="s">
        <v>483</v>
      </c>
    </row>
    <row r="299" ht="15.75" customHeight="1">
      <c r="A299" s="79" t="s">
        <v>137</v>
      </c>
      <c r="B299" s="79" t="s">
        <v>484</v>
      </c>
    </row>
    <row r="300" ht="15.75" customHeight="1">
      <c r="A300" s="79" t="s">
        <v>485</v>
      </c>
      <c r="B300" s="79" t="s">
        <v>486</v>
      </c>
    </row>
    <row r="301" ht="15.75" customHeight="1">
      <c r="A301" s="79" t="s">
        <v>485</v>
      </c>
      <c r="B301" s="79" t="s">
        <v>487</v>
      </c>
    </row>
    <row r="302" ht="15.75" customHeight="1">
      <c r="A302" s="79" t="s">
        <v>485</v>
      </c>
      <c r="B302" s="79" t="s">
        <v>488</v>
      </c>
    </row>
    <row r="303" ht="15.75" customHeight="1">
      <c r="A303" s="79" t="s">
        <v>485</v>
      </c>
      <c r="B303" s="79" t="s">
        <v>489</v>
      </c>
    </row>
    <row r="304" ht="15.75" customHeight="1">
      <c r="A304" s="79" t="s">
        <v>485</v>
      </c>
      <c r="B304" s="79" t="s">
        <v>490</v>
      </c>
    </row>
    <row r="305" ht="15.75" customHeight="1">
      <c r="A305" s="79" t="s">
        <v>485</v>
      </c>
      <c r="B305" s="79" t="s">
        <v>491</v>
      </c>
    </row>
    <row r="306" ht="15.75" customHeight="1">
      <c r="A306" s="79" t="s">
        <v>485</v>
      </c>
      <c r="B306" s="79" t="s">
        <v>492</v>
      </c>
    </row>
    <row r="307" ht="15.75" customHeight="1">
      <c r="A307" s="79" t="s">
        <v>485</v>
      </c>
      <c r="B307" s="79" t="s">
        <v>493</v>
      </c>
    </row>
    <row r="308" ht="15.75" customHeight="1">
      <c r="A308" s="79" t="s">
        <v>485</v>
      </c>
      <c r="B308" s="79" t="s">
        <v>494</v>
      </c>
    </row>
    <row r="309" ht="15.75" customHeight="1">
      <c r="A309" s="79" t="s">
        <v>485</v>
      </c>
      <c r="B309" s="79" t="s">
        <v>495</v>
      </c>
    </row>
    <row r="310" ht="15.75" customHeight="1">
      <c r="A310" s="79" t="s">
        <v>485</v>
      </c>
      <c r="B310" s="79" t="s">
        <v>496</v>
      </c>
    </row>
    <row r="311" ht="15.75" customHeight="1">
      <c r="A311" s="79" t="s">
        <v>485</v>
      </c>
      <c r="B311" s="79" t="s">
        <v>497</v>
      </c>
    </row>
    <row r="312" ht="15.75" customHeight="1">
      <c r="A312" s="79" t="s">
        <v>485</v>
      </c>
      <c r="B312" s="79" t="s">
        <v>498</v>
      </c>
    </row>
    <row r="313" ht="15.75" customHeight="1">
      <c r="A313" s="79" t="s">
        <v>485</v>
      </c>
      <c r="B313" s="79" t="s">
        <v>499</v>
      </c>
    </row>
    <row r="314" ht="15.75" customHeight="1">
      <c r="A314" s="79" t="s">
        <v>485</v>
      </c>
      <c r="B314" s="79" t="s">
        <v>500</v>
      </c>
    </row>
    <row r="315" ht="15.75" customHeight="1">
      <c r="A315" s="79" t="s">
        <v>501</v>
      </c>
      <c r="B315" s="79" t="s">
        <v>502</v>
      </c>
    </row>
    <row r="316" ht="15.75" customHeight="1">
      <c r="A316" s="79" t="s">
        <v>501</v>
      </c>
      <c r="B316" s="79" t="s">
        <v>503</v>
      </c>
    </row>
    <row r="317" ht="15.75" customHeight="1">
      <c r="A317" s="79" t="s">
        <v>501</v>
      </c>
      <c r="B317" s="79" t="s">
        <v>504</v>
      </c>
    </row>
    <row r="318" ht="15.75" customHeight="1">
      <c r="A318" s="79" t="s">
        <v>501</v>
      </c>
      <c r="B318" s="79" t="s">
        <v>505</v>
      </c>
    </row>
    <row r="319" ht="15.75" customHeight="1">
      <c r="A319" s="79" t="s">
        <v>501</v>
      </c>
      <c r="B319" s="79" t="s">
        <v>506</v>
      </c>
    </row>
    <row r="320" ht="15.75" customHeight="1">
      <c r="A320" s="79" t="s">
        <v>501</v>
      </c>
      <c r="B320" s="79" t="s">
        <v>507</v>
      </c>
    </row>
    <row r="321" ht="15.75" customHeight="1">
      <c r="A321" s="79" t="s">
        <v>501</v>
      </c>
      <c r="B321" s="79" t="s">
        <v>508</v>
      </c>
    </row>
    <row r="322" ht="15.75" customHeight="1">
      <c r="A322" s="79" t="s">
        <v>501</v>
      </c>
      <c r="B322" s="79" t="s">
        <v>509</v>
      </c>
    </row>
    <row r="323" ht="15.75" customHeight="1">
      <c r="A323" s="79" t="s">
        <v>501</v>
      </c>
      <c r="B323" s="79" t="s">
        <v>510</v>
      </c>
    </row>
    <row r="324" ht="15.75" customHeight="1">
      <c r="A324" s="79" t="s">
        <v>501</v>
      </c>
      <c r="B324" s="79" t="s">
        <v>511</v>
      </c>
    </row>
    <row r="325" ht="15.75" customHeight="1">
      <c r="A325" s="79" t="s">
        <v>501</v>
      </c>
      <c r="B325" s="79" t="s">
        <v>512</v>
      </c>
    </row>
    <row r="326" ht="15.75" customHeight="1">
      <c r="A326" s="79" t="s">
        <v>501</v>
      </c>
      <c r="B326" s="79" t="s">
        <v>513</v>
      </c>
    </row>
    <row r="327" ht="15.75" customHeight="1">
      <c r="A327" s="79" t="s">
        <v>501</v>
      </c>
      <c r="B327" s="79" t="s">
        <v>514</v>
      </c>
    </row>
    <row r="328" ht="15.75" customHeight="1">
      <c r="A328" s="79" t="s">
        <v>501</v>
      </c>
      <c r="B328" s="79" t="s">
        <v>515</v>
      </c>
    </row>
    <row r="329" ht="15.75" customHeight="1">
      <c r="A329" s="79" t="s">
        <v>501</v>
      </c>
      <c r="B329" s="79" t="s">
        <v>516</v>
      </c>
    </row>
    <row r="330" ht="15.75" customHeight="1">
      <c r="A330" s="79" t="s">
        <v>517</v>
      </c>
      <c r="B330" s="79" t="s">
        <v>518</v>
      </c>
    </row>
    <row r="331" ht="15.75" customHeight="1">
      <c r="A331" s="79" t="s">
        <v>517</v>
      </c>
      <c r="B331" s="79" t="s">
        <v>519</v>
      </c>
    </row>
    <row r="332" ht="15.75" customHeight="1">
      <c r="A332" s="79" t="s">
        <v>517</v>
      </c>
      <c r="B332" s="79" t="s">
        <v>520</v>
      </c>
    </row>
    <row r="333" ht="15.75" customHeight="1">
      <c r="A333" s="79" t="s">
        <v>517</v>
      </c>
      <c r="B333" s="79" t="s">
        <v>521</v>
      </c>
    </row>
    <row r="334" ht="15.75" customHeight="1">
      <c r="A334" s="79" t="s">
        <v>517</v>
      </c>
      <c r="B334" s="79" t="s">
        <v>522</v>
      </c>
    </row>
    <row r="335" ht="15.75" customHeight="1">
      <c r="A335" s="79" t="s">
        <v>517</v>
      </c>
      <c r="B335" s="79" t="s">
        <v>523</v>
      </c>
    </row>
    <row r="336" ht="15.75" customHeight="1">
      <c r="A336" s="79" t="s">
        <v>517</v>
      </c>
      <c r="B336" s="79" t="s">
        <v>524</v>
      </c>
    </row>
    <row r="337" ht="15.75" customHeight="1">
      <c r="A337" s="79" t="s">
        <v>517</v>
      </c>
      <c r="B337" s="79" t="s">
        <v>525</v>
      </c>
    </row>
    <row r="338" ht="15.75" customHeight="1">
      <c r="A338" s="79" t="s">
        <v>517</v>
      </c>
      <c r="B338" s="79" t="s">
        <v>526</v>
      </c>
    </row>
    <row r="339" ht="15.75" customHeight="1">
      <c r="A339" s="79" t="s">
        <v>517</v>
      </c>
      <c r="B339" s="79" t="s">
        <v>527</v>
      </c>
    </row>
    <row r="340" ht="15.75" customHeight="1">
      <c r="A340" s="79" t="s">
        <v>517</v>
      </c>
      <c r="B340" s="79" t="s">
        <v>528</v>
      </c>
    </row>
    <row r="341" ht="15.75" customHeight="1">
      <c r="A341" s="79" t="s">
        <v>517</v>
      </c>
      <c r="B341" s="79" t="s">
        <v>529</v>
      </c>
    </row>
    <row r="342" ht="15.75" customHeight="1">
      <c r="A342" s="79" t="s">
        <v>517</v>
      </c>
      <c r="B342" s="79" t="s">
        <v>530</v>
      </c>
    </row>
    <row r="343" ht="15.75" customHeight="1">
      <c r="A343" s="79" t="s">
        <v>517</v>
      </c>
      <c r="B343" s="79" t="s">
        <v>531</v>
      </c>
    </row>
    <row r="344" ht="15.75" customHeight="1">
      <c r="A344" s="79" t="s">
        <v>517</v>
      </c>
      <c r="B344" s="79" t="s">
        <v>532</v>
      </c>
    </row>
    <row r="345" ht="15.75" customHeight="1">
      <c r="A345" s="79" t="s">
        <v>517</v>
      </c>
      <c r="B345" s="79" t="s">
        <v>533</v>
      </c>
    </row>
    <row r="346" ht="15.75" customHeight="1">
      <c r="A346" s="79" t="s">
        <v>534</v>
      </c>
      <c r="B346" s="79" t="s">
        <v>535</v>
      </c>
    </row>
    <row r="347" ht="15.75" customHeight="1">
      <c r="A347" s="79" t="s">
        <v>534</v>
      </c>
      <c r="B347" s="79" t="s">
        <v>536</v>
      </c>
    </row>
    <row r="348" ht="15.75" customHeight="1">
      <c r="A348" s="79" t="s">
        <v>534</v>
      </c>
      <c r="B348" s="79" t="s">
        <v>537</v>
      </c>
    </row>
    <row r="349" ht="15.75" customHeight="1">
      <c r="A349" s="79" t="s">
        <v>534</v>
      </c>
      <c r="B349" s="79" t="s">
        <v>538</v>
      </c>
    </row>
    <row r="350" ht="15.75" customHeight="1">
      <c r="A350" s="79" t="s">
        <v>534</v>
      </c>
      <c r="B350" s="79" t="s">
        <v>539</v>
      </c>
    </row>
    <row r="351" ht="15.75" customHeight="1">
      <c r="A351" s="79" t="s">
        <v>534</v>
      </c>
      <c r="B351" s="79" t="s">
        <v>540</v>
      </c>
    </row>
    <row r="352" ht="15.75" customHeight="1">
      <c r="A352" s="79" t="s">
        <v>534</v>
      </c>
      <c r="B352" s="79" t="s">
        <v>541</v>
      </c>
    </row>
    <row r="353" ht="15.75" customHeight="1">
      <c r="A353" s="79" t="s">
        <v>534</v>
      </c>
      <c r="B353" s="79" t="s">
        <v>542</v>
      </c>
    </row>
    <row r="354" ht="15.75" customHeight="1">
      <c r="A354" s="79" t="s">
        <v>534</v>
      </c>
      <c r="B354" s="79" t="s">
        <v>543</v>
      </c>
    </row>
    <row r="355" ht="15.75" customHeight="1">
      <c r="A355" s="79" t="s">
        <v>534</v>
      </c>
      <c r="B355" s="79" t="s">
        <v>544</v>
      </c>
    </row>
    <row r="356" ht="15.75" customHeight="1">
      <c r="A356" s="79" t="s">
        <v>534</v>
      </c>
      <c r="B356" s="79" t="s">
        <v>545</v>
      </c>
    </row>
    <row r="357" ht="15.75" customHeight="1">
      <c r="A357" s="79" t="s">
        <v>534</v>
      </c>
      <c r="B357" s="79" t="s">
        <v>546</v>
      </c>
    </row>
    <row r="358" ht="15.75" customHeight="1">
      <c r="A358" s="79" t="s">
        <v>534</v>
      </c>
      <c r="B358" s="79" t="s">
        <v>547</v>
      </c>
    </row>
    <row r="359" ht="15.75" customHeight="1">
      <c r="A359" s="79" t="s">
        <v>114</v>
      </c>
      <c r="B359" s="79" t="s">
        <v>548</v>
      </c>
    </row>
    <row r="360" ht="15.75" customHeight="1">
      <c r="A360" s="79" t="s">
        <v>114</v>
      </c>
      <c r="B360" s="79" t="s">
        <v>549</v>
      </c>
    </row>
    <row r="361" ht="15.75" customHeight="1">
      <c r="A361" s="79" t="s">
        <v>114</v>
      </c>
      <c r="B361" s="79" t="s">
        <v>550</v>
      </c>
    </row>
    <row r="362" ht="15.75" customHeight="1">
      <c r="A362" s="79" t="s">
        <v>114</v>
      </c>
      <c r="B362" s="79" t="s">
        <v>551</v>
      </c>
    </row>
    <row r="363" ht="15.75" customHeight="1">
      <c r="A363" s="79" t="s">
        <v>114</v>
      </c>
      <c r="B363" s="79" t="s">
        <v>552</v>
      </c>
    </row>
    <row r="364" ht="15.75" customHeight="1">
      <c r="A364" s="79" t="s">
        <v>114</v>
      </c>
      <c r="B364" s="79" t="s">
        <v>553</v>
      </c>
    </row>
    <row r="365" ht="15.75" customHeight="1">
      <c r="A365" s="79" t="s">
        <v>114</v>
      </c>
      <c r="B365" s="79" t="s">
        <v>554</v>
      </c>
    </row>
    <row r="366" ht="15.75" customHeight="1">
      <c r="A366" s="79" t="s">
        <v>114</v>
      </c>
      <c r="B366" s="79" t="s">
        <v>555</v>
      </c>
    </row>
    <row r="367" ht="15.75" customHeight="1">
      <c r="A367" s="79" t="s">
        <v>114</v>
      </c>
      <c r="B367" s="79" t="s">
        <v>556</v>
      </c>
    </row>
    <row r="368" ht="15.75" customHeight="1">
      <c r="A368" s="79" t="s">
        <v>114</v>
      </c>
      <c r="B368" s="79" t="s">
        <v>557</v>
      </c>
    </row>
    <row r="369" ht="15.75" customHeight="1">
      <c r="A369" s="79" t="s">
        <v>114</v>
      </c>
      <c r="B369" s="79" t="s">
        <v>558</v>
      </c>
    </row>
    <row r="370" ht="15.75" customHeight="1">
      <c r="A370" s="79" t="s">
        <v>114</v>
      </c>
      <c r="B370" s="79" t="s">
        <v>559</v>
      </c>
    </row>
    <row r="371" ht="15.75" customHeight="1">
      <c r="A371" s="79" t="s">
        <v>114</v>
      </c>
      <c r="B371" s="79" t="s">
        <v>560</v>
      </c>
    </row>
    <row r="372" ht="15.75" customHeight="1">
      <c r="A372" s="79" t="s">
        <v>114</v>
      </c>
      <c r="B372" s="79" t="s">
        <v>561</v>
      </c>
    </row>
    <row r="373" ht="15.75" customHeight="1">
      <c r="A373" s="79" t="s">
        <v>562</v>
      </c>
      <c r="B373" s="79" t="s">
        <v>563</v>
      </c>
    </row>
    <row r="374" ht="15.75" customHeight="1">
      <c r="A374" s="79" t="s">
        <v>562</v>
      </c>
      <c r="B374" s="79" t="s">
        <v>564</v>
      </c>
    </row>
    <row r="375" ht="15.75" customHeight="1">
      <c r="A375" s="79" t="s">
        <v>562</v>
      </c>
      <c r="B375" s="79" t="s">
        <v>565</v>
      </c>
    </row>
    <row r="376" ht="15.75" customHeight="1">
      <c r="A376" s="79" t="s">
        <v>562</v>
      </c>
      <c r="B376" s="79" t="s">
        <v>566</v>
      </c>
    </row>
    <row r="377" ht="15.75" customHeight="1">
      <c r="A377" s="79" t="s">
        <v>562</v>
      </c>
      <c r="B377" s="79" t="s">
        <v>567</v>
      </c>
    </row>
    <row r="378" ht="15.75" customHeight="1">
      <c r="A378" s="79" t="s">
        <v>562</v>
      </c>
      <c r="B378" s="79" t="s">
        <v>568</v>
      </c>
    </row>
    <row r="379" ht="15.75" customHeight="1">
      <c r="A379" s="79" t="s">
        <v>562</v>
      </c>
      <c r="B379" s="79" t="s">
        <v>569</v>
      </c>
    </row>
    <row r="380" ht="15.75" customHeight="1">
      <c r="A380" s="79" t="s">
        <v>562</v>
      </c>
      <c r="B380" s="79" t="s">
        <v>570</v>
      </c>
    </row>
    <row r="381" ht="15.75" customHeight="1">
      <c r="A381" s="79" t="s">
        <v>562</v>
      </c>
      <c r="B381" s="79" t="s">
        <v>571</v>
      </c>
    </row>
    <row r="382" ht="15.75" customHeight="1">
      <c r="A382" s="79" t="s">
        <v>562</v>
      </c>
      <c r="B382" s="79" t="s">
        <v>572</v>
      </c>
    </row>
    <row r="383" ht="15.75" customHeight="1">
      <c r="A383" s="79" t="s">
        <v>562</v>
      </c>
      <c r="B383" s="79" t="s">
        <v>573</v>
      </c>
    </row>
    <row r="384" ht="15.75" customHeight="1">
      <c r="A384" s="79" t="s">
        <v>562</v>
      </c>
      <c r="B384" s="79" t="s">
        <v>574</v>
      </c>
    </row>
    <row r="385" ht="15.75" customHeight="1">
      <c r="A385" s="79" t="s">
        <v>562</v>
      </c>
      <c r="B385" s="79" t="s">
        <v>575</v>
      </c>
    </row>
    <row r="386" ht="15.75" customHeight="1">
      <c r="A386" s="79" t="s">
        <v>562</v>
      </c>
      <c r="B386" s="79" t="s">
        <v>576</v>
      </c>
    </row>
    <row r="387" ht="15.75" customHeight="1">
      <c r="A387" s="79" t="s">
        <v>562</v>
      </c>
      <c r="B387" s="79" t="s">
        <v>577</v>
      </c>
    </row>
    <row r="388" ht="15.75" customHeight="1">
      <c r="A388" s="79" t="s">
        <v>562</v>
      </c>
      <c r="B388" s="79" t="s">
        <v>578</v>
      </c>
    </row>
    <row r="389" ht="15.75" customHeight="1">
      <c r="A389" s="79" t="s">
        <v>562</v>
      </c>
      <c r="B389" s="79" t="s">
        <v>579</v>
      </c>
    </row>
    <row r="390" ht="15.75" customHeight="1">
      <c r="A390" s="79" t="s">
        <v>562</v>
      </c>
      <c r="B390" s="79" t="s">
        <v>580</v>
      </c>
    </row>
    <row r="391" ht="15.75" customHeight="1">
      <c r="A391" s="79" t="s">
        <v>581</v>
      </c>
      <c r="B391" s="79" t="s">
        <v>582</v>
      </c>
    </row>
    <row r="392" ht="15.75" customHeight="1">
      <c r="A392" s="79" t="s">
        <v>581</v>
      </c>
      <c r="B392" s="79" t="s">
        <v>583</v>
      </c>
    </row>
    <row r="393" ht="15.75" customHeight="1">
      <c r="A393" s="79" t="s">
        <v>581</v>
      </c>
      <c r="B393" s="79" t="s">
        <v>584</v>
      </c>
    </row>
    <row r="394" ht="15.75" customHeight="1">
      <c r="A394" s="79" t="s">
        <v>581</v>
      </c>
      <c r="B394" s="79" t="s">
        <v>585</v>
      </c>
    </row>
    <row r="395" ht="15.75" customHeight="1">
      <c r="A395" s="79" t="s">
        <v>581</v>
      </c>
      <c r="B395" s="79" t="s">
        <v>586</v>
      </c>
    </row>
    <row r="396" ht="15.75" customHeight="1">
      <c r="A396" s="79" t="s">
        <v>581</v>
      </c>
      <c r="B396" s="79" t="s">
        <v>587</v>
      </c>
    </row>
    <row r="397" ht="15.75" customHeight="1">
      <c r="A397" s="79" t="s">
        <v>581</v>
      </c>
      <c r="B397" s="79" t="s">
        <v>588</v>
      </c>
    </row>
    <row r="398" ht="15.75" customHeight="1">
      <c r="A398" s="79" t="s">
        <v>581</v>
      </c>
      <c r="B398" s="79" t="s">
        <v>589</v>
      </c>
    </row>
    <row r="399" ht="15.75" customHeight="1">
      <c r="A399" s="79" t="s">
        <v>581</v>
      </c>
      <c r="B399" s="79" t="s">
        <v>590</v>
      </c>
    </row>
    <row r="400" ht="15.75" customHeight="1">
      <c r="A400" s="79" t="s">
        <v>581</v>
      </c>
      <c r="B400" s="79" t="s">
        <v>591</v>
      </c>
    </row>
    <row r="401" ht="15.75" customHeight="1">
      <c r="A401" s="79" t="s">
        <v>581</v>
      </c>
      <c r="B401" s="79" t="s">
        <v>592</v>
      </c>
    </row>
    <row r="402" ht="15.75" customHeight="1">
      <c r="A402" s="79" t="s">
        <v>581</v>
      </c>
      <c r="B402" s="79" t="s">
        <v>593</v>
      </c>
    </row>
    <row r="403" ht="15.75" customHeight="1">
      <c r="A403" s="79" t="s">
        <v>581</v>
      </c>
      <c r="B403" s="79" t="s">
        <v>594</v>
      </c>
    </row>
    <row r="404" ht="15.75" customHeight="1">
      <c r="A404" s="79" t="s">
        <v>581</v>
      </c>
      <c r="B404" s="79" t="s">
        <v>595</v>
      </c>
    </row>
    <row r="405" ht="15.75" customHeight="1">
      <c r="A405" s="79" t="s">
        <v>581</v>
      </c>
      <c r="B405" s="79" t="s">
        <v>596</v>
      </c>
    </row>
    <row r="406" ht="15.75" customHeight="1">
      <c r="A406" s="79" t="s">
        <v>116</v>
      </c>
      <c r="B406" s="79" t="s">
        <v>597</v>
      </c>
    </row>
    <row r="407" ht="15.75" customHeight="1">
      <c r="A407" s="79" t="s">
        <v>116</v>
      </c>
      <c r="B407" s="79" t="s">
        <v>598</v>
      </c>
    </row>
    <row r="408" ht="15.75" customHeight="1">
      <c r="A408" s="79" t="s">
        <v>116</v>
      </c>
      <c r="B408" s="79" t="s">
        <v>599</v>
      </c>
    </row>
    <row r="409" ht="15.75" customHeight="1">
      <c r="A409" s="79" t="s">
        <v>116</v>
      </c>
      <c r="B409" s="79" t="s">
        <v>600</v>
      </c>
    </row>
    <row r="410" ht="15.75" customHeight="1">
      <c r="A410" s="79" t="s">
        <v>116</v>
      </c>
      <c r="B410" s="79" t="s">
        <v>601</v>
      </c>
    </row>
    <row r="411" ht="15.75" customHeight="1">
      <c r="A411" s="79" t="s">
        <v>116</v>
      </c>
      <c r="B411" s="79" t="s">
        <v>602</v>
      </c>
    </row>
    <row r="412" ht="15.75" customHeight="1">
      <c r="A412" s="79" t="s">
        <v>116</v>
      </c>
      <c r="B412" s="79" t="s">
        <v>603</v>
      </c>
    </row>
    <row r="413" ht="15.75" customHeight="1">
      <c r="A413" s="79" t="s">
        <v>116</v>
      </c>
      <c r="B413" s="79" t="s">
        <v>604</v>
      </c>
    </row>
    <row r="414" ht="15.75" customHeight="1">
      <c r="A414" s="79" t="s">
        <v>116</v>
      </c>
      <c r="B414" s="79" t="s">
        <v>605</v>
      </c>
    </row>
    <row r="415" ht="15.75" customHeight="1">
      <c r="A415" s="79" t="s">
        <v>116</v>
      </c>
      <c r="B415" s="79" t="s">
        <v>606</v>
      </c>
    </row>
    <row r="416" ht="15.75" customHeight="1">
      <c r="A416" s="79" t="s">
        <v>116</v>
      </c>
      <c r="B416" s="79" t="s">
        <v>607</v>
      </c>
    </row>
    <row r="417" ht="15.75" customHeight="1">
      <c r="A417" s="79" t="s">
        <v>116</v>
      </c>
      <c r="B417" s="79" t="s">
        <v>608</v>
      </c>
    </row>
    <row r="418" ht="15.75" customHeight="1">
      <c r="A418" s="79" t="s">
        <v>116</v>
      </c>
      <c r="B418" s="79" t="s">
        <v>609</v>
      </c>
    </row>
    <row r="419" ht="15.75" customHeight="1">
      <c r="A419" s="79" t="s">
        <v>116</v>
      </c>
      <c r="B419" s="79" t="s">
        <v>610</v>
      </c>
    </row>
    <row r="420" ht="15.75" customHeight="1">
      <c r="A420" s="79" t="s">
        <v>116</v>
      </c>
      <c r="B420" s="79" t="s">
        <v>611</v>
      </c>
    </row>
    <row r="421" ht="15.75" customHeight="1">
      <c r="A421" s="79" t="s">
        <v>116</v>
      </c>
      <c r="B421" s="79" t="s">
        <v>612</v>
      </c>
    </row>
    <row r="422" ht="15.75" customHeight="1">
      <c r="A422" s="79" t="s">
        <v>116</v>
      </c>
      <c r="B422" s="79" t="s">
        <v>613</v>
      </c>
    </row>
    <row r="423" ht="15.75" customHeight="1">
      <c r="A423" s="79" t="s">
        <v>116</v>
      </c>
      <c r="B423" s="79" t="s">
        <v>614</v>
      </c>
    </row>
    <row r="424" ht="15.75" customHeight="1">
      <c r="A424" s="79" t="s">
        <v>116</v>
      </c>
      <c r="B424" s="79" t="s">
        <v>615</v>
      </c>
    </row>
    <row r="425" ht="15.75" customHeight="1">
      <c r="A425" s="79" t="s">
        <v>140</v>
      </c>
      <c r="B425" s="79" t="s">
        <v>616</v>
      </c>
    </row>
    <row r="426" ht="15.75" customHeight="1">
      <c r="A426" s="79" t="s">
        <v>140</v>
      </c>
      <c r="B426" s="79" t="s">
        <v>617</v>
      </c>
    </row>
    <row r="427" ht="15.75" customHeight="1">
      <c r="A427" s="79" t="s">
        <v>140</v>
      </c>
      <c r="B427" s="79" t="s">
        <v>618</v>
      </c>
    </row>
    <row r="428" ht="15.75" customHeight="1">
      <c r="A428" s="79" t="s">
        <v>140</v>
      </c>
      <c r="B428" s="79" t="s">
        <v>619</v>
      </c>
    </row>
    <row r="429" ht="15.75" customHeight="1">
      <c r="A429" s="79" t="s">
        <v>140</v>
      </c>
      <c r="B429" s="79" t="s">
        <v>620</v>
      </c>
    </row>
    <row r="430" ht="15.75" customHeight="1">
      <c r="A430" s="79" t="s">
        <v>140</v>
      </c>
      <c r="B430" s="79" t="s">
        <v>621</v>
      </c>
    </row>
    <row r="431" ht="15.75" customHeight="1">
      <c r="A431" s="79" t="s">
        <v>140</v>
      </c>
      <c r="B431" s="79" t="s">
        <v>622</v>
      </c>
    </row>
    <row r="432" ht="15.75" customHeight="1">
      <c r="A432" s="79" t="s">
        <v>140</v>
      </c>
      <c r="B432" s="79" t="s">
        <v>623</v>
      </c>
    </row>
    <row r="433" ht="15.75" customHeight="1">
      <c r="A433" s="79" t="s">
        <v>140</v>
      </c>
      <c r="B433" s="79" t="s">
        <v>624</v>
      </c>
    </row>
    <row r="434" ht="15.75" customHeight="1">
      <c r="A434" s="79" t="s">
        <v>140</v>
      </c>
      <c r="B434" s="79" t="s">
        <v>625</v>
      </c>
    </row>
    <row r="435" ht="15.75" customHeight="1">
      <c r="A435" s="79" t="s">
        <v>140</v>
      </c>
      <c r="B435" s="79" t="s">
        <v>626</v>
      </c>
    </row>
    <row r="436" ht="15.75" customHeight="1">
      <c r="A436" s="79" t="s">
        <v>140</v>
      </c>
      <c r="B436" s="79" t="s">
        <v>627</v>
      </c>
    </row>
    <row r="437" ht="15.75" customHeight="1">
      <c r="A437" s="79" t="s">
        <v>140</v>
      </c>
      <c r="B437" s="79" t="s">
        <v>628</v>
      </c>
    </row>
    <row r="438" ht="15.75" customHeight="1">
      <c r="A438" s="79" t="s">
        <v>140</v>
      </c>
      <c r="B438" s="79" t="s">
        <v>629</v>
      </c>
    </row>
    <row r="439" ht="15.75" customHeight="1">
      <c r="A439" s="79" t="s">
        <v>140</v>
      </c>
      <c r="B439" s="79" t="s">
        <v>630</v>
      </c>
    </row>
    <row r="440" ht="15.75" customHeight="1">
      <c r="A440" s="79" t="s">
        <v>140</v>
      </c>
      <c r="B440" s="79" t="s">
        <v>631</v>
      </c>
    </row>
    <row r="441" ht="15.75" customHeight="1">
      <c r="A441" s="79" t="s">
        <v>140</v>
      </c>
      <c r="B441" s="79" t="s">
        <v>632</v>
      </c>
    </row>
    <row r="442" ht="15.75" customHeight="1">
      <c r="A442" s="79" t="s">
        <v>140</v>
      </c>
      <c r="B442" s="79" t="s">
        <v>633</v>
      </c>
    </row>
    <row r="443" ht="15.75" customHeight="1">
      <c r="A443" s="79" t="s">
        <v>112</v>
      </c>
      <c r="B443" s="79" t="s">
        <v>634</v>
      </c>
    </row>
    <row r="444" ht="15.75" customHeight="1">
      <c r="A444" s="79" t="s">
        <v>112</v>
      </c>
      <c r="B444" s="79" t="s">
        <v>635</v>
      </c>
    </row>
    <row r="445" ht="15.75" customHeight="1">
      <c r="A445" s="79" t="s">
        <v>112</v>
      </c>
      <c r="B445" s="79" t="s">
        <v>636</v>
      </c>
    </row>
    <row r="446" ht="15.75" customHeight="1">
      <c r="A446" s="79" t="s">
        <v>112</v>
      </c>
      <c r="B446" s="79" t="s">
        <v>637</v>
      </c>
    </row>
    <row r="447" ht="15.75" customHeight="1">
      <c r="A447" s="79" t="s">
        <v>112</v>
      </c>
      <c r="B447" s="79" t="s">
        <v>638</v>
      </c>
    </row>
    <row r="448" ht="15.75" customHeight="1">
      <c r="A448" s="79" t="s">
        <v>112</v>
      </c>
      <c r="B448" s="79" t="s">
        <v>639</v>
      </c>
    </row>
    <row r="449" ht="15.75" customHeight="1">
      <c r="A449" s="79" t="s">
        <v>112</v>
      </c>
      <c r="B449" s="79" t="s">
        <v>640</v>
      </c>
    </row>
    <row r="450" ht="15.75" customHeight="1">
      <c r="A450" s="79" t="s">
        <v>112</v>
      </c>
      <c r="B450" s="79" t="s">
        <v>641</v>
      </c>
    </row>
    <row r="451" ht="15.75" customHeight="1">
      <c r="A451" s="79" t="s">
        <v>112</v>
      </c>
      <c r="B451" s="79" t="s">
        <v>642</v>
      </c>
    </row>
    <row r="452" ht="15.75" customHeight="1">
      <c r="A452" s="79" t="s">
        <v>112</v>
      </c>
      <c r="B452" s="79" t="s">
        <v>643</v>
      </c>
    </row>
    <row r="453" ht="15.75" customHeight="1">
      <c r="A453" s="79" t="s">
        <v>112</v>
      </c>
      <c r="B453" s="79" t="s">
        <v>644</v>
      </c>
    </row>
    <row r="454" ht="15.75" customHeight="1">
      <c r="A454" s="79" t="s">
        <v>112</v>
      </c>
      <c r="B454" s="79" t="s">
        <v>645</v>
      </c>
    </row>
    <row r="455" ht="15.75" customHeight="1">
      <c r="A455" s="79" t="s">
        <v>112</v>
      </c>
      <c r="B455" s="79" t="s">
        <v>646</v>
      </c>
    </row>
    <row r="456" ht="15.75" customHeight="1">
      <c r="A456" s="79" t="s">
        <v>112</v>
      </c>
      <c r="B456" s="79" t="s">
        <v>647</v>
      </c>
    </row>
    <row r="457" ht="15.75" customHeight="1">
      <c r="A457" s="79" t="s">
        <v>112</v>
      </c>
      <c r="B457" s="79" t="s">
        <v>648</v>
      </c>
    </row>
    <row r="458" ht="15.75" customHeight="1">
      <c r="A458" s="79" t="s">
        <v>112</v>
      </c>
      <c r="B458" s="79" t="s">
        <v>649</v>
      </c>
    </row>
    <row r="459" ht="15.75" customHeight="1">
      <c r="A459" s="79" t="s">
        <v>112</v>
      </c>
      <c r="B459" s="79" t="s">
        <v>650</v>
      </c>
    </row>
    <row r="460" ht="15.75" customHeight="1">
      <c r="A460" s="79" t="s">
        <v>112</v>
      </c>
      <c r="B460" s="79" t="s">
        <v>651</v>
      </c>
    </row>
    <row r="461" ht="15.75" customHeight="1">
      <c r="A461" s="79" t="s">
        <v>112</v>
      </c>
      <c r="B461" s="79" t="s">
        <v>652</v>
      </c>
    </row>
    <row r="462" ht="15.75" customHeight="1">
      <c r="A462" s="79" t="s">
        <v>112</v>
      </c>
      <c r="B462" s="79" t="s">
        <v>653</v>
      </c>
    </row>
    <row r="463" ht="15.75" customHeight="1">
      <c r="A463" s="79" t="s">
        <v>654</v>
      </c>
      <c r="B463" s="79" t="s">
        <v>655</v>
      </c>
    </row>
    <row r="464" ht="15.75" customHeight="1">
      <c r="A464" s="79" t="s">
        <v>654</v>
      </c>
      <c r="B464" s="79" t="s">
        <v>656</v>
      </c>
    </row>
    <row r="465" ht="15.75" customHeight="1">
      <c r="A465" s="79" t="s">
        <v>654</v>
      </c>
      <c r="B465" s="79" t="s">
        <v>657</v>
      </c>
    </row>
    <row r="466" ht="15.75" customHeight="1">
      <c r="A466" s="79" t="s">
        <v>654</v>
      </c>
      <c r="B466" s="79" t="s">
        <v>658</v>
      </c>
    </row>
    <row r="467" ht="15.75" customHeight="1">
      <c r="A467" s="79" t="s">
        <v>654</v>
      </c>
      <c r="B467" s="79" t="s">
        <v>659</v>
      </c>
    </row>
    <row r="468" ht="15.75" customHeight="1">
      <c r="A468" s="79" t="s">
        <v>654</v>
      </c>
      <c r="B468" s="79" t="s">
        <v>660</v>
      </c>
    </row>
    <row r="469" ht="15.75" customHeight="1">
      <c r="A469" s="79" t="s">
        <v>654</v>
      </c>
      <c r="B469" s="79" t="s">
        <v>661</v>
      </c>
    </row>
    <row r="470" ht="15.75" customHeight="1">
      <c r="A470" s="79" t="s">
        <v>654</v>
      </c>
      <c r="B470" s="79" t="s">
        <v>662</v>
      </c>
    </row>
    <row r="471" ht="15.75" customHeight="1">
      <c r="A471" s="79" t="s">
        <v>654</v>
      </c>
      <c r="B471" s="79" t="s">
        <v>663</v>
      </c>
    </row>
    <row r="472" ht="15.75" customHeight="1">
      <c r="A472" s="79" t="s">
        <v>654</v>
      </c>
      <c r="B472" s="79" t="s">
        <v>664</v>
      </c>
    </row>
    <row r="473" ht="15.75" customHeight="1">
      <c r="A473" s="79" t="s">
        <v>654</v>
      </c>
      <c r="B473" s="79" t="s">
        <v>665</v>
      </c>
    </row>
    <row r="474" ht="15.75" customHeight="1">
      <c r="A474" s="79" t="s">
        <v>654</v>
      </c>
      <c r="B474" s="79" t="s">
        <v>666</v>
      </c>
    </row>
    <row r="475" ht="15.75" customHeight="1">
      <c r="A475" s="79" t="s">
        <v>654</v>
      </c>
      <c r="B475" s="79" t="s">
        <v>667</v>
      </c>
    </row>
    <row r="476" ht="15.75" customHeight="1">
      <c r="A476" s="79" t="s">
        <v>654</v>
      </c>
      <c r="B476" s="79" t="s">
        <v>668</v>
      </c>
    </row>
    <row r="477" ht="15.75" customHeight="1">
      <c r="A477" s="79" t="s">
        <v>654</v>
      </c>
      <c r="B477" s="79" t="s">
        <v>669</v>
      </c>
    </row>
    <row r="478" ht="15.75" customHeight="1">
      <c r="A478" s="79" t="s">
        <v>654</v>
      </c>
      <c r="B478" s="79" t="s">
        <v>670</v>
      </c>
    </row>
    <row r="479" ht="15.75" customHeight="1">
      <c r="A479" s="79" t="s">
        <v>654</v>
      </c>
      <c r="B479" s="79" t="s">
        <v>671</v>
      </c>
    </row>
    <row r="480" ht="15.75" customHeight="1">
      <c r="A480" s="79" t="s">
        <v>654</v>
      </c>
      <c r="B480" s="79" t="s">
        <v>672</v>
      </c>
    </row>
    <row r="481" ht="15.75" customHeight="1">
      <c r="A481" s="79" t="s">
        <v>123</v>
      </c>
      <c r="B481" s="79" t="s">
        <v>673</v>
      </c>
    </row>
    <row r="482" ht="15.75" customHeight="1">
      <c r="A482" s="79" t="s">
        <v>123</v>
      </c>
      <c r="B482" s="79" t="s">
        <v>674</v>
      </c>
    </row>
    <row r="483" ht="15.75" customHeight="1">
      <c r="A483" s="79" t="s">
        <v>123</v>
      </c>
      <c r="B483" s="79" t="s">
        <v>675</v>
      </c>
    </row>
    <row r="484" ht="15.75" customHeight="1">
      <c r="A484" s="79" t="s">
        <v>123</v>
      </c>
      <c r="B484" s="79" t="s">
        <v>676</v>
      </c>
    </row>
    <row r="485" ht="15.75" customHeight="1">
      <c r="A485" s="79" t="s">
        <v>123</v>
      </c>
      <c r="B485" s="79" t="s">
        <v>677</v>
      </c>
    </row>
    <row r="486" ht="15.75" customHeight="1">
      <c r="A486" s="79" t="s">
        <v>123</v>
      </c>
      <c r="B486" s="79" t="s">
        <v>678</v>
      </c>
    </row>
    <row r="487" ht="15.75" customHeight="1">
      <c r="A487" s="79" t="s">
        <v>123</v>
      </c>
      <c r="B487" s="79" t="s">
        <v>679</v>
      </c>
    </row>
    <row r="488" ht="15.75" customHeight="1">
      <c r="A488" s="79" t="s">
        <v>123</v>
      </c>
      <c r="B488" s="79" t="s">
        <v>680</v>
      </c>
    </row>
    <row r="489" ht="15.75" customHeight="1">
      <c r="A489" s="79" t="s">
        <v>123</v>
      </c>
      <c r="B489" s="79" t="s">
        <v>681</v>
      </c>
    </row>
    <row r="490" ht="15.75" customHeight="1">
      <c r="A490" s="79" t="s">
        <v>123</v>
      </c>
      <c r="B490" s="79" t="s">
        <v>682</v>
      </c>
    </row>
    <row r="491" ht="15.75" customHeight="1">
      <c r="A491" s="79" t="s">
        <v>123</v>
      </c>
      <c r="B491" s="79" t="s">
        <v>683</v>
      </c>
    </row>
    <row r="492" ht="15.75" customHeight="1">
      <c r="A492" s="79" t="s">
        <v>123</v>
      </c>
      <c r="B492" s="79" t="s">
        <v>684</v>
      </c>
    </row>
    <row r="493" ht="15.75" customHeight="1">
      <c r="A493" s="79" t="s">
        <v>123</v>
      </c>
      <c r="B493" s="79" t="s">
        <v>685</v>
      </c>
    </row>
    <row r="494" ht="15.75" customHeight="1">
      <c r="A494" s="79" t="s">
        <v>123</v>
      </c>
      <c r="B494" s="79" t="s">
        <v>686</v>
      </c>
    </row>
    <row r="495" ht="15.75" customHeight="1">
      <c r="A495" s="79" t="s">
        <v>123</v>
      </c>
      <c r="B495" s="79" t="s">
        <v>687</v>
      </c>
    </row>
    <row r="496" ht="15.75" customHeight="1">
      <c r="A496" s="79" t="s">
        <v>123</v>
      </c>
      <c r="B496" s="79" t="s">
        <v>688</v>
      </c>
    </row>
    <row r="497" ht="15.75" customHeight="1">
      <c r="A497" s="79" t="s">
        <v>117</v>
      </c>
      <c r="B497" s="79" t="s">
        <v>689</v>
      </c>
    </row>
    <row r="498" ht="15.75" customHeight="1">
      <c r="A498" s="79" t="s">
        <v>117</v>
      </c>
      <c r="B498" s="79" t="s">
        <v>690</v>
      </c>
    </row>
    <row r="499" ht="15.75" customHeight="1">
      <c r="A499" s="79" t="s">
        <v>117</v>
      </c>
      <c r="B499" s="79" t="s">
        <v>691</v>
      </c>
    </row>
    <row r="500" ht="15.75" customHeight="1">
      <c r="A500" s="79" t="s">
        <v>117</v>
      </c>
      <c r="B500" s="79" t="s">
        <v>692</v>
      </c>
    </row>
    <row r="501" ht="15.75" customHeight="1">
      <c r="A501" s="79" t="s">
        <v>117</v>
      </c>
      <c r="B501" s="79" t="s">
        <v>693</v>
      </c>
    </row>
    <row r="502" ht="15.75" customHeight="1">
      <c r="A502" s="79" t="s">
        <v>117</v>
      </c>
      <c r="B502" s="79" t="s">
        <v>694</v>
      </c>
    </row>
    <row r="503" ht="15.75" customHeight="1">
      <c r="A503" s="79" t="s">
        <v>117</v>
      </c>
      <c r="B503" s="79" t="s">
        <v>695</v>
      </c>
    </row>
    <row r="504" ht="15.75" customHeight="1">
      <c r="A504" s="79" t="s">
        <v>117</v>
      </c>
      <c r="B504" s="79" t="s">
        <v>696</v>
      </c>
    </row>
    <row r="505" ht="15.75" customHeight="1">
      <c r="A505" s="79" t="s">
        <v>117</v>
      </c>
      <c r="B505" s="79" t="s">
        <v>697</v>
      </c>
    </row>
    <row r="506" ht="15.75" customHeight="1">
      <c r="A506" s="79" t="s">
        <v>117</v>
      </c>
      <c r="B506" s="79" t="s">
        <v>698</v>
      </c>
    </row>
    <row r="507" ht="15.75" customHeight="1">
      <c r="A507" s="79" t="s">
        <v>117</v>
      </c>
      <c r="B507" s="79" t="s">
        <v>699</v>
      </c>
    </row>
    <row r="508" ht="15.75" customHeight="1">
      <c r="A508" s="79" t="s">
        <v>117</v>
      </c>
      <c r="B508" s="79" t="s">
        <v>700</v>
      </c>
    </row>
    <row r="509" ht="15.75" customHeight="1">
      <c r="A509" s="79" t="s">
        <v>117</v>
      </c>
      <c r="B509" s="79" t="s">
        <v>701</v>
      </c>
    </row>
    <row r="510" ht="15.75" customHeight="1">
      <c r="A510" s="79" t="s">
        <v>117</v>
      </c>
      <c r="B510" s="79" t="s">
        <v>702</v>
      </c>
    </row>
    <row r="511" ht="15.75" customHeight="1">
      <c r="A511" s="79" t="s">
        <v>117</v>
      </c>
      <c r="B511" s="79" t="s">
        <v>703</v>
      </c>
    </row>
    <row r="512" ht="15.75" customHeight="1">
      <c r="A512" s="79" t="s">
        <v>135</v>
      </c>
      <c r="B512" s="79" t="s">
        <v>704</v>
      </c>
    </row>
    <row r="513" ht="15.75" customHeight="1">
      <c r="A513" s="79" t="s">
        <v>135</v>
      </c>
      <c r="B513" s="79" t="s">
        <v>705</v>
      </c>
    </row>
    <row r="514" ht="15.75" customHeight="1">
      <c r="A514" s="79" t="s">
        <v>135</v>
      </c>
      <c r="B514" s="79" t="s">
        <v>706</v>
      </c>
    </row>
    <row r="515" ht="15.75" customHeight="1">
      <c r="A515" s="79" t="s">
        <v>135</v>
      </c>
      <c r="B515" s="79" t="s">
        <v>707</v>
      </c>
    </row>
    <row r="516" ht="15.75" customHeight="1">
      <c r="A516" s="79" t="s">
        <v>135</v>
      </c>
      <c r="B516" s="79" t="s">
        <v>708</v>
      </c>
    </row>
    <row r="517" ht="15.75" customHeight="1">
      <c r="A517" s="79" t="s">
        <v>135</v>
      </c>
      <c r="B517" s="79" t="s">
        <v>709</v>
      </c>
    </row>
    <row r="518" ht="15.75" customHeight="1">
      <c r="A518" s="79" t="s">
        <v>135</v>
      </c>
      <c r="B518" s="79" t="s">
        <v>710</v>
      </c>
    </row>
    <row r="519" ht="15.75" customHeight="1">
      <c r="A519" s="79" t="s">
        <v>135</v>
      </c>
      <c r="B519" s="79" t="s">
        <v>711</v>
      </c>
    </row>
    <row r="520" ht="15.75" customHeight="1">
      <c r="A520" s="79" t="s">
        <v>135</v>
      </c>
      <c r="B520" s="79" t="s">
        <v>712</v>
      </c>
    </row>
    <row r="521" ht="15.75" customHeight="1">
      <c r="A521" s="79" t="s">
        <v>135</v>
      </c>
      <c r="B521" s="79" t="s">
        <v>713</v>
      </c>
    </row>
    <row r="522" ht="15.75" customHeight="1">
      <c r="A522" s="79" t="s">
        <v>135</v>
      </c>
      <c r="B522" s="79" t="s">
        <v>714</v>
      </c>
    </row>
    <row r="523" ht="15.75" customHeight="1">
      <c r="A523" s="79" t="s">
        <v>135</v>
      </c>
      <c r="B523" s="79" t="s">
        <v>715</v>
      </c>
    </row>
    <row r="524" ht="15.75" customHeight="1">
      <c r="A524" s="79" t="s">
        <v>135</v>
      </c>
      <c r="B524" s="79" t="s">
        <v>716</v>
      </c>
    </row>
    <row r="525" ht="15.75" customHeight="1">
      <c r="A525" s="79" t="s">
        <v>135</v>
      </c>
      <c r="B525" s="79" t="s">
        <v>717</v>
      </c>
    </row>
    <row r="526" ht="15.75" customHeight="1">
      <c r="A526" s="79" t="s">
        <v>135</v>
      </c>
      <c r="B526" s="79" t="s">
        <v>718</v>
      </c>
    </row>
    <row r="527" ht="15.75" customHeight="1">
      <c r="A527" s="79" t="s">
        <v>135</v>
      </c>
      <c r="B527" s="79" t="s">
        <v>719</v>
      </c>
    </row>
    <row r="528" ht="15.75" customHeight="1">
      <c r="A528" s="79" t="s">
        <v>135</v>
      </c>
      <c r="B528" s="79" t="s">
        <v>720</v>
      </c>
    </row>
    <row r="529" ht="15.75" customHeight="1">
      <c r="A529" s="79" t="s">
        <v>135</v>
      </c>
      <c r="B529" s="79" t="s">
        <v>721</v>
      </c>
    </row>
    <row r="530" ht="15.75" customHeight="1">
      <c r="A530" s="79" t="s">
        <v>135</v>
      </c>
      <c r="B530" s="79" t="s">
        <v>722</v>
      </c>
    </row>
    <row r="531" ht="15.75" customHeight="1">
      <c r="A531" s="79" t="s">
        <v>723</v>
      </c>
      <c r="B531" s="79" t="s">
        <v>724</v>
      </c>
    </row>
    <row r="532" ht="15.75" customHeight="1">
      <c r="A532" s="79" t="s">
        <v>723</v>
      </c>
      <c r="B532" s="79" t="s">
        <v>725</v>
      </c>
    </row>
    <row r="533" ht="15.75" customHeight="1">
      <c r="A533" s="79" t="s">
        <v>723</v>
      </c>
      <c r="B533" s="79" t="s">
        <v>726</v>
      </c>
    </row>
    <row r="534" ht="15.75" customHeight="1">
      <c r="A534" s="79" t="s">
        <v>723</v>
      </c>
      <c r="B534" s="79" t="s">
        <v>727</v>
      </c>
    </row>
    <row r="535" ht="15.75" customHeight="1">
      <c r="A535" s="79" t="s">
        <v>723</v>
      </c>
      <c r="B535" s="79" t="s">
        <v>728</v>
      </c>
    </row>
    <row r="536" ht="15.75" customHeight="1">
      <c r="A536" s="79" t="s">
        <v>723</v>
      </c>
      <c r="B536" s="79" t="s">
        <v>729</v>
      </c>
    </row>
    <row r="537" ht="15.75" customHeight="1">
      <c r="A537" s="79" t="s">
        <v>723</v>
      </c>
      <c r="B537" s="79" t="s">
        <v>730</v>
      </c>
    </row>
    <row r="538" ht="15.75" customHeight="1">
      <c r="A538" s="79" t="s">
        <v>723</v>
      </c>
      <c r="B538" s="79" t="s">
        <v>731</v>
      </c>
    </row>
    <row r="539" ht="15.75" customHeight="1">
      <c r="A539" s="79" t="s">
        <v>723</v>
      </c>
      <c r="B539" s="79" t="s">
        <v>732</v>
      </c>
    </row>
    <row r="540" ht="15.75" customHeight="1">
      <c r="A540" s="79" t="s">
        <v>723</v>
      </c>
      <c r="B540" s="79" t="s">
        <v>733</v>
      </c>
    </row>
    <row r="541" ht="15.75" customHeight="1">
      <c r="A541" s="79" t="s">
        <v>723</v>
      </c>
      <c r="B541" s="79" t="s">
        <v>734</v>
      </c>
    </row>
    <row r="542" ht="15.75" customHeight="1">
      <c r="A542" s="79" t="s">
        <v>723</v>
      </c>
      <c r="B542" s="79" t="s">
        <v>735</v>
      </c>
    </row>
    <row r="543" ht="15.75" customHeight="1">
      <c r="A543" s="79" t="s">
        <v>723</v>
      </c>
      <c r="B543" s="79" t="s">
        <v>736</v>
      </c>
    </row>
    <row r="544" ht="15.75" customHeight="1">
      <c r="A544" s="79" t="s">
        <v>723</v>
      </c>
      <c r="B544" s="79" t="s">
        <v>737</v>
      </c>
    </row>
    <row r="545" ht="15.75" customHeight="1">
      <c r="A545" s="79" t="s">
        <v>738</v>
      </c>
      <c r="B545" s="79" t="s">
        <v>739</v>
      </c>
    </row>
    <row r="546" ht="15.75" customHeight="1">
      <c r="A546" s="79" t="s">
        <v>738</v>
      </c>
      <c r="B546" s="79" t="s">
        <v>740</v>
      </c>
    </row>
    <row r="547" ht="15.75" customHeight="1">
      <c r="A547" s="79" t="s">
        <v>738</v>
      </c>
      <c r="B547" s="79" t="s">
        <v>741</v>
      </c>
    </row>
    <row r="548" ht="15.75" customHeight="1">
      <c r="A548" s="79" t="s">
        <v>738</v>
      </c>
      <c r="B548" s="79" t="s">
        <v>742</v>
      </c>
    </row>
    <row r="549" ht="15.75" customHeight="1">
      <c r="A549" s="79" t="s">
        <v>738</v>
      </c>
      <c r="B549" s="79" t="s">
        <v>743</v>
      </c>
    </row>
    <row r="550" ht="15.75" customHeight="1">
      <c r="A550" s="79" t="s">
        <v>738</v>
      </c>
      <c r="B550" s="79" t="s">
        <v>744</v>
      </c>
    </row>
    <row r="551" ht="15.75" customHeight="1">
      <c r="A551" s="79" t="s">
        <v>738</v>
      </c>
      <c r="B551" s="79" t="s">
        <v>745</v>
      </c>
    </row>
    <row r="552" ht="15.75" customHeight="1">
      <c r="A552" s="79" t="s">
        <v>738</v>
      </c>
      <c r="B552" s="79" t="s">
        <v>746</v>
      </c>
    </row>
    <row r="553" ht="15.75" customHeight="1">
      <c r="A553" s="79" t="s">
        <v>738</v>
      </c>
      <c r="B553" s="79" t="s">
        <v>747</v>
      </c>
    </row>
    <row r="554" ht="15.75" customHeight="1">
      <c r="A554" s="79" t="s">
        <v>738</v>
      </c>
      <c r="B554" s="79" t="s">
        <v>748</v>
      </c>
    </row>
    <row r="555" ht="15.75" customHeight="1">
      <c r="A555" s="79" t="s">
        <v>738</v>
      </c>
      <c r="B555" s="79" t="s">
        <v>749</v>
      </c>
    </row>
    <row r="556" ht="15.75" customHeight="1">
      <c r="A556" s="79" t="s">
        <v>738</v>
      </c>
      <c r="B556" s="79" t="s">
        <v>750</v>
      </c>
    </row>
    <row r="557" ht="15.75" customHeight="1">
      <c r="A557" s="79" t="s">
        <v>738</v>
      </c>
      <c r="B557" s="79" t="s">
        <v>751</v>
      </c>
    </row>
    <row r="558" ht="15.75" customHeight="1">
      <c r="A558" s="79" t="s">
        <v>738</v>
      </c>
      <c r="B558" s="79" t="s">
        <v>752</v>
      </c>
    </row>
    <row r="559" ht="15.75" customHeight="1">
      <c r="A559" s="79" t="s">
        <v>738</v>
      </c>
      <c r="B559" s="79" t="s">
        <v>753</v>
      </c>
    </row>
    <row r="560" ht="15.75" customHeight="1">
      <c r="A560" s="79" t="s">
        <v>738</v>
      </c>
      <c r="B560" s="79" t="s">
        <v>754</v>
      </c>
    </row>
    <row r="561" ht="15.75" customHeight="1">
      <c r="A561" s="79" t="s">
        <v>755</v>
      </c>
      <c r="B561" s="79" t="s">
        <v>756</v>
      </c>
    </row>
    <row r="562" ht="15.75" customHeight="1">
      <c r="A562" s="79" t="s">
        <v>755</v>
      </c>
      <c r="B562" s="79" t="s">
        <v>757</v>
      </c>
    </row>
    <row r="563" ht="15.75" customHeight="1">
      <c r="A563" s="79" t="s">
        <v>755</v>
      </c>
      <c r="B563" s="79" t="s">
        <v>758</v>
      </c>
    </row>
    <row r="564" ht="15.75" customHeight="1">
      <c r="A564" s="79" t="s">
        <v>755</v>
      </c>
      <c r="B564" s="79" t="s">
        <v>759</v>
      </c>
    </row>
    <row r="565" ht="15.75" customHeight="1">
      <c r="A565" s="79" t="s">
        <v>755</v>
      </c>
      <c r="B565" s="79" t="s">
        <v>760</v>
      </c>
    </row>
    <row r="566" ht="15.75" customHeight="1">
      <c r="A566" s="79" t="s">
        <v>755</v>
      </c>
      <c r="B566" s="79" t="s">
        <v>761</v>
      </c>
    </row>
    <row r="567" ht="15.75" customHeight="1">
      <c r="A567" s="79" t="s">
        <v>755</v>
      </c>
      <c r="B567" s="79" t="s">
        <v>762</v>
      </c>
    </row>
    <row r="568" ht="15.75" customHeight="1">
      <c r="A568" s="79" t="s">
        <v>755</v>
      </c>
      <c r="B568" s="79" t="s">
        <v>763</v>
      </c>
    </row>
    <row r="569" ht="15.75" customHeight="1">
      <c r="A569" s="79" t="s">
        <v>755</v>
      </c>
      <c r="B569" s="79" t="s">
        <v>764</v>
      </c>
    </row>
    <row r="570" ht="15.75" customHeight="1">
      <c r="A570" s="79" t="s">
        <v>755</v>
      </c>
      <c r="B570" s="79" t="s">
        <v>765</v>
      </c>
    </row>
    <row r="571" ht="15.75" customHeight="1">
      <c r="A571" s="79" t="s">
        <v>755</v>
      </c>
      <c r="B571" s="79" t="s">
        <v>766</v>
      </c>
    </row>
    <row r="572" ht="15.75" customHeight="1">
      <c r="A572" s="79" t="s">
        <v>755</v>
      </c>
      <c r="B572" s="79" t="s">
        <v>767</v>
      </c>
    </row>
    <row r="573" ht="15.75" customHeight="1">
      <c r="A573" s="79" t="s">
        <v>755</v>
      </c>
      <c r="B573" s="79" t="s">
        <v>768</v>
      </c>
    </row>
    <row r="574" ht="15.75" customHeight="1">
      <c r="A574" s="79" t="s">
        <v>755</v>
      </c>
      <c r="B574" s="79" t="s">
        <v>769</v>
      </c>
    </row>
    <row r="575" ht="15.75" customHeight="1">
      <c r="A575" s="79" t="s">
        <v>755</v>
      </c>
      <c r="B575" s="79" t="s">
        <v>770</v>
      </c>
    </row>
    <row r="576" ht="15.75" customHeight="1">
      <c r="A576" s="79" t="s">
        <v>755</v>
      </c>
      <c r="B576" s="79" t="s">
        <v>771</v>
      </c>
    </row>
    <row r="577" ht="15.75" customHeight="1">
      <c r="A577" s="79" t="s">
        <v>755</v>
      </c>
      <c r="B577" s="79" t="s">
        <v>772</v>
      </c>
    </row>
    <row r="578" ht="15.75" customHeight="1">
      <c r="A578" s="79" t="s">
        <v>755</v>
      </c>
      <c r="B578" s="79" t="s">
        <v>773</v>
      </c>
    </row>
    <row r="579" ht="15.75" customHeight="1">
      <c r="A579" s="79" t="s">
        <v>774</v>
      </c>
      <c r="B579" s="79" t="s">
        <v>775</v>
      </c>
    </row>
    <row r="580" ht="15.75" customHeight="1">
      <c r="A580" s="79" t="s">
        <v>774</v>
      </c>
      <c r="B580" s="79" t="s">
        <v>776</v>
      </c>
    </row>
    <row r="581" ht="15.75" customHeight="1">
      <c r="A581" s="79" t="s">
        <v>774</v>
      </c>
      <c r="B581" s="79" t="s">
        <v>777</v>
      </c>
    </row>
    <row r="582" ht="15.75" customHeight="1">
      <c r="A582" s="79" t="s">
        <v>774</v>
      </c>
      <c r="B582" s="79" t="s">
        <v>778</v>
      </c>
    </row>
    <row r="583" ht="15.75" customHeight="1">
      <c r="A583" s="79" t="s">
        <v>774</v>
      </c>
      <c r="B583" s="79" t="s">
        <v>779</v>
      </c>
    </row>
    <row r="584" ht="15.75" customHeight="1">
      <c r="A584" s="79" t="s">
        <v>774</v>
      </c>
      <c r="B584" s="79" t="s">
        <v>780</v>
      </c>
    </row>
    <row r="585" ht="15.75" customHeight="1">
      <c r="A585" s="79" t="s">
        <v>774</v>
      </c>
      <c r="B585" s="79" t="s">
        <v>781</v>
      </c>
    </row>
    <row r="586" ht="15.75" customHeight="1">
      <c r="A586" s="79" t="s">
        <v>774</v>
      </c>
      <c r="B586" s="79" t="s">
        <v>782</v>
      </c>
    </row>
    <row r="587" ht="15.75" customHeight="1">
      <c r="A587" s="79" t="s">
        <v>774</v>
      </c>
      <c r="B587" s="79" t="s">
        <v>783</v>
      </c>
    </row>
    <row r="588" ht="15.75" customHeight="1">
      <c r="A588" s="79" t="s">
        <v>774</v>
      </c>
      <c r="B588" s="79" t="s">
        <v>784</v>
      </c>
    </row>
    <row r="589" ht="15.75" customHeight="1">
      <c r="A589" s="79" t="s">
        <v>774</v>
      </c>
      <c r="B589" s="79" t="s">
        <v>785</v>
      </c>
    </row>
    <row r="590" ht="15.75" customHeight="1">
      <c r="A590" s="79" t="s">
        <v>774</v>
      </c>
      <c r="B590" s="79" t="s">
        <v>786</v>
      </c>
    </row>
    <row r="591" ht="15.75" customHeight="1">
      <c r="A591" s="79" t="s">
        <v>774</v>
      </c>
      <c r="B591" s="79" t="s">
        <v>787</v>
      </c>
    </row>
    <row r="592" ht="15.75" customHeight="1">
      <c r="A592" s="79" t="s">
        <v>774</v>
      </c>
      <c r="B592" s="79" t="s">
        <v>788</v>
      </c>
    </row>
    <row r="593" ht="15.75" customHeight="1">
      <c r="A593" s="79" t="s">
        <v>789</v>
      </c>
      <c r="B593" s="79" t="s">
        <v>790</v>
      </c>
    </row>
    <row r="594" ht="15.75" customHeight="1">
      <c r="A594" s="79" t="s">
        <v>789</v>
      </c>
      <c r="B594" s="79" t="s">
        <v>791</v>
      </c>
    </row>
    <row r="595" ht="15.75" customHeight="1">
      <c r="A595" s="79" t="s">
        <v>789</v>
      </c>
      <c r="B595" s="79" t="s">
        <v>792</v>
      </c>
    </row>
    <row r="596" ht="15.75" customHeight="1">
      <c r="A596" s="79" t="s">
        <v>789</v>
      </c>
      <c r="B596" s="79" t="s">
        <v>793</v>
      </c>
    </row>
    <row r="597" ht="15.75" customHeight="1">
      <c r="A597" s="79" t="s">
        <v>789</v>
      </c>
      <c r="B597" s="79" t="s">
        <v>794</v>
      </c>
    </row>
    <row r="598" ht="15.75" customHeight="1">
      <c r="A598" s="79" t="s">
        <v>789</v>
      </c>
      <c r="B598" s="79" t="s">
        <v>795</v>
      </c>
    </row>
    <row r="599" ht="15.75" customHeight="1">
      <c r="A599" s="79" t="s">
        <v>789</v>
      </c>
      <c r="B599" s="79" t="s">
        <v>796</v>
      </c>
    </row>
    <row r="600" ht="15.75" customHeight="1">
      <c r="A600" s="79" t="s">
        <v>789</v>
      </c>
      <c r="B600" s="79" t="s">
        <v>797</v>
      </c>
    </row>
    <row r="601" ht="15.75" customHeight="1">
      <c r="A601" s="79" t="s">
        <v>789</v>
      </c>
      <c r="B601" s="79" t="s">
        <v>798</v>
      </c>
    </row>
    <row r="602" ht="15.75" customHeight="1">
      <c r="A602" s="79" t="s">
        <v>789</v>
      </c>
      <c r="B602" s="79" t="s">
        <v>799</v>
      </c>
    </row>
    <row r="603" ht="15.75" customHeight="1">
      <c r="A603" s="79" t="s">
        <v>789</v>
      </c>
      <c r="B603" s="79" t="s">
        <v>800</v>
      </c>
    </row>
    <row r="604" ht="15.75" customHeight="1">
      <c r="A604" s="79" t="s">
        <v>789</v>
      </c>
      <c r="B604" s="79" t="s">
        <v>801</v>
      </c>
    </row>
    <row r="605" ht="15.75" customHeight="1">
      <c r="A605" s="79" t="s">
        <v>789</v>
      </c>
      <c r="B605" s="79" t="s">
        <v>802</v>
      </c>
    </row>
    <row r="606" ht="15.75" customHeight="1">
      <c r="A606" s="79" t="s">
        <v>789</v>
      </c>
      <c r="B606" s="79" t="s">
        <v>803</v>
      </c>
    </row>
    <row r="607" ht="15.75" customHeight="1">
      <c r="A607" s="79" t="s">
        <v>789</v>
      </c>
      <c r="B607" s="79" t="s">
        <v>804</v>
      </c>
    </row>
    <row r="608" ht="15.75" customHeight="1">
      <c r="A608" s="79" t="s">
        <v>789</v>
      </c>
      <c r="B608" s="79" t="s">
        <v>805</v>
      </c>
    </row>
    <row r="609" ht="15.75" customHeight="1">
      <c r="A609" s="79" t="s">
        <v>789</v>
      </c>
      <c r="B609" s="79" t="s">
        <v>806</v>
      </c>
    </row>
    <row r="610" ht="15.75" customHeight="1">
      <c r="A610" s="79" t="s">
        <v>807</v>
      </c>
      <c r="B610" s="79" t="s">
        <v>808</v>
      </c>
    </row>
    <row r="611" ht="15.75" customHeight="1">
      <c r="A611" s="79" t="s">
        <v>807</v>
      </c>
      <c r="B611" s="79" t="s">
        <v>809</v>
      </c>
    </row>
    <row r="612" ht="15.75" customHeight="1">
      <c r="A612" s="79" t="s">
        <v>807</v>
      </c>
      <c r="B612" s="79" t="s">
        <v>810</v>
      </c>
    </row>
    <row r="613" ht="15.75" customHeight="1">
      <c r="A613" s="79" t="s">
        <v>807</v>
      </c>
      <c r="B613" s="79" t="s">
        <v>811</v>
      </c>
    </row>
    <row r="614" ht="15.75" customHeight="1">
      <c r="A614" s="79" t="s">
        <v>807</v>
      </c>
      <c r="B614" s="79" t="s">
        <v>812</v>
      </c>
    </row>
    <row r="615" ht="15.75" customHeight="1">
      <c r="A615" s="79" t="s">
        <v>807</v>
      </c>
      <c r="B615" s="79" t="s">
        <v>813</v>
      </c>
    </row>
    <row r="616" ht="15.75" customHeight="1">
      <c r="A616" s="79" t="s">
        <v>807</v>
      </c>
      <c r="B616" s="79" t="s">
        <v>814</v>
      </c>
    </row>
    <row r="617" ht="15.75" customHeight="1">
      <c r="A617" s="79" t="s">
        <v>807</v>
      </c>
      <c r="B617" s="79" t="s">
        <v>815</v>
      </c>
    </row>
    <row r="618" ht="15.75" customHeight="1">
      <c r="A618" s="79" t="s">
        <v>807</v>
      </c>
      <c r="B618" s="79" t="s">
        <v>816</v>
      </c>
    </row>
    <row r="619" ht="15.75" customHeight="1">
      <c r="A619" s="79" t="s">
        <v>807</v>
      </c>
      <c r="B619" s="79" t="s">
        <v>817</v>
      </c>
    </row>
    <row r="620" ht="15.75" customHeight="1">
      <c r="A620" s="79" t="s">
        <v>807</v>
      </c>
      <c r="B620" s="79" t="s">
        <v>818</v>
      </c>
    </row>
    <row r="621" ht="15.75" customHeight="1">
      <c r="A621" s="79" t="s">
        <v>807</v>
      </c>
      <c r="B621" s="79" t="s">
        <v>819</v>
      </c>
    </row>
    <row r="622" ht="15.75" customHeight="1">
      <c r="A622" s="79" t="s">
        <v>807</v>
      </c>
      <c r="B622" s="79" t="s">
        <v>820</v>
      </c>
    </row>
    <row r="623" ht="15.75" customHeight="1">
      <c r="A623" s="79" t="s">
        <v>807</v>
      </c>
      <c r="B623" s="79" t="s">
        <v>821</v>
      </c>
    </row>
    <row r="624" ht="15.75" customHeight="1">
      <c r="A624" s="79" t="s">
        <v>807</v>
      </c>
      <c r="B624" s="79" t="s">
        <v>822</v>
      </c>
    </row>
    <row r="625" ht="15.75" customHeight="1">
      <c r="A625" s="79" t="s">
        <v>148</v>
      </c>
      <c r="B625" s="79" t="s">
        <v>823</v>
      </c>
    </row>
    <row r="626" ht="15.75" customHeight="1">
      <c r="A626" s="79" t="s">
        <v>148</v>
      </c>
      <c r="B626" s="79" t="s">
        <v>824</v>
      </c>
    </row>
    <row r="627" ht="15.75" customHeight="1">
      <c r="A627" s="79" t="s">
        <v>148</v>
      </c>
      <c r="B627" s="79" t="s">
        <v>825</v>
      </c>
    </row>
    <row r="628" ht="15.75" customHeight="1">
      <c r="A628" s="79" t="s">
        <v>148</v>
      </c>
      <c r="B628" s="79" t="s">
        <v>826</v>
      </c>
    </row>
    <row r="629" ht="15.75" customHeight="1">
      <c r="A629" s="79" t="s">
        <v>148</v>
      </c>
      <c r="B629" s="79" t="s">
        <v>827</v>
      </c>
    </row>
    <row r="630" ht="15.75" customHeight="1">
      <c r="A630" s="79" t="s">
        <v>148</v>
      </c>
      <c r="B630" s="79" t="s">
        <v>828</v>
      </c>
    </row>
    <row r="631" ht="15.75" customHeight="1">
      <c r="A631" s="79" t="s">
        <v>148</v>
      </c>
      <c r="B631" s="79" t="s">
        <v>829</v>
      </c>
    </row>
    <row r="632" ht="15.75" customHeight="1">
      <c r="A632" s="79" t="s">
        <v>148</v>
      </c>
      <c r="B632" s="79" t="s">
        <v>830</v>
      </c>
    </row>
    <row r="633" ht="15.75" customHeight="1">
      <c r="A633" s="79" t="s">
        <v>148</v>
      </c>
      <c r="B633" s="79" t="s">
        <v>831</v>
      </c>
    </row>
    <row r="634" ht="15.75" customHeight="1">
      <c r="A634" s="79" t="s">
        <v>148</v>
      </c>
      <c r="B634" s="79" t="s">
        <v>832</v>
      </c>
    </row>
    <row r="635" ht="15.75" customHeight="1">
      <c r="A635" s="79" t="s">
        <v>148</v>
      </c>
      <c r="B635" s="79" t="s">
        <v>833</v>
      </c>
    </row>
    <row r="636" ht="15.75" customHeight="1">
      <c r="A636" s="79" t="s">
        <v>148</v>
      </c>
      <c r="B636" s="79" t="s">
        <v>834</v>
      </c>
    </row>
    <row r="637" ht="15.75" customHeight="1">
      <c r="A637" s="79" t="s">
        <v>148</v>
      </c>
      <c r="B637" s="79" t="s">
        <v>835</v>
      </c>
    </row>
    <row r="638" ht="15.75" customHeight="1">
      <c r="A638" s="79" t="s">
        <v>148</v>
      </c>
      <c r="B638" s="79" t="s">
        <v>836</v>
      </c>
    </row>
    <row r="639" ht="15.75" customHeight="1">
      <c r="A639" s="79" t="s">
        <v>148</v>
      </c>
      <c r="B639" s="79" t="s">
        <v>837</v>
      </c>
    </row>
    <row r="640" ht="15.75" customHeight="1">
      <c r="A640" s="79" t="s">
        <v>148</v>
      </c>
      <c r="B640" s="79" t="s">
        <v>838</v>
      </c>
    </row>
    <row r="641" ht="15.75" customHeight="1">
      <c r="A641" s="79" t="s">
        <v>148</v>
      </c>
      <c r="B641" s="79" t="s">
        <v>839</v>
      </c>
    </row>
    <row r="642" ht="15.75" customHeight="1">
      <c r="A642" s="79" t="s">
        <v>148</v>
      </c>
      <c r="B642" s="79" t="s">
        <v>840</v>
      </c>
    </row>
    <row r="643" ht="15.75" customHeight="1">
      <c r="A643" s="79" t="s">
        <v>148</v>
      </c>
      <c r="B643" s="79" t="s">
        <v>841</v>
      </c>
    </row>
    <row r="644" ht="15.75" customHeight="1">
      <c r="A644" s="79" t="s">
        <v>148</v>
      </c>
      <c r="B644" s="79" t="s">
        <v>842</v>
      </c>
    </row>
    <row r="645" ht="15.75" customHeight="1">
      <c r="A645" s="79" t="s">
        <v>843</v>
      </c>
      <c r="B645" s="79" t="s">
        <v>844</v>
      </c>
    </row>
    <row r="646" ht="15.75" customHeight="1">
      <c r="A646" s="79" t="s">
        <v>843</v>
      </c>
      <c r="B646" s="79" t="s">
        <v>845</v>
      </c>
    </row>
    <row r="647" ht="15.75" customHeight="1">
      <c r="A647" s="79" t="s">
        <v>843</v>
      </c>
      <c r="B647" s="79" t="s">
        <v>846</v>
      </c>
    </row>
    <row r="648" ht="15.75" customHeight="1">
      <c r="A648" s="79" t="s">
        <v>843</v>
      </c>
      <c r="B648" s="79" t="s">
        <v>847</v>
      </c>
    </row>
    <row r="649" ht="15.75" customHeight="1">
      <c r="A649" s="79" t="s">
        <v>843</v>
      </c>
      <c r="B649" s="79" t="s">
        <v>848</v>
      </c>
    </row>
    <row r="650" ht="15.75" customHeight="1">
      <c r="A650" s="79" t="s">
        <v>843</v>
      </c>
      <c r="B650" s="79" t="s">
        <v>849</v>
      </c>
    </row>
    <row r="651" ht="15.75" customHeight="1">
      <c r="A651" s="79" t="s">
        <v>843</v>
      </c>
      <c r="B651" s="79" t="s">
        <v>850</v>
      </c>
    </row>
    <row r="652" ht="15.75" customHeight="1">
      <c r="A652" s="79" t="s">
        <v>843</v>
      </c>
      <c r="B652" s="79" t="s">
        <v>851</v>
      </c>
    </row>
    <row r="653" ht="15.75" customHeight="1">
      <c r="A653" s="79" t="s">
        <v>843</v>
      </c>
      <c r="B653" s="79" t="s">
        <v>852</v>
      </c>
    </row>
    <row r="654" ht="15.75" customHeight="1">
      <c r="A654" s="79" t="s">
        <v>843</v>
      </c>
      <c r="B654" s="79" t="s">
        <v>853</v>
      </c>
    </row>
    <row r="655" ht="15.75" customHeight="1">
      <c r="A655" s="79" t="s">
        <v>843</v>
      </c>
      <c r="B655" s="79" t="s">
        <v>854</v>
      </c>
    </row>
    <row r="656" ht="15.75" customHeight="1">
      <c r="A656" s="79" t="s">
        <v>843</v>
      </c>
      <c r="B656" s="79" t="s">
        <v>855</v>
      </c>
    </row>
    <row r="657" ht="15.75" customHeight="1">
      <c r="A657" s="79" t="s">
        <v>843</v>
      </c>
      <c r="B657" s="79" t="s">
        <v>856</v>
      </c>
    </row>
    <row r="658" ht="15.75" customHeight="1">
      <c r="A658" s="79" t="s">
        <v>843</v>
      </c>
      <c r="B658" s="79" t="s">
        <v>857</v>
      </c>
    </row>
    <row r="659" ht="15.75" customHeight="1">
      <c r="A659" s="79" t="s">
        <v>843</v>
      </c>
      <c r="B659" s="79" t="s">
        <v>858</v>
      </c>
    </row>
    <row r="660" ht="15.75" customHeight="1">
      <c r="A660" s="79" t="s">
        <v>843</v>
      </c>
      <c r="B660" s="79" t="s">
        <v>859</v>
      </c>
    </row>
    <row r="661" ht="15.75" customHeight="1">
      <c r="A661" s="79" t="s">
        <v>843</v>
      </c>
      <c r="B661" s="79" t="s">
        <v>860</v>
      </c>
    </row>
    <row r="662" ht="15.75" customHeight="1">
      <c r="A662" s="79" t="s">
        <v>843</v>
      </c>
      <c r="B662" s="79" t="s">
        <v>861</v>
      </c>
    </row>
    <row r="663" ht="15.75" customHeight="1">
      <c r="A663" s="79" t="s">
        <v>843</v>
      </c>
      <c r="B663" s="79" t="s">
        <v>862</v>
      </c>
    </row>
    <row r="664" ht="15.75" customHeight="1">
      <c r="A664" s="79" t="s">
        <v>120</v>
      </c>
      <c r="B664" s="79" t="s">
        <v>863</v>
      </c>
    </row>
    <row r="665" ht="15.75" customHeight="1">
      <c r="A665" s="79" t="s">
        <v>120</v>
      </c>
      <c r="B665" s="79" t="s">
        <v>864</v>
      </c>
    </row>
    <row r="666" ht="15.75" customHeight="1">
      <c r="A666" s="79" t="s">
        <v>120</v>
      </c>
      <c r="B666" s="79" t="s">
        <v>865</v>
      </c>
    </row>
    <row r="667" ht="15.75" customHeight="1">
      <c r="A667" s="79" t="s">
        <v>120</v>
      </c>
      <c r="B667" s="79" t="s">
        <v>866</v>
      </c>
    </row>
    <row r="668" ht="15.75" customHeight="1">
      <c r="A668" s="79" t="s">
        <v>120</v>
      </c>
      <c r="B668" s="79" t="s">
        <v>867</v>
      </c>
    </row>
    <row r="669" ht="15.75" customHeight="1">
      <c r="A669" s="79" t="s">
        <v>120</v>
      </c>
      <c r="B669" s="79" t="s">
        <v>868</v>
      </c>
    </row>
    <row r="670" ht="15.75" customHeight="1">
      <c r="A670" s="79" t="s">
        <v>120</v>
      </c>
      <c r="B670" s="79" t="s">
        <v>869</v>
      </c>
    </row>
    <row r="671" ht="15.75" customHeight="1">
      <c r="A671" s="79" t="s">
        <v>120</v>
      </c>
      <c r="B671" s="79" t="s">
        <v>870</v>
      </c>
    </row>
    <row r="672" ht="15.75" customHeight="1">
      <c r="A672" s="79" t="s">
        <v>120</v>
      </c>
      <c r="B672" s="79" t="s">
        <v>871</v>
      </c>
    </row>
    <row r="673" ht="15.75" customHeight="1">
      <c r="A673" s="79" t="s">
        <v>120</v>
      </c>
      <c r="B673" s="79" t="s">
        <v>872</v>
      </c>
    </row>
    <row r="674" ht="15.75" customHeight="1">
      <c r="A674" s="79" t="s">
        <v>120</v>
      </c>
      <c r="B674" s="79" t="s">
        <v>873</v>
      </c>
    </row>
    <row r="675" ht="15.75" customHeight="1">
      <c r="A675" s="79" t="s">
        <v>120</v>
      </c>
      <c r="B675" s="79" t="s">
        <v>874</v>
      </c>
    </row>
    <row r="676" ht="15.75" customHeight="1">
      <c r="A676" s="79" t="s">
        <v>120</v>
      </c>
      <c r="B676" s="79" t="s">
        <v>875</v>
      </c>
    </row>
    <row r="677" ht="15.75" customHeight="1">
      <c r="A677" s="79" t="s">
        <v>120</v>
      </c>
      <c r="B677" s="79" t="s">
        <v>876</v>
      </c>
    </row>
    <row r="678" ht="15.75" customHeight="1">
      <c r="A678" s="79" t="s">
        <v>120</v>
      </c>
      <c r="B678" s="79" t="s">
        <v>877</v>
      </c>
    </row>
    <row r="679" ht="15.75" customHeight="1">
      <c r="A679" s="79" t="s">
        <v>120</v>
      </c>
      <c r="B679" s="79" t="s">
        <v>878</v>
      </c>
    </row>
    <row r="680" ht="15.75" customHeight="1">
      <c r="A680" s="79" t="s">
        <v>120</v>
      </c>
      <c r="B680" s="79" t="s">
        <v>879</v>
      </c>
    </row>
    <row r="681" ht="15.75" customHeight="1">
      <c r="A681" s="79" t="s">
        <v>120</v>
      </c>
      <c r="B681" s="79" t="s">
        <v>880</v>
      </c>
    </row>
    <row r="682" ht="15.75" customHeight="1">
      <c r="A682" s="79" t="s">
        <v>881</v>
      </c>
      <c r="B682" s="79" t="s">
        <v>882</v>
      </c>
    </row>
    <row r="683" ht="15.75" customHeight="1">
      <c r="A683" s="79" t="s">
        <v>881</v>
      </c>
      <c r="B683" s="79" t="s">
        <v>883</v>
      </c>
    </row>
    <row r="684" ht="15.75" customHeight="1">
      <c r="A684" s="79" t="s">
        <v>881</v>
      </c>
      <c r="B684" s="79" t="s">
        <v>884</v>
      </c>
    </row>
    <row r="685" ht="15.75" customHeight="1">
      <c r="A685" s="79" t="s">
        <v>881</v>
      </c>
      <c r="B685" s="79" t="s">
        <v>885</v>
      </c>
    </row>
    <row r="686" ht="15.75" customHeight="1">
      <c r="A686" s="79" t="s">
        <v>881</v>
      </c>
      <c r="B686" s="79" t="s">
        <v>886</v>
      </c>
    </row>
    <row r="687" ht="15.75" customHeight="1">
      <c r="A687" s="79" t="s">
        <v>881</v>
      </c>
      <c r="B687" s="79" t="s">
        <v>887</v>
      </c>
    </row>
    <row r="688" ht="15.75" customHeight="1">
      <c r="A688" s="79" t="s">
        <v>881</v>
      </c>
      <c r="B688" s="79" t="s">
        <v>888</v>
      </c>
    </row>
    <row r="689" ht="15.75" customHeight="1">
      <c r="A689" s="79" t="s">
        <v>881</v>
      </c>
      <c r="B689" s="79" t="s">
        <v>889</v>
      </c>
    </row>
    <row r="690" ht="15.75" customHeight="1">
      <c r="A690" s="79" t="s">
        <v>881</v>
      </c>
      <c r="B690" s="79" t="s">
        <v>890</v>
      </c>
    </row>
    <row r="691" ht="15.75" customHeight="1">
      <c r="A691" s="79" t="s">
        <v>881</v>
      </c>
      <c r="B691" s="79" t="s">
        <v>891</v>
      </c>
    </row>
    <row r="692" ht="15.75" customHeight="1">
      <c r="A692" s="79" t="s">
        <v>881</v>
      </c>
      <c r="B692" s="79" t="s">
        <v>892</v>
      </c>
    </row>
    <row r="693" ht="15.75" customHeight="1">
      <c r="A693" s="79" t="s">
        <v>881</v>
      </c>
      <c r="B693" s="79" t="s">
        <v>893</v>
      </c>
    </row>
    <row r="694" ht="15.75" customHeight="1">
      <c r="A694" s="79" t="s">
        <v>881</v>
      </c>
      <c r="B694" s="79" t="s">
        <v>894</v>
      </c>
    </row>
    <row r="695" ht="15.75" customHeight="1">
      <c r="A695" s="79" t="s">
        <v>881</v>
      </c>
      <c r="B695" s="79" t="s">
        <v>895</v>
      </c>
    </row>
    <row r="696" ht="15.75" customHeight="1">
      <c r="A696" s="79" t="s">
        <v>881</v>
      </c>
      <c r="B696" s="79" t="s">
        <v>896</v>
      </c>
    </row>
    <row r="697" ht="15.75" customHeight="1">
      <c r="A697" s="79" t="s">
        <v>881</v>
      </c>
      <c r="B697" s="79" t="s">
        <v>897</v>
      </c>
    </row>
    <row r="698" ht="15.75" customHeight="1">
      <c r="A698" s="79" t="s">
        <v>881</v>
      </c>
      <c r="B698" s="79" t="s">
        <v>898</v>
      </c>
    </row>
    <row r="699" ht="15.75" customHeight="1">
      <c r="A699" s="79" t="s">
        <v>881</v>
      </c>
      <c r="B699" s="79" t="s">
        <v>899</v>
      </c>
    </row>
    <row r="700" ht="15.75" customHeight="1">
      <c r="A700" s="79" t="s">
        <v>139</v>
      </c>
      <c r="B700" s="79" t="s">
        <v>900</v>
      </c>
    </row>
    <row r="701" ht="15.75" customHeight="1">
      <c r="A701" s="79" t="s">
        <v>139</v>
      </c>
      <c r="B701" s="79" t="s">
        <v>901</v>
      </c>
    </row>
    <row r="702" ht="15.75" customHeight="1">
      <c r="A702" s="79" t="s">
        <v>139</v>
      </c>
      <c r="B702" s="79" t="s">
        <v>902</v>
      </c>
    </row>
    <row r="703" ht="15.75" customHeight="1">
      <c r="A703" s="79" t="s">
        <v>139</v>
      </c>
      <c r="B703" s="79" t="s">
        <v>903</v>
      </c>
    </row>
    <row r="704" ht="15.75" customHeight="1">
      <c r="A704" s="79" t="s">
        <v>139</v>
      </c>
      <c r="B704" s="79" t="s">
        <v>904</v>
      </c>
    </row>
    <row r="705" ht="15.75" customHeight="1">
      <c r="A705" s="79" t="s">
        <v>139</v>
      </c>
      <c r="B705" s="79" t="s">
        <v>905</v>
      </c>
    </row>
    <row r="706" ht="15.75" customHeight="1">
      <c r="A706" s="79" t="s">
        <v>139</v>
      </c>
      <c r="B706" s="79" t="s">
        <v>906</v>
      </c>
    </row>
    <row r="707" ht="15.75" customHeight="1">
      <c r="A707" s="79" t="s">
        <v>139</v>
      </c>
      <c r="B707" s="79" t="s">
        <v>907</v>
      </c>
    </row>
    <row r="708" ht="15.75" customHeight="1">
      <c r="A708" s="79" t="s">
        <v>139</v>
      </c>
      <c r="B708" s="79" t="s">
        <v>908</v>
      </c>
    </row>
    <row r="709" ht="15.75" customHeight="1">
      <c r="A709" s="79" t="s">
        <v>139</v>
      </c>
      <c r="B709" s="79" t="s">
        <v>909</v>
      </c>
    </row>
    <row r="710" ht="15.75" customHeight="1">
      <c r="A710" s="79" t="s">
        <v>139</v>
      </c>
      <c r="B710" s="79" t="s">
        <v>910</v>
      </c>
    </row>
    <row r="711" ht="15.75" customHeight="1">
      <c r="A711" s="79" t="s">
        <v>139</v>
      </c>
      <c r="B711" s="79" t="s">
        <v>911</v>
      </c>
    </row>
    <row r="712" ht="15.75" customHeight="1">
      <c r="A712" s="79" t="s">
        <v>139</v>
      </c>
      <c r="B712" s="79" t="s">
        <v>912</v>
      </c>
    </row>
    <row r="713" ht="15.75" customHeight="1">
      <c r="A713" s="79" t="s">
        <v>139</v>
      </c>
      <c r="B713" s="79" t="s">
        <v>913</v>
      </c>
    </row>
    <row r="714" ht="15.75" customHeight="1">
      <c r="A714" s="79" t="s">
        <v>139</v>
      </c>
      <c r="B714" s="79" t="s">
        <v>914</v>
      </c>
    </row>
    <row r="715" ht="15.75" customHeight="1">
      <c r="A715" s="79" t="s">
        <v>144</v>
      </c>
      <c r="B715" s="79" t="s">
        <v>915</v>
      </c>
    </row>
    <row r="716" ht="15.75" customHeight="1">
      <c r="A716" s="79" t="s">
        <v>144</v>
      </c>
      <c r="B716" s="79" t="s">
        <v>916</v>
      </c>
    </row>
    <row r="717" ht="15.75" customHeight="1">
      <c r="A717" s="79" t="s">
        <v>144</v>
      </c>
      <c r="B717" s="79" t="s">
        <v>917</v>
      </c>
    </row>
    <row r="718" ht="15.75" customHeight="1">
      <c r="A718" s="79" t="s">
        <v>144</v>
      </c>
      <c r="B718" s="79" t="s">
        <v>918</v>
      </c>
    </row>
    <row r="719" ht="15.75" customHeight="1">
      <c r="A719" s="79" t="s">
        <v>144</v>
      </c>
      <c r="B719" s="79" t="s">
        <v>919</v>
      </c>
    </row>
    <row r="720" ht="15.75" customHeight="1">
      <c r="A720" s="79" t="s">
        <v>144</v>
      </c>
      <c r="B720" s="79" t="s">
        <v>920</v>
      </c>
    </row>
    <row r="721" ht="15.75" customHeight="1">
      <c r="A721" s="79" t="s">
        <v>144</v>
      </c>
      <c r="B721" s="79" t="s">
        <v>921</v>
      </c>
    </row>
    <row r="722" ht="15.75" customHeight="1">
      <c r="A722" s="79" t="s">
        <v>144</v>
      </c>
      <c r="B722" s="79" t="s">
        <v>922</v>
      </c>
    </row>
    <row r="723" ht="15.75" customHeight="1">
      <c r="A723" s="79" t="s">
        <v>144</v>
      </c>
      <c r="B723" s="79" t="s">
        <v>923</v>
      </c>
    </row>
    <row r="724" ht="15.75" customHeight="1">
      <c r="A724" s="79" t="s">
        <v>144</v>
      </c>
      <c r="B724" s="79" t="s">
        <v>924</v>
      </c>
    </row>
    <row r="725" ht="15.75" customHeight="1">
      <c r="A725" s="79" t="s">
        <v>144</v>
      </c>
      <c r="B725" s="79" t="s">
        <v>925</v>
      </c>
    </row>
    <row r="726" ht="15.75" customHeight="1">
      <c r="A726" s="79" t="s">
        <v>144</v>
      </c>
      <c r="B726" s="79" t="s">
        <v>926</v>
      </c>
    </row>
    <row r="727" ht="15.75" customHeight="1">
      <c r="A727" s="79" t="s">
        <v>144</v>
      </c>
      <c r="B727" s="79" t="s">
        <v>927</v>
      </c>
    </row>
    <row r="728" ht="15.75" customHeight="1">
      <c r="A728" s="79" t="s">
        <v>144</v>
      </c>
      <c r="B728" s="79" t="s">
        <v>928</v>
      </c>
    </row>
    <row r="729" ht="15.75" customHeight="1">
      <c r="A729" s="79" t="s">
        <v>144</v>
      </c>
      <c r="B729" s="79" t="s">
        <v>929</v>
      </c>
    </row>
    <row r="730" ht="15.75" customHeight="1">
      <c r="A730" s="79" t="s">
        <v>144</v>
      </c>
      <c r="B730" s="79" t="s">
        <v>930</v>
      </c>
    </row>
    <row r="731" ht="15.75" customHeight="1">
      <c r="A731" s="79" t="s">
        <v>144</v>
      </c>
      <c r="B731" s="79" t="s">
        <v>931</v>
      </c>
    </row>
    <row r="732" ht="15.75" customHeight="1">
      <c r="A732" s="79" t="s">
        <v>144</v>
      </c>
      <c r="B732" s="79" t="s">
        <v>932</v>
      </c>
    </row>
    <row r="733" ht="15.75" customHeight="1">
      <c r="A733" s="79" t="s">
        <v>144</v>
      </c>
      <c r="B733" s="79" t="s">
        <v>933</v>
      </c>
    </row>
    <row r="734" ht="15.75" customHeight="1">
      <c r="A734" s="79" t="s">
        <v>934</v>
      </c>
      <c r="B734" s="79" t="s">
        <v>935</v>
      </c>
    </row>
    <row r="735" ht="15.75" customHeight="1">
      <c r="A735" s="79" t="s">
        <v>934</v>
      </c>
      <c r="B735" s="79" t="s">
        <v>936</v>
      </c>
    </row>
    <row r="736" ht="15.75" customHeight="1">
      <c r="A736" s="79" t="s">
        <v>934</v>
      </c>
      <c r="B736" s="79" t="s">
        <v>937</v>
      </c>
    </row>
    <row r="737" ht="15.75" customHeight="1">
      <c r="A737" s="79" t="s">
        <v>934</v>
      </c>
      <c r="B737" s="79" t="s">
        <v>938</v>
      </c>
    </row>
    <row r="738" ht="15.75" customHeight="1">
      <c r="A738" s="79" t="s">
        <v>934</v>
      </c>
      <c r="B738" s="79" t="s">
        <v>939</v>
      </c>
    </row>
    <row r="739" ht="15.75" customHeight="1">
      <c r="A739" s="79" t="s">
        <v>934</v>
      </c>
      <c r="B739" s="79" t="s">
        <v>940</v>
      </c>
    </row>
    <row r="740" ht="15.75" customHeight="1">
      <c r="A740" s="79" t="s">
        <v>934</v>
      </c>
      <c r="B740" s="79" t="s">
        <v>941</v>
      </c>
    </row>
    <row r="741" ht="15.75" customHeight="1">
      <c r="A741" s="79" t="s">
        <v>934</v>
      </c>
      <c r="B741" s="79" t="s">
        <v>942</v>
      </c>
    </row>
    <row r="742" ht="15.75" customHeight="1">
      <c r="A742" s="79" t="s">
        <v>934</v>
      </c>
      <c r="B742" s="79" t="s">
        <v>943</v>
      </c>
    </row>
    <row r="743" ht="15.75" customHeight="1">
      <c r="A743" s="79" t="s">
        <v>934</v>
      </c>
      <c r="B743" s="79" t="s">
        <v>944</v>
      </c>
    </row>
    <row r="744" ht="15.75" customHeight="1">
      <c r="A744" s="79" t="s">
        <v>934</v>
      </c>
      <c r="B744" s="79" t="s">
        <v>945</v>
      </c>
    </row>
    <row r="745" ht="15.75" customHeight="1">
      <c r="A745" s="79" t="s">
        <v>934</v>
      </c>
      <c r="B745" s="79" t="s">
        <v>946</v>
      </c>
    </row>
    <row r="746" ht="15.75" customHeight="1">
      <c r="A746" s="79" t="s">
        <v>934</v>
      </c>
      <c r="B746" s="79" t="s">
        <v>947</v>
      </c>
    </row>
    <row r="747" ht="15.75" customHeight="1">
      <c r="A747" s="79" t="s">
        <v>934</v>
      </c>
      <c r="B747" s="79" t="s">
        <v>948</v>
      </c>
    </row>
    <row r="748" ht="15.75" customHeight="1">
      <c r="A748" s="79" t="s">
        <v>934</v>
      </c>
      <c r="B748" s="79" t="s">
        <v>949</v>
      </c>
    </row>
    <row r="749" ht="15.75" customHeight="1">
      <c r="A749" s="79" t="s">
        <v>132</v>
      </c>
      <c r="B749" s="79" t="s">
        <v>950</v>
      </c>
    </row>
    <row r="750" ht="15.75" customHeight="1">
      <c r="A750" s="79" t="s">
        <v>132</v>
      </c>
      <c r="B750" s="79" t="s">
        <v>951</v>
      </c>
    </row>
    <row r="751" ht="15.75" customHeight="1">
      <c r="A751" s="79" t="s">
        <v>132</v>
      </c>
      <c r="B751" s="79" t="s">
        <v>952</v>
      </c>
    </row>
    <row r="752" ht="15.75" customHeight="1">
      <c r="A752" s="79" t="s">
        <v>132</v>
      </c>
      <c r="B752" s="79" t="s">
        <v>953</v>
      </c>
    </row>
    <row r="753" ht="15.75" customHeight="1">
      <c r="A753" s="79" t="s">
        <v>132</v>
      </c>
      <c r="B753" s="79" t="s">
        <v>954</v>
      </c>
    </row>
    <row r="754" ht="15.75" customHeight="1">
      <c r="A754" s="79" t="s">
        <v>132</v>
      </c>
      <c r="B754" s="79" t="s">
        <v>955</v>
      </c>
    </row>
    <row r="755" ht="15.75" customHeight="1">
      <c r="A755" s="79" t="s">
        <v>132</v>
      </c>
      <c r="B755" s="79" t="s">
        <v>956</v>
      </c>
    </row>
    <row r="756" ht="15.75" customHeight="1">
      <c r="A756" s="79" t="s">
        <v>132</v>
      </c>
      <c r="B756" s="79" t="s">
        <v>957</v>
      </c>
    </row>
    <row r="757" ht="15.75" customHeight="1">
      <c r="A757" s="79" t="s">
        <v>132</v>
      </c>
      <c r="B757" s="79" t="s">
        <v>958</v>
      </c>
    </row>
    <row r="758" ht="15.75" customHeight="1">
      <c r="A758" s="79" t="s">
        <v>132</v>
      </c>
      <c r="B758" s="79" t="s">
        <v>959</v>
      </c>
    </row>
    <row r="759" ht="15.75" customHeight="1">
      <c r="A759" s="79" t="s">
        <v>132</v>
      </c>
      <c r="B759" s="79" t="s">
        <v>960</v>
      </c>
    </row>
    <row r="760" ht="15.75" customHeight="1">
      <c r="A760" s="79" t="s">
        <v>132</v>
      </c>
      <c r="B760" s="79" t="s">
        <v>961</v>
      </c>
    </row>
    <row r="761" ht="15.75" customHeight="1">
      <c r="A761" s="79" t="s">
        <v>132</v>
      </c>
      <c r="B761" s="79" t="s">
        <v>962</v>
      </c>
    </row>
    <row r="762" ht="15.75" customHeight="1">
      <c r="A762" s="79" t="s">
        <v>132</v>
      </c>
      <c r="B762" s="79" t="s">
        <v>963</v>
      </c>
    </row>
    <row r="763" ht="15.75" customHeight="1">
      <c r="A763" s="79" t="s">
        <v>132</v>
      </c>
      <c r="B763" s="79" t="s">
        <v>964</v>
      </c>
    </row>
    <row r="764" ht="15.75" customHeight="1">
      <c r="A764" s="79" t="s">
        <v>132</v>
      </c>
      <c r="B764" s="79" t="s">
        <v>965</v>
      </c>
    </row>
    <row r="765" ht="15.75" customHeight="1">
      <c r="A765" s="79" t="s">
        <v>132</v>
      </c>
      <c r="B765" s="79" t="s">
        <v>966</v>
      </c>
    </row>
    <row r="766" ht="15.75" customHeight="1">
      <c r="A766" s="79" t="s">
        <v>132</v>
      </c>
      <c r="B766" s="79" t="s">
        <v>967</v>
      </c>
    </row>
    <row r="767" ht="15.75" customHeight="1">
      <c r="A767" s="79" t="s">
        <v>132</v>
      </c>
      <c r="B767" s="79" t="s">
        <v>968</v>
      </c>
    </row>
    <row r="768" ht="15.75" customHeight="1">
      <c r="A768" s="79" t="s">
        <v>969</v>
      </c>
      <c r="B768" s="79" t="s">
        <v>970</v>
      </c>
    </row>
    <row r="769" ht="15.75" customHeight="1">
      <c r="A769" s="79" t="s">
        <v>969</v>
      </c>
      <c r="B769" s="79" t="s">
        <v>971</v>
      </c>
    </row>
    <row r="770" ht="15.75" customHeight="1">
      <c r="A770" s="79" t="s">
        <v>969</v>
      </c>
      <c r="B770" s="79" t="s">
        <v>972</v>
      </c>
    </row>
    <row r="771" ht="15.75" customHeight="1">
      <c r="A771" s="79" t="s">
        <v>969</v>
      </c>
      <c r="B771" s="79" t="s">
        <v>973</v>
      </c>
    </row>
    <row r="772" ht="15.75" customHeight="1">
      <c r="A772" s="79" t="s">
        <v>969</v>
      </c>
      <c r="B772" s="79" t="s">
        <v>974</v>
      </c>
    </row>
    <row r="773" ht="15.75" customHeight="1">
      <c r="A773" s="79" t="s">
        <v>969</v>
      </c>
      <c r="B773" s="79" t="s">
        <v>975</v>
      </c>
    </row>
    <row r="774" ht="15.75" customHeight="1">
      <c r="A774" s="79" t="s">
        <v>969</v>
      </c>
      <c r="B774" s="79" t="s">
        <v>976</v>
      </c>
    </row>
    <row r="775" ht="15.75" customHeight="1">
      <c r="A775" s="79" t="s">
        <v>969</v>
      </c>
      <c r="B775" s="79" t="s">
        <v>977</v>
      </c>
    </row>
    <row r="776" ht="15.75" customHeight="1">
      <c r="A776" s="79" t="s">
        <v>969</v>
      </c>
      <c r="B776" s="79" t="s">
        <v>978</v>
      </c>
    </row>
    <row r="777" ht="15.75" customHeight="1">
      <c r="A777" s="79" t="s">
        <v>969</v>
      </c>
      <c r="B777" s="79" t="s">
        <v>979</v>
      </c>
    </row>
    <row r="778" ht="15.75" customHeight="1">
      <c r="A778" s="79" t="s">
        <v>969</v>
      </c>
      <c r="B778" s="79" t="s">
        <v>980</v>
      </c>
    </row>
    <row r="779" ht="15.75" customHeight="1">
      <c r="A779" s="79" t="s">
        <v>969</v>
      </c>
      <c r="B779" s="79" t="s">
        <v>981</v>
      </c>
    </row>
    <row r="780" ht="15.75" customHeight="1">
      <c r="A780" s="79" t="s">
        <v>969</v>
      </c>
      <c r="B780" s="79" t="s">
        <v>982</v>
      </c>
    </row>
    <row r="781" ht="15.75" customHeight="1">
      <c r="A781" s="79" t="s">
        <v>969</v>
      </c>
      <c r="B781" s="79" t="s">
        <v>983</v>
      </c>
    </row>
    <row r="782" ht="15.75" customHeight="1">
      <c r="A782" s="79" t="s">
        <v>969</v>
      </c>
      <c r="B782" s="79" t="s">
        <v>984</v>
      </c>
    </row>
    <row r="783" ht="15.75" customHeight="1">
      <c r="A783" s="79" t="s">
        <v>969</v>
      </c>
      <c r="B783" s="79" t="s">
        <v>985</v>
      </c>
    </row>
    <row r="784" ht="15.75" customHeight="1">
      <c r="A784" s="79" t="s">
        <v>986</v>
      </c>
      <c r="B784" s="79" t="s">
        <v>987</v>
      </c>
    </row>
    <row r="785" ht="15.75" customHeight="1">
      <c r="A785" s="79" t="s">
        <v>986</v>
      </c>
      <c r="B785" s="79" t="s">
        <v>988</v>
      </c>
    </row>
    <row r="786" ht="15.75" customHeight="1">
      <c r="A786" s="79" t="s">
        <v>986</v>
      </c>
      <c r="B786" s="79" t="s">
        <v>989</v>
      </c>
    </row>
    <row r="787" ht="15.75" customHeight="1">
      <c r="A787" s="79" t="s">
        <v>986</v>
      </c>
      <c r="B787" s="79" t="s">
        <v>990</v>
      </c>
    </row>
    <row r="788" ht="15.75" customHeight="1">
      <c r="A788" s="79" t="s">
        <v>986</v>
      </c>
      <c r="B788" s="79" t="s">
        <v>991</v>
      </c>
    </row>
    <row r="789" ht="15.75" customHeight="1">
      <c r="A789" s="79" t="s">
        <v>986</v>
      </c>
      <c r="B789" s="79" t="s">
        <v>992</v>
      </c>
    </row>
    <row r="790" ht="15.75" customHeight="1">
      <c r="A790" s="79" t="s">
        <v>986</v>
      </c>
      <c r="B790" s="79" t="s">
        <v>993</v>
      </c>
    </row>
    <row r="791" ht="15.75" customHeight="1">
      <c r="A791" s="79" t="s">
        <v>986</v>
      </c>
      <c r="B791" s="79" t="s">
        <v>994</v>
      </c>
    </row>
    <row r="792" ht="15.75" customHeight="1">
      <c r="A792" s="79" t="s">
        <v>986</v>
      </c>
      <c r="B792" s="79" t="s">
        <v>995</v>
      </c>
    </row>
    <row r="793" ht="15.75" customHeight="1">
      <c r="A793" s="79" t="s">
        <v>986</v>
      </c>
      <c r="B793" s="79" t="s">
        <v>996</v>
      </c>
    </row>
    <row r="794" ht="15.75" customHeight="1">
      <c r="A794" s="79" t="s">
        <v>986</v>
      </c>
      <c r="B794" s="79" t="s">
        <v>997</v>
      </c>
    </row>
    <row r="795" ht="15.75" customHeight="1">
      <c r="A795" s="79" t="s">
        <v>986</v>
      </c>
      <c r="B795" s="79" t="s">
        <v>998</v>
      </c>
    </row>
    <row r="796" ht="15.75" customHeight="1">
      <c r="A796" s="79" t="s">
        <v>986</v>
      </c>
      <c r="B796" s="79" t="s">
        <v>999</v>
      </c>
    </row>
    <row r="797" ht="15.75" customHeight="1">
      <c r="A797" s="79" t="s">
        <v>986</v>
      </c>
      <c r="B797" s="79" t="s">
        <v>1000</v>
      </c>
    </row>
    <row r="798" ht="15.75" customHeight="1">
      <c r="A798" s="79" t="s">
        <v>986</v>
      </c>
      <c r="B798" s="79" t="s">
        <v>1001</v>
      </c>
    </row>
    <row r="799" ht="15.75" customHeight="1">
      <c r="A799" s="79" t="s">
        <v>986</v>
      </c>
      <c r="B799" s="79" t="s">
        <v>1002</v>
      </c>
    </row>
    <row r="800" ht="15.75" customHeight="1">
      <c r="A800" s="79" t="s">
        <v>986</v>
      </c>
      <c r="B800" s="79" t="s">
        <v>1003</v>
      </c>
    </row>
    <row r="801" ht="15.75" customHeight="1">
      <c r="A801" s="79" t="s">
        <v>119</v>
      </c>
      <c r="B801" s="79" t="s">
        <v>1004</v>
      </c>
    </row>
    <row r="802" ht="15.75" customHeight="1">
      <c r="A802" s="79" t="s">
        <v>119</v>
      </c>
      <c r="B802" s="79" t="s">
        <v>1005</v>
      </c>
    </row>
    <row r="803" ht="15.75" customHeight="1">
      <c r="A803" s="79" t="s">
        <v>119</v>
      </c>
      <c r="B803" s="79" t="s">
        <v>1006</v>
      </c>
    </row>
    <row r="804" ht="15.75" customHeight="1">
      <c r="A804" s="79" t="s">
        <v>119</v>
      </c>
      <c r="B804" s="79" t="s">
        <v>1007</v>
      </c>
    </row>
    <row r="805" ht="15.75" customHeight="1">
      <c r="A805" s="79" t="s">
        <v>119</v>
      </c>
      <c r="B805" s="79" t="s">
        <v>1008</v>
      </c>
    </row>
    <row r="806" ht="15.75" customHeight="1">
      <c r="A806" s="79" t="s">
        <v>119</v>
      </c>
      <c r="B806" s="79" t="s">
        <v>1009</v>
      </c>
    </row>
    <row r="807" ht="15.75" customHeight="1">
      <c r="A807" s="79" t="s">
        <v>119</v>
      </c>
      <c r="B807" s="79" t="s">
        <v>1010</v>
      </c>
    </row>
    <row r="808" ht="15.75" customHeight="1">
      <c r="A808" s="79" t="s">
        <v>119</v>
      </c>
      <c r="B808" s="79" t="s">
        <v>1011</v>
      </c>
    </row>
    <row r="809" ht="15.75" customHeight="1">
      <c r="A809" s="79" t="s">
        <v>119</v>
      </c>
      <c r="B809" s="79" t="s">
        <v>1012</v>
      </c>
    </row>
    <row r="810" ht="15.75" customHeight="1">
      <c r="A810" s="79" t="s">
        <v>119</v>
      </c>
      <c r="B810" s="79" t="s">
        <v>1013</v>
      </c>
    </row>
    <row r="811" ht="15.75" customHeight="1">
      <c r="A811" s="79" t="s">
        <v>119</v>
      </c>
      <c r="B811" s="79" t="s">
        <v>1014</v>
      </c>
    </row>
    <row r="812" ht="15.75" customHeight="1">
      <c r="A812" s="79" t="s">
        <v>119</v>
      </c>
      <c r="B812" s="79" t="s">
        <v>1015</v>
      </c>
    </row>
    <row r="813" ht="15.75" customHeight="1">
      <c r="A813" s="79" t="s">
        <v>119</v>
      </c>
      <c r="B813" s="79" t="s">
        <v>1016</v>
      </c>
    </row>
    <row r="814" ht="15.75" customHeight="1">
      <c r="A814" s="79" t="s">
        <v>119</v>
      </c>
      <c r="B814" s="79" t="s">
        <v>1017</v>
      </c>
    </row>
    <row r="815" ht="15.75" customHeight="1">
      <c r="A815" s="79" t="s">
        <v>119</v>
      </c>
      <c r="B815" s="79" t="s">
        <v>1018</v>
      </c>
    </row>
    <row r="816" ht="15.75" customHeight="1">
      <c r="A816" s="79" t="s">
        <v>119</v>
      </c>
      <c r="B816" s="79" t="s">
        <v>1019</v>
      </c>
    </row>
    <row r="817" ht="15.75" customHeight="1">
      <c r="A817" s="79" t="s">
        <v>119</v>
      </c>
      <c r="B817" s="79" t="s">
        <v>1020</v>
      </c>
    </row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24.0"/>
    <col customWidth="1" min="3" max="8" width="6.0"/>
    <col customWidth="1" min="9" max="9" width="10.0"/>
    <col customWidth="1" min="10" max="10" width="6.0"/>
    <col customWidth="1" min="11" max="26" width="8.71"/>
  </cols>
  <sheetData>
    <row r="1" ht="43.5" customHeight="1">
      <c r="A1" s="18" t="s">
        <v>1021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80" t="s">
        <v>1022</v>
      </c>
      <c r="B3" s="81" t="s">
        <v>104</v>
      </c>
      <c r="C3" s="82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3</v>
      </c>
      <c r="D3" s="82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0</v>
      </c>
      <c r="E3" s="83">
        <f>IF(ISNUMBER('Apostas - Grupos'!B5),'Apostas - Grupos'!B5,0)+IF(ISNUMBER('Apostas - Grupos'!H5),'Apostas - Grupos'!H5,0)+IF(ISNUMBER('Apostas - Grupos'!J5),'Apostas - Grupos'!K5,0)</f>
        <v>6</v>
      </c>
      <c r="F3" s="83">
        <f>IF(ISNUMBER('Apostas - Grupos'!B5),'Apostas - Grupos'!C5,0)+IF(ISNUMBER('Apostas - Grupos'!H5),'Apostas - Grupos'!I5,0)+IF(ISNUMBER('Apostas - Grupos'!J5),'Apostas - Grupos'!J5,0)</f>
        <v>1</v>
      </c>
      <c r="G3" s="83">
        <f t="shared" ref="G3:G50" si="1">E3-F3</f>
        <v>5</v>
      </c>
      <c r="H3" s="84">
        <f t="shared" ref="H3:H50" si="2">3*C3+D3</f>
        <v>9</v>
      </c>
      <c r="I3" s="82">
        <f t="shared" ref="I3:I50" si="3">H3*1000000000+(G3+200)*1000000+E3*1000+(500-M3)</f>
        <v>9205006484</v>
      </c>
      <c r="J3" s="84">
        <f t="shared" ref="J3:J6" si="4">RANK(I3,$I$3:$I$6,0)</f>
        <v>1</v>
      </c>
      <c r="K3" s="82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82">
        <f t="shared" ref="L3:L50" si="5">K3-C3-D3</f>
        <v>0</v>
      </c>
      <c r="M3" s="82">
        <v>16.0</v>
      </c>
    </row>
    <row r="4">
      <c r="A4" s="80" t="s">
        <v>1022</v>
      </c>
      <c r="B4" s="81" t="s">
        <v>105</v>
      </c>
      <c r="C4" s="82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2</v>
      </c>
      <c r="D4" s="82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83">
        <f>IF(ISNUMBER('Apostas - Grupos'!B5),'Apostas - Grupos'!C5,0)+IF(ISNUMBER('Apostas - Grupos'!F5),'Apostas - Grupos'!G5,0)+IF(ISNUMBER('Apostas - Grupos'!L5),'Apostas - Grupos'!L5,0)</f>
        <v>5</v>
      </c>
      <c r="F4" s="83">
        <f>IF(ISNUMBER('Apostas - Grupos'!B5),'Apostas - Grupos'!B5,0)+IF(ISNUMBER('Apostas - Grupos'!F5),'Apostas - Grupos'!F5,0)+IF(ISNUMBER('Apostas - Grupos'!L5),'Apostas - Grupos'!M5,0)</f>
        <v>2</v>
      </c>
      <c r="G4" s="83">
        <f t="shared" si="1"/>
        <v>3</v>
      </c>
      <c r="H4" s="84">
        <f t="shared" si="2"/>
        <v>6</v>
      </c>
      <c r="I4" s="82">
        <f t="shared" si="3"/>
        <v>6203005437</v>
      </c>
      <c r="J4" s="84">
        <f t="shared" si="4"/>
        <v>2</v>
      </c>
      <c r="K4" s="82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82">
        <f t="shared" si="5"/>
        <v>1</v>
      </c>
      <c r="M4" s="82">
        <v>63.0</v>
      </c>
    </row>
    <row r="5">
      <c r="A5" s="80" t="s">
        <v>1022</v>
      </c>
      <c r="B5" s="81" t="s">
        <v>106</v>
      </c>
      <c r="C5" s="82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82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0</v>
      </c>
      <c r="E5" s="83">
        <f>IF(ISNUMBER('Apostas - Grupos'!D5),'Apostas - Grupos'!D5,0)+IF(ISNUMBER('Apostas - Grupos'!H5),'Apostas - Grupos'!I5,0)+IF(ISNUMBER('Apostas - Grupos'!L5),'Apostas - Grupos'!M5,0)</f>
        <v>1</v>
      </c>
      <c r="F5" s="83">
        <f>IF(ISNUMBER('Apostas - Grupos'!D5),'Apostas - Grupos'!E5,0)+IF(ISNUMBER('Apostas - Grupos'!H5),'Apostas - Grupos'!H5,0)+IF(ISNUMBER('Apostas - Grupos'!L5),'Apostas - Grupos'!L5,0)</f>
        <v>4</v>
      </c>
      <c r="G5" s="83">
        <f t="shared" si="1"/>
        <v>-3</v>
      </c>
      <c r="H5" s="84">
        <f t="shared" si="2"/>
        <v>3</v>
      </c>
      <c r="I5" s="82">
        <f t="shared" si="3"/>
        <v>3197001477</v>
      </c>
      <c r="J5" s="84">
        <f t="shared" si="4"/>
        <v>3</v>
      </c>
      <c r="K5" s="82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82">
        <f t="shared" si="5"/>
        <v>2</v>
      </c>
      <c r="M5" s="82">
        <v>23.0</v>
      </c>
    </row>
    <row r="6">
      <c r="A6" s="80" t="s">
        <v>1022</v>
      </c>
      <c r="B6" s="81" t="s">
        <v>107</v>
      </c>
      <c r="C6" s="82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0</v>
      </c>
      <c r="D6" s="82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83">
        <f>IF(ISNUMBER('Apostas - Grupos'!D5),'Apostas - Grupos'!E5,0)+IF(ISNUMBER('Apostas - Grupos'!F5),'Apostas - Grupos'!F5,0)+IF(ISNUMBER('Apostas - Grupos'!J5),'Apostas - Grupos'!J5,0)</f>
        <v>0</v>
      </c>
      <c r="F6" s="83">
        <f>IF(ISNUMBER('Apostas - Grupos'!D5),'Apostas - Grupos'!D5,0)+IF(ISNUMBER('Apostas - Grupos'!F5),'Apostas - Grupos'!G5,0)+IF(ISNUMBER('Apostas - Grupos'!J5),'Apostas - Grupos'!K5,0)</f>
        <v>5</v>
      </c>
      <c r="G6" s="83">
        <f t="shared" si="1"/>
        <v>-5</v>
      </c>
      <c r="H6" s="84">
        <f t="shared" si="2"/>
        <v>0</v>
      </c>
      <c r="I6" s="82">
        <f t="shared" si="3"/>
        <v>195000462</v>
      </c>
      <c r="J6" s="84">
        <f t="shared" si="4"/>
        <v>4</v>
      </c>
      <c r="K6" s="82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82">
        <f t="shared" si="5"/>
        <v>3</v>
      </c>
      <c r="M6" s="82">
        <v>38.0</v>
      </c>
    </row>
    <row r="7">
      <c r="A7" s="85" t="s">
        <v>1023</v>
      </c>
      <c r="B7" s="86" t="s">
        <v>108</v>
      </c>
      <c r="C7" s="87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0</v>
      </c>
      <c r="D7" s="87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2</v>
      </c>
      <c r="E7" s="88">
        <f>IF(ISNUMBER('Apostas - Grupos'!N5),'Apostas - Grupos'!N5,0)+IF(ISNUMBER('Apostas - Grupos'!T5),'Apostas - Grupos'!T5,0)+IF(ISNUMBER('Apostas - Grupos'!V5),'Apostas - Grupos'!W5,0)</f>
        <v>1</v>
      </c>
      <c r="F7" s="88">
        <f>IF(ISNUMBER('Apostas - Grupos'!N5),'Apostas - Grupos'!O5,0)+IF(ISNUMBER('Apostas - Grupos'!T5),'Apostas - Grupos'!U5,0)+IF(ISNUMBER('Apostas - Grupos'!V5),'Apostas - Grupos'!V5,0)</f>
        <v>2</v>
      </c>
      <c r="G7" s="88">
        <f t="shared" si="1"/>
        <v>-1</v>
      </c>
      <c r="H7" s="89">
        <f t="shared" si="2"/>
        <v>2</v>
      </c>
      <c r="I7" s="87">
        <f t="shared" si="3"/>
        <v>2199001456</v>
      </c>
      <c r="J7" s="89">
        <f t="shared" ref="J7:J10" si="6">RANK(I7,$I$7:$I$10,0)</f>
        <v>3</v>
      </c>
      <c r="K7" s="87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87">
        <f t="shared" si="5"/>
        <v>1</v>
      </c>
      <c r="M7" s="87">
        <v>44.0</v>
      </c>
    </row>
    <row r="8">
      <c r="A8" s="85" t="s">
        <v>1023</v>
      </c>
      <c r="B8" s="86" t="s">
        <v>109</v>
      </c>
      <c r="C8" s="87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0</v>
      </c>
      <c r="D8" s="87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2</v>
      </c>
      <c r="E8" s="88">
        <f>IF(ISNUMBER('Apostas - Grupos'!N5),'Apostas - Grupos'!O5,0)+IF(ISNUMBER('Apostas - Grupos'!R5),'Apostas - Grupos'!S5,0)+IF(ISNUMBER('Apostas - Grupos'!X5),'Apostas - Grupos'!X5,0)</f>
        <v>2</v>
      </c>
      <c r="F8" s="88">
        <f>IF(ISNUMBER('Apostas - Grupos'!N5),'Apostas - Grupos'!N5,0)+IF(ISNUMBER('Apostas - Grupos'!R5),'Apostas - Grupos'!R5,0)+IF(ISNUMBER('Apostas - Grupos'!X5),'Apostas - Grupos'!Y5,0)</f>
        <v>3</v>
      </c>
      <c r="G8" s="88">
        <f t="shared" si="1"/>
        <v>-1</v>
      </c>
      <c r="H8" s="89">
        <f t="shared" si="2"/>
        <v>2</v>
      </c>
      <c r="I8" s="87">
        <f t="shared" si="3"/>
        <v>2199002445</v>
      </c>
      <c r="J8" s="89">
        <f t="shared" si="6"/>
        <v>2</v>
      </c>
      <c r="K8" s="87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87">
        <f t="shared" si="5"/>
        <v>1</v>
      </c>
      <c r="M8" s="87">
        <v>55.0</v>
      </c>
    </row>
    <row r="9">
      <c r="A9" s="85" t="s">
        <v>1023</v>
      </c>
      <c r="B9" s="86" t="s">
        <v>110</v>
      </c>
      <c r="C9" s="87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87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2</v>
      </c>
      <c r="E9" s="88">
        <f>IF(ISNUMBER('Apostas - Grupos'!P5),'Apostas - Grupos'!P5,0)+IF(ISNUMBER('Apostas - Grupos'!T5),'Apostas - Grupos'!U5,0)+IF(ISNUMBER('Apostas - Grupos'!X5),'Apostas - Grupos'!Y5,0)</f>
        <v>1</v>
      </c>
      <c r="F9" s="88">
        <f>IF(ISNUMBER('Apostas - Grupos'!P5),'Apostas - Grupos'!Q5,0)+IF(ISNUMBER('Apostas - Grupos'!T5),'Apostas - Grupos'!T5,0)+IF(ISNUMBER('Apostas - Grupos'!X5),'Apostas - Grupos'!X5,0)</f>
        <v>3</v>
      </c>
      <c r="G9" s="88">
        <f t="shared" si="1"/>
        <v>-2</v>
      </c>
      <c r="H9" s="89">
        <f t="shared" si="2"/>
        <v>2</v>
      </c>
      <c r="I9" s="87">
        <f t="shared" si="3"/>
        <v>2198001462</v>
      </c>
      <c r="J9" s="89">
        <f t="shared" si="6"/>
        <v>4</v>
      </c>
      <c r="K9" s="87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87">
        <f t="shared" si="5"/>
        <v>1</v>
      </c>
      <c r="M9" s="87">
        <v>38.0</v>
      </c>
    </row>
    <row r="10">
      <c r="A10" s="85" t="s">
        <v>1023</v>
      </c>
      <c r="B10" s="86" t="s">
        <v>111</v>
      </c>
      <c r="C10" s="87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3</v>
      </c>
      <c r="D10" s="87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0</v>
      </c>
      <c r="E10" s="88">
        <f>IF(ISNUMBER('Apostas - Grupos'!P5),'Apostas - Grupos'!Q5,0)+IF(ISNUMBER('Apostas - Grupos'!R5),'Apostas - Grupos'!R5,0)+IF(ISNUMBER('Apostas - Grupos'!V5),'Apostas - Grupos'!V5,0)</f>
        <v>4</v>
      </c>
      <c r="F10" s="88">
        <f>IF(ISNUMBER('Apostas - Grupos'!P5),'Apostas - Grupos'!P5,0)+IF(ISNUMBER('Apostas - Grupos'!R5),'Apostas - Grupos'!S5,0)+IF(ISNUMBER('Apostas - Grupos'!V5),'Apostas - Grupos'!W5,0)</f>
        <v>0</v>
      </c>
      <c r="G10" s="88">
        <f t="shared" si="1"/>
        <v>4</v>
      </c>
      <c r="H10" s="89">
        <f t="shared" si="2"/>
        <v>9</v>
      </c>
      <c r="I10" s="87">
        <f t="shared" si="3"/>
        <v>9204004480</v>
      </c>
      <c r="J10" s="89">
        <f t="shared" si="6"/>
        <v>1</v>
      </c>
      <c r="K10" s="87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87">
        <f t="shared" si="5"/>
        <v>0</v>
      </c>
      <c r="M10" s="87">
        <v>20.0</v>
      </c>
    </row>
    <row r="11">
      <c r="A11" s="90" t="s">
        <v>1024</v>
      </c>
      <c r="B11" s="91" t="s">
        <v>112</v>
      </c>
      <c r="C11" s="92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92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93">
        <f>IF(ISNUMBER('Apostas - Grupos'!Z5),'Apostas - Grupos'!Z5,0)+IF(ISNUMBER('Apostas - Grupos'!AF5),'Apostas - Grupos'!AF5,0)+IF(ISNUMBER('Apostas - Grupos'!AH5),'Apostas - Grupos'!AI5,0)</f>
        <v>9</v>
      </c>
      <c r="F11" s="93">
        <f>IF(ISNUMBER('Apostas - Grupos'!Z5),'Apostas - Grupos'!AA5,0)+IF(ISNUMBER('Apostas - Grupos'!AF5),'Apostas - Grupos'!AG5,0)+IF(ISNUMBER('Apostas - Grupos'!AH5),'Apostas - Grupos'!AH5,0)</f>
        <v>1</v>
      </c>
      <c r="G11" s="93">
        <f t="shared" si="1"/>
        <v>8</v>
      </c>
      <c r="H11" s="94">
        <f t="shared" si="2"/>
        <v>9</v>
      </c>
      <c r="I11" s="92">
        <f t="shared" si="3"/>
        <v>9208009495</v>
      </c>
      <c r="J11" s="94">
        <f t="shared" ref="J11:J14" si="7">RANK(I11,$I$11:$I$14,0)</f>
        <v>1</v>
      </c>
      <c r="K11" s="92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92">
        <f t="shared" si="5"/>
        <v>0</v>
      </c>
      <c r="M11" s="92">
        <v>5.0</v>
      </c>
    </row>
    <row r="12">
      <c r="A12" s="90" t="s">
        <v>1024</v>
      </c>
      <c r="B12" s="91" t="s">
        <v>113</v>
      </c>
      <c r="C12" s="92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92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93">
        <f>IF(ISNUMBER('Apostas - Grupos'!Z5),'Apostas - Grupos'!AA5,0)+IF(ISNUMBER('Apostas - Grupos'!AD5),'Apostas - Grupos'!AE5,0)+IF(ISNUMBER('Apostas - Grupos'!AJ5),'Apostas - Grupos'!AJ5,0)</f>
        <v>7</v>
      </c>
      <c r="F12" s="93">
        <f>IF(ISNUMBER('Apostas - Grupos'!Z5),'Apostas - Grupos'!Z5,0)+IF(ISNUMBER('Apostas - Grupos'!AD5),'Apostas - Grupos'!AD5,0)+IF(ISNUMBER('Apostas - Grupos'!AJ5),'Apostas - Grupos'!AK5,0)</f>
        <v>2</v>
      </c>
      <c r="G12" s="93">
        <f t="shared" si="1"/>
        <v>5</v>
      </c>
      <c r="H12" s="94">
        <f t="shared" si="2"/>
        <v>6</v>
      </c>
      <c r="I12" s="92">
        <f t="shared" si="3"/>
        <v>6205007486</v>
      </c>
      <c r="J12" s="94">
        <f t="shared" si="7"/>
        <v>2</v>
      </c>
      <c r="K12" s="92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92">
        <f t="shared" si="5"/>
        <v>1</v>
      </c>
      <c r="M12" s="92">
        <v>14.0</v>
      </c>
    </row>
    <row r="13">
      <c r="A13" s="90" t="s">
        <v>1024</v>
      </c>
      <c r="B13" s="91" t="s">
        <v>114</v>
      </c>
      <c r="C13" s="92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92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93">
        <f>IF(ISNUMBER('Apostas - Grupos'!AB5),'Apostas - Grupos'!AB5,0)+IF(ISNUMBER('Apostas - Grupos'!AF5),'Apostas - Grupos'!AG5,0)+IF(ISNUMBER('Apostas - Grupos'!AJ5),'Apostas - Grupos'!AK5,0)</f>
        <v>0</v>
      </c>
      <c r="F13" s="93">
        <f>IF(ISNUMBER('Apostas - Grupos'!AB5),'Apostas - Grupos'!AC5,0)+IF(ISNUMBER('Apostas - Grupos'!AF5),'Apostas - Grupos'!AF5,0)+IF(ISNUMBER('Apostas - Grupos'!AJ5),'Apostas - Grupos'!AJ5,0)</f>
        <v>7</v>
      </c>
      <c r="G13" s="93">
        <f t="shared" si="1"/>
        <v>-7</v>
      </c>
      <c r="H13" s="94">
        <f t="shared" si="2"/>
        <v>1</v>
      </c>
      <c r="I13" s="92">
        <f t="shared" si="3"/>
        <v>1193000414</v>
      </c>
      <c r="J13" s="94">
        <f t="shared" si="7"/>
        <v>4</v>
      </c>
      <c r="K13" s="92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92">
        <f t="shared" si="5"/>
        <v>2</v>
      </c>
      <c r="M13" s="92">
        <v>86.0</v>
      </c>
    </row>
    <row r="14">
      <c r="A14" s="90" t="s">
        <v>1024</v>
      </c>
      <c r="B14" s="91" t="s">
        <v>115</v>
      </c>
      <c r="C14" s="92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92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93">
        <f>IF(ISNUMBER('Apostas - Grupos'!AB5),'Apostas - Grupos'!AC5,0)+IF(ISNUMBER('Apostas - Grupos'!AD5),'Apostas - Grupos'!AD5,0)+IF(ISNUMBER('Apostas - Grupos'!AH5),'Apostas - Grupos'!AH5,0)</f>
        <v>0</v>
      </c>
      <c r="F14" s="93">
        <f>IF(ISNUMBER('Apostas - Grupos'!AB5),'Apostas - Grupos'!AB5,0)+IF(ISNUMBER('Apostas - Grupos'!AD5),'Apostas - Grupos'!AE5,0)+IF(ISNUMBER('Apostas - Grupos'!AH5),'Apostas - Grupos'!AI5,0)</f>
        <v>6</v>
      </c>
      <c r="G14" s="93">
        <f t="shared" si="1"/>
        <v>-6</v>
      </c>
      <c r="H14" s="94">
        <f t="shared" si="2"/>
        <v>1</v>
      </c>
      <c r="I14" s="92">
        <f t="shared" si="3"/>
        <v>1194000473</v>
      </c>
      <c r="J14" s="94">
        <f t="shared" si="7"/>
        <v>3</v>
      </c>
      <c r="K14" s="92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92">
        <f t="shared" si="5"/>
        <v>2</v>
      </c>
      <c r="M14" s="92">
        <v>27.0</v>
      </c>
    </row>
    <row r="15">
      <c r="A15" s="95" t="s">
        <v>163</v>
      </c>
      <c r="B15" s="96" t="s">
        <v>116</v>
      </c>
      <c r="C15" s="97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0</v>
      </c>
      <c r="D15" s="97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2</v>
      </c>
      <c r="E15" s="98">
        <f>IF(ISNUMBER('Apostas - Grupos'!AL5),'Apostas - Grupos'!AL5,0)+IF(ISNUMBER('Apostas - Grupos'!AP5),'Apostas - Grupos'!AP5,0)+IF(ISNUMBER('Apostas - Grupos'!AT5),'Apostas - Grupos'!AU5,0)</f>
        <v>2</v>
      </c>
      <c r="F15" s="98">
        <f>IF(ISNUMBER('Apostas - Grupos'!AL5),'Apostas - Grupos'!AM5,0)+IF(ISNUMBER('Apostas - Grupos'!AP5),'Apostas - Grupos'!AQ5,0)+IF(ISNUMBER('Apostas - Grupos'!AT5),'Apostas - Grupos'!AT5,0)</f>
        <v>3</v>
      </c>
      <c r="G15" s="98">
        <f t="shared" si="1"/>
        <v>-1</v>
      </c>
      <c r="H15" s="99">
        <f t="shared" si="2"/>
        <v>2</v>
      </c>
      <c r="I15" s="97">
        <f t="shared" si="3"/>
        <v>2199002489</v>
      </c>
      <c r="J15" s="99">
        <f t="shared" ref="J15:J18" si="8">RANK(I15,$I$15:$I$18,0)</f>
        <v>4</v>
      </c>
      <c r="K15" s="97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97">
        <f t="shared" si="5"/>
        <v>1</v>
      </c>
      <c r="M15" s="97">
        <v>11.0</v>
      </c>
    </row>
    <row r="16">
      <c r="A16" s="95" t="s">
        <v>163</v>
      </c>
      <c r="B16" s="96" t="s">
        <v>117</v>
      </c>
      <c r="C16" s="97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2</v>
      </c>
      <c r="D16" s="97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98">
        <f>IF(ISNUMBER('Apostas - Grupos'!AL5),'Apostas - Grupos'!AM5,0)+IF(ISNUMBER('Apostas - Grupos'!AR5),'Apostas - Grupos'!AS5,0)+IF(ISNUMBER('Apostas - Grupos'!AV5),'Apostas - Grupos'!AV5,0)</f>
        <v>5</v>
      </c>
      <c r="F16" s="98">
        <f>IF(ISNUMBER('Apostas - Grupos'!AL5),'Apostas - Grupos'!AL5,0)+IF(ISNUMBER('Apostas - Grupos'!AR5),'Apostas - Grupos'!AR5,0)+IF(ISNUMBER('Apostas - Grupos'!AV5),'Apostas - Grupos'!AW5,0)</f>
        <v>3</v>
      </c>
      <c r="G16" s="98">
        <f t="shared" si="1"/>
        <v>2</v>
      </c>
      <c r="H16" s="99">
        <f t="shared" si="2"/>
        <v>7</v>
      </c>
      <c r="I16" s="97">
        <f t="shared" si="3"/>
        <v>7202005449</v>
      </c>
      <c r="J16" s="99">
        <f t="shared" si="8"/>
        <v>1</v>
      </c>
      <c r="K16" s="97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97">
        <f t="shared" si="5"/>
        <v>0</v>
      </c>
      <c r="M16" s="97">
        <v>51.0</v>
      </c>
    </row>
    <row r="17">
      <c r="A17" s="95" t="s">
        <v>163</v>
      </c>
      <c r="B17" s="96" t="s">
        <v>118</v>
      </c>
      <c r="C17" s="97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97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3</v>
      </c>
      <c r="E17" s="98">
        <f>IF(ISNUMBER('Apostas - Grupos'!AN5),'Apostas - Grupos'!AN5,0)+IF(ISNUMBER('Apostas - Grupos'!AP5),'Apostas - Grupos'!AQ5,0)+IF(ISNUMBER('Apostas - Grupos'!AV5),'Apostas - Grupos'!AW5,0)</f>
        <v>2</v>
      </c>
      <c r="F17" s="98">
        <f>IF(ISNUMBER('Apostas - Grupos'!AN5),'Apostas - Grupos'!AO5,0)+IF(ISNUMBER('Apostas - Grupos'!AP5),'Apostas - Grupos'!AP5,0)+IF(ISNUMBER('Apostas - Grupos'!AV5),'Apostas - Grupos'!AV5,0)</f>
        <v>2</v>
      </c>
      <c r="G17" s="98">
        <f t="shared" si="1"/>
        <v>0</v>
      </c>
      <c r="H17" s="99">
        <f t="shared" si="2"/>
        <v>3</v>
      </c>
      <c r="I17" s="97">
        <f t="shared" si="3"/>
        <v>3200002477</v>
      </c>
      <c r="J17" s="99">
        <f t="shared" si="8"/>
        <v>2</v>
      </c>
      <c r="K17" s="97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97">
        <f t="shared" si="5"/>
        <v>0</v>
      </c>
      <c r="M17" s="97">
        <v>23.0</v>
      </c>
    </row>
    <row r="18">
      <c r="A18" s="95" t="s">
        <v>163</v>
      </c>
      <c r="B18" s="96" t="s">
        <v>119</v>
      </c>
      <c r="C18" s="97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0</v>
      </c>
      <c r="D18" s="97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98">
        <f>IF(ISNUMBER('Apostas - Grupos'!AN5),'Apostas - Grupos'!AO5,0)+IF(ISNUMBER('Apostas - Grupos'!AR5),'Apostas - Grupos'!AR5,0)+IF(ISNUMBER('Apostas - Grupos'!AT5),'Apostas - Grupos'!AT5,0)</f>
        <v>3</v>
      </c>
      <c r="F18" s="98">
        <f>IF(ISNUMBER('Apostas - Grupos'!AN5),'Apostas - Grupos'!AN5,0)+IF(ISNUMBER('Apostas - Grupos'!AR5),'Apostas - Grupos'!AS5,0)+IF(ISNUMBER('Apostas - Grupos'!AT5),'Apostas - Grupos'!AU5,0)</f>
        <v>4</v>
      </c>
      <c r="G18" s="98">
        <f t="shared" si="1"/>
        <v>-1</v>
      </c>
      <c r="H18" s="99">
        <f t="shared" si="2"/>
        <v>2</v>
      </c>
      <c r="I18" s="97">
        <f t="shared" si="3"/>
        <v>2199003464</v>
      </c>
      <c r="J18" s="99">
        <f t="shared" si="8"/>
        <v>3</v>
      </c>
      <c r="K18" s="97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97">
        <f t="shared" si="5"/>
        <v>1</v>
      </c>
      <c r="M18" s="97">
        <v>36.0</v>
      </c>
    </row>
    <row r="19">
      <c r="A19" s="100" t="s">
        <v>162</v>
      </c>
      <c r="B19" s="101" t="s">
        <v>120</v>
      </c>
      <c r="C19" s="102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102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103">
        <f>IF(ISNUMBER('Apostas - Grupos'!AX5),'Apostas - Grupos'!AX5,0)+IF(ISNUMBER('Apostas - Grupos'!BB5),'Apostas - Grupos'!BB5,0)+IF(ISNUMBER('Apostas - Grupos'!BF5),'Apostas - Grupos'!BG5,0)</f>
        <v>7</v>
      </c>
      <c r="F19" s="103">
        <f>IF(ISNUMBER('Apostas - Grupos'!AX5),'Apostas - Grupos'!AY5,0)+IF(ISNUMBER('Apostas - Grupos'!BB5),'Apostas - Grupos'!BC5,0)+IF(ISNUMBER('Apostas - Grupos'!BF5),'Apostas - Grupos'!BF5,0)</f>
        <v>1</v>
      </c>
      <c r="G19" s="103">
        <f t="shared" si="1"/>
        <v>6</v>
      </c>
      <c r="H19" s="104">
        <f t="shared" si="2"/>
        <v>9</v>
      </c>
      <c r="I19" s="102">
        <f t="shared" si="3"/>
        <v>9206007488</v>
      </c>
      <c r="J19" s="104">
        <f t="shared" ref="J19:J22" si="9">RANK(I19,$I$19:$I$22,0)</f>
        <v>1</v>
      </c>
      <c r="K19" s="102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102">
        <f t="shared" si="5"/>
        <v>0</v>
      </c>
      <c r="M19" s="102">
        <v>12.0</v>
      </c>
    </row>
    <row r="20">
      <c r="A20" s="100" t="s">
        <v>162</v>
      </c>
      <c r="B20" s="101" t="s">
        <v>121</v>
      </c>
      <c r="C20" s="102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102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1</v>
      </c>
      <c r="E20" s="103">
        <f>IF(ISNUMBER('Apostas - Grupos'!AX5),'Apostas - Grupos'!AY5,0)+IF(ISNUMBER('Apostas - Grupos'!BD5),'Apostas - Grupos'!BE5,0)+IF(ISNUMBER('Apostas - Grupos'!BH5),'Apostas - Grupos'!BH5,0)</f>
        <v>0</v>
      </c>
      <c r="F20" s="103">
        <f>IF(ISNUMBER('Apostas - Grupos'!AX5),'Apostas - Grupos'!AX5,0)+IF(ISNUMBER('Apostas - Grupos'!BD5),'Apostas - Grupos'!BD5,0)+IF(ISNUMBER('Apostas - Grupos'!BH5),'Apostas - Grupos'!BI5,0)</f>
        <v>5</v>
      </c>
      <c r="G20" s="103">
        <f t="shared" si="1"/>
        <v>-5</v>
      </c>
      <c r="H20" s="104">
        <f t="shared" si="2"/>
        <v>1</v>
      </c>
      <c r="I20" s="102">
        <f t="shared" si="3"/>
        <v>1195000417</v>
      </c>
      <c r="J20" s="104">
        <f t="shared" si="9"/>
        <v>4</v>
      </c>
      <c r="K20" s="102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102">
        <f t="shared" si="5"/>
        <v>2</v>
      </c>
      <c r="M20" s="102">
        <v>83.0</v>
      </c>
    </row>
    <row r="21" ht="15.75" customHeight="1">
      <c r="A21" s="100" t="s">
        <v>162</v>
      </c>
      <c r="B21" s="101" t="s">
        <v>122</v>
      </c>
      <c r="C21" s="102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0</v>
      </c>
      <c r="D21" s="102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2</v>
      </c>
      <c r="E21" s="103">
        <f>IF(ISNUMBER('Apostas - Grupos'!AZ5),'Apostas - Grupos'!AZ5,0)+IF(ISNUMBER('Apostas - Grupos'!BB5),'Apostas - Grupos'!BC5,0)+IF(ISNUMBER('Apostas - Grupos'!BH5),'Apostas - Grupos'!BI5,0)</f>
        <v>1</v>
      </c>
      <c r="F21" s="103">
        <f>IF(ISNUMBER('Apostas - Grupos'!AZ5),'Apostas - Grupos'!BA5,0)+IF(ISNUMBER('Apostas - Grupos'!BB5),'Apostas - Grupos'!BB5,0)+IF(ISNUMBER('Apostas - Grupos'!BH5),'Apostas - Grupos'!BH5,0)</f>
        <v>3</v>
      </c>
      <c r="G21" s="103">
        <f t="shared" si="1"/>
        <v>-2</v>
      </c>
      <c r="H21" s="104">
        <f t="shared" si="2"/>
        <v>2</v>
      </c>
      <c r="I21" s="102">
        <f t="shared" si="3"/>
        <v>2198001459</v>
      </c>
      <c r="J21" s="104">
        <f t="shared" si="9"/>
        <v>3</v>
      </c>
      <c r="K21" s="102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102">
        <f t="shared" si="5"/>
        <v>1</v>
      </c>
      <c r="M21" s="102">
        <v>41.0</v>
      </c>
    </row>
    <row r="22" ht="15.75" customHeight="1">
      <c r="A22" s="100" t="s">
        <v>162</v>
      </c>
      <c r="B22" s="101" t="s">
        <v>123</v>
      </c>
      <c r="C22" s="102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102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103">
        <f>IF(ISNUMBER('Apostas - Grupos'!AZ5),'Apostas - Grupos'!BA5,0)+IF(ISNUMBER('Apostas - Grupos'!BD5),'Apostas - Grupos'!BD5,0)+IF(ISNUMBER('Apostas - Grupos'!BF5),'Apostas - Grupos'!BF5,0)</f>
        <v>4</v>
      </c>
      <c r="F22" s="103">
        <f>IF(ISNUMBER('Apostas - Grupos'!AZ5),'Apostas - Grupos'!AZ5,0)+IF(ISNUMBER('Apostas - Grupos'!BD5),'Apostas - Grupos'!BE5,0)+IF(ISNUMBER('Apostas - Grupos'!BF5),'Apostas - Grupos'!BG5,0)</f>
        <v>3</v>
      </c>
      <c r="G22" s="103">
        <f t="shared" si="1"/>
        <v>1</v>
      </c>
      <c r="H22" s="104">
        <f t="shared" si="2"/>
        <v>4</v>
      </c>
      <c r="I22" s="102">
        <f t="shared" si="3"/>
        <v>4201004461</v>
      </c>
      <c r="J22" s="104">
        <f t="shared" si="9"/>
        <v>2</v>
      </c>
      <c r="K22" s="102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102">
        <f t="shared" si="5"/>
        <v>1</v>
      </c>
      <c r="M22" s="102">
        <v>39.0</v>
      </c>
    </row>
    <row r="23" ht="15.75" customHeight="1">
      <c r="A23" s="105" t="s">
        <v>1025</v>
      </c>
      <c r="B23" s="106" t="s">
        <v>124</v>
      </c>
      <c r="C23" s="10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10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108">
        <f>IF(ISNUMBER('Apostas - Grupos'!BJ5),'Apostas - Grupos'!BJ5,0)+IF(ISNUMBER('Apostas - Grupos'!BN5),'Apostas - Grupos'!BN5,0)+IF(ISNUMBER('Apostas - Grupos'!BT5),'Apostas - Grupos'!BU5,0)</f>
        <v>6</v>
      </c>
      <c r="F23" s="108">
        <f>IF(ISNUMBER('Apostas - Grupos'!BJ5),'Apostas - Grupos'!BK5,0)+IF(ISNUMBER('Apostas - Grupos'!BN5),'Apostas - Grupos'!BO5,0)+IF(ISNUMBER('Apostas - Grupos'!BT5),'Apostas - Grupos'!BT5,0)</f>
        <v>3</v>
      </c>
      <c r="G23" s="108">
        <f t="shared" si="1"/>
        <v>3</v>
      </c>
      <c r="H23" s="109">
        <f t="shared" si="2"/>
        <v>7</v>
      </c>
      <c r="I23" s="107">
        <f t="shared" si="3"/>
        <v>7203006492</v>
      </c>
      <c r="J23" s="109">
        <f t="shared" ref="J23:J26" si="10">RANK(I23,$I$23:$I$26,0)</f>
        <v>1</v>
      </c>
      <c r="K23" s="10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107">
        <f t="shared" si="5"/>
        <v>0</v>
      </c>
      <c r="M23" s="107">
        <v>8.0</v>
      </c>
    </row>
    <row r="24" ht="15.75" customHeight="1">
      <c r="A24" s="105" t="s">
        <v>1025</v>
      </c>
      <c r="B24" s="106" t="s">
        <v>125</v>
      </c>
      <c r="C24" s="10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2</v>
      </c>
      <c r="D24" s="10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0</v>
      </c>
      <c r="E24" s="108">
        <f>IF(ISNUMBER('Apostas - Grupos'!BJ5),'Apostas - Grupos'!BK5,0)+IF(ISNUMBER('Apostas - Grupos'!BP5),'Apostas - Grupos'!BQ5,0)+IF(ISNUMBER('Apostas - Grupos'!BR5),'Apostas - Grupos'!BR5,0)</f>
        <v>3</v>
      </c>
      <c r="F24" s="108">
        <f>IF(ISNUMBER('Apostas - Grupos'!BJ5),'Apostas - Grupos'!BJ5,0)+IF(ISNUMBER('Apostas - Grupos'!BP5),'Apostas - Grupos'!BP5,0)+IF(ISNUMBER('Apostas - Grupos'!BR5),'Apostas - Grupos'!BS5,0)</f>
        <v>2</v>
      </c>
      <c r="G24" s="108">
        <f t="shared" si="1"/>
        <v>1</v>
      </c>
      <c r="H24" s="109">
        <f t="shared" si="2"/>
        <v>6</v>
      </c>
      <c r="I24" s="107">
        <f t="shared" si="3"/>
        <v>6201003485</v>
      </c>
      <c r="J24" s="109">
        <f t="shared" si="10"/>
        <v>2</v>
      </c>
      <c r="K24" s="10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107">
        <f t="shared" si="5"/>
        <v>1</v>
      </c>
      <c r="M24" s="107">
        <v>15.0</v>
      </c>
    </row>
    <row r="25" ht="15.75" customHeight="1">
      <c r="A25" s="105" t="s">
        <v>1025</v>
      </c>
      <c r="B25" s="106" t="s">
        <v>126</v>
      </c>
      <c r="C25" s="10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10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108">
        <f>IF(ISNUMBER('Apostas - Grupos'!BL5),'Apostas - Grupos'!BL5,0)+IF(ISNUMBER('Apostas - Grupos'!BN5),'Apostas - Grupos'!BO5,0)+IF(ISNUMBER('Apostas - Grupos'!BR5),'Apostas - Grupos'!BS5,0)</f>
        <v>3</v>
      </c>
      <c r="F25" s="108">
        <f>IF(ISNUMBER('Apostas - Grupos'!BL5),'Apostas - Grupos'!BM5,0)+IF(ISNUMBER('Apostas - Grupos'!BN5),'Apostas - Grupos'!BN5,0)+IF(ISNUMBER('Apostas - Grupos'!BR5),'Apostas - Grupos'!BR5,0)</f>
        <v>3</v>
      </c>
      <c r="G25" s="108">
        <f t="shared" si="1"/>
        <v>0</v>
      </c>
      <c r="H25" s="109">
        <f t="shared" si="2"/>
        <v>4</v>
      </c>
      <c r="I25" s="107">
        <f t="shared" si="3"/>
        <v>4200003474</v>
      </c>
      <c r="J25" s="109">
        <f t="shared" si="10"/>
        <v>3</v>
      </c>
      <c r="K25" s="10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107">
        <f t="shared" si="5"/>
        <v>1</v>
      </c>
      <c r="M25" s="107">
        <v>26.0</v>
      </c>
    </row>
    <row r="26" ht="15.75" customHeight="1">
      <c r="A26" s="105" t="s">
        <v>1025</v>
      </c>
      <c r="B26" s="106" t="s">
        <v>127</v>
      </c>
      <c r="C26" s="10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10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108">
        <f>IF(ISNUMBER('Apostas - Grupos'!BL5),'Apostas - Grupos'!BM5,0)+IF(ISNUMBER('Apostas - Grupos'!BP5),'Apostas - Grupos'!BP5,0)+IF(ISNUMBER('Apostas - Grupos'!BT5),'Apostas - Grupos'!BT5,0)</f>
        <v>2</v>
      </c>
      <c r="F26" s="108">
        <f>IF(ISNUMBER('Apostas - Grupos'!BL5),'Apostas - Grupos'!BL5,0)+IF(ISNUMBER('Apostas - Grupos'!BP5),'Apostas - Grupos'!BQ5,0)+IF(ISNUMBER('Apostas - Grupos'!BT5),'Apostas - Grupos'!BU5,0)</f>
        <v>6</v>
      </c>
      <c r="G26" s="108">
        <f t="shared" si="1"/>
        <v>-4</v>
      </c>
      <c r="H26" s="109">
        <f t="shared" si="2"/>
        <v>0</v>
      </c>
      <c r="I26" s="107">
        <f t="shared" si="3"/>
        <v>196002470</v>
      </c>
      <c r="J26" s="109">
        <f t="shared" si="10"/>
        <v>4</v>
      </c>
      <c r="K26" s="10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107">
        <f t="shared" si="5"/>
        <v>3</v>
      </c>
      <c r="M26" s="107">
        <v>30.0</v>
      </c>
    </row>
    <row r="27" ht="15.75" customHeight="1">
      <c r="A27" s="110" t="s">
        <v>1026</v>
      </c>
      <c r="B27" s="111" t="s">
        <v>128</v>
      </c>
      <c r="C27" s="112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2</v>
      </c>
      <c r="D27" s="112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1</v>
      </c>
      <c r="E27" s="113">
        <f>IF(ISNUMBER('Apostas - Grupos'!BV5),'Apostas - Grupos'!BV5,0)+IF(ISNUMBER('Apostas - Grupos'!BZ5),'Apostas - Grupos'!BZ5,0)+IF(ISNUMBER('Apostas - Grupos'!CF5),'Apostas - Grupos'!CG5,0)</f>
        <v>6</v>
      </c>
      <c r="F27" s="113">
        <f>IF(ISNUMBER('Apostas - Grupos'!BV5),'Apostas - Grupos'!BW5,0)+IF(ISNUMBER('Apostas - Grupos'!BZ5),'Apostas - Grupos'!CA5,0)+IF(ISNUMBER('Apostas - Grupos'!CF5),'Apostas - Grupos'!CF5,0)</f>
        <v>3</v>
      </c>
      <c r="G27" s="113">
        <f t="shared" si="1"/>
        <v>3</v>
      </c>
      <c r="H27" s="114">
        <f t="shared" si="2"/>
        <v>7</v>
      </c>
      <c r="I27" s="112">
        <f t="shared" si="3"/>
        <v>7203006497</v>
      </c>
      <c r="J27" s="114">
        <f t="shared" ref="J27:J30" si="11">RANK(I27,$I$27:$I$30,0)</f>
        <v>1</v>
      </c>
      <c r="K27" s="112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112">
        <f t="shared" si="5"/>
        <v>0</v>
      </c>
      <c r="M27" s="112">
        <v>3.0</v>
      </c>
    </row>
    <row r="28" ht="15.75" customHeight="1">
      <c r="A28" s="110" t="s">
        <v>1026</v>
      </c>
      <c r="B28" s="111" t="s">
        <v>129</v>
      </c>
      <c r="C28" s="112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0</v>
      </c>
      <c r="D28" s="112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3</v>
      </c>
      <c r="E28" s="113">
        <f>IF(ISNUMBER('Apostas - Grupos'!BV5),'Apostas - Grupos'!BW5,0)+IF(ISNUMBER('Apostas - Grupos'!CB5),'Apostas - Grupos'!CC5,0)+IF(ISNUMBER('Apostas - Grupos'!CD5),'Apostas - Grupos'!CD5,0)</f>
        <v>3</v>
      </c>
      <c r="F28" s="113">
        <f>IF(ISNUMBER('Apostas - Grupos'!BV5),'Apostas - Grupos'!BV5,0)+IF(ISNUMBER('Apostas - Grupos'!CB5),'Apostas - Grupos'!CB5,0)+IF(ISNUMBER('Apostas - Grupos'!CD5),'Apostas - Grupos'!CE5,0)</f>
        <v>3</v>
      </c>
      <c r="G28" s="113">
        <f t="shared" si="1"/>
        <v>0</v>
      </c>
      <c r="H28" s="114">
        <f t="shared" si="2"/>
        <v>3</v>
      </c>
      <c r="I28" s="112">
        <f t="shared" si="3"/>
        <v>3200003464</v>
      </c>
      <c r="J28" s="114">
        <f t="shared" si="11"/>
        <v>2</v>
      </c>
      <c r="K28" s="112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112">
        <f t="shared" si="5"/>
        <v>0</v>
      </c>
      <c r="M28" s="112">
        <v>36.0</v>
      </c>
    </row>
    <row r="29" ht="15.75" customHeight="1">
      <c r="A29" s="110" t="s">
        <v>1026</v>
      </c>
      <c r="B29" s="111" t="s">
        <v>130</v>
      </c>
      <c r="C29" s="112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112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113">
        <f>IF(ISNUMBER('Apostas - Grupos'!BX5),'Apostas - Grupos'!BX5,0)+IF(ISNUMBER('Apostas - Grupos'!BZ5),'Apostas - Grupos'!CA5,0)+IF(ISNUMBER('Apostas - Grupos'!CD5),'Apostas - Grupos'!CE5,0)</f>
        <v>1</v>
      </c>
      <c r="F29" s="113">
        <f>IF(ISNUMBER('Apostas - Grupos'!BX5),'Apostas - Grupos'!BY5,0)+IF(ISNUMBER('Apostas - Grupos'!BZ5),'Apostas - Grupos'!BZ5,0)+IF(ISNUMBER('Apostas - Grupos'!CD5),'Apostas - Grupos'!CD5,0)</f>
        <v>3</v>
      </c>
      <c r="G29" s="113">
        <f t="shared" si="1"/>
        <v>-2</v>
      </c>
      <c r="H29" s="114">
        <f t="shared" si="2"/>
        <v>2</v>
      </c>
      <c r="I29" s="112">
        <f t="shared" si="3"/>
        <v>2198001475</v>
      </c>
      <c r="J29" s="114">
        <f t="shared" si="11"/>
        <v>4</v>
      </c>
      <c r="K29" s="112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112">
        <f t="shared" si="5"/>
        <v>1</v>
      </c>
      <c r="M29" s="112">
        <v>25.0</v>
      </c>
    </row>
    <row r="30" ht="15.75" customHeight="1">
      <c r="A30" s="110" t="s">
        <v>1026</v>
      </c>
      <c r="B30" s="111" t="s">
        <v>131</v>
      </c>
      <c r="C30" s="112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112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2</v>
      </c>
      <c r="E30" s="113">
        <f>IF(ISNUMBER('Apostas - Grupos'!BX5),'Apostas - Grupos'!BY5,0)+IF(ISNUMBER('Apostas - Grupos'!CB5),'Apostas - Grupos'!CB5,0)+IF(ISNUMBER('Apostas - Grupos'!CF5),'Apostas - Grupos'!CF5,0)</f>
        <v>3</v>
      </c>
      <c r="F30" s="113">
        <f>IF(ISNUMBER('Apostas - Grupos'!BX5),'Apostas - Grupos'!BX5,0)+IF(ISNUMBER('Apostas - Grupos'!CB5),'Apostas - Grupos'!CC5,0)+IF(ISNUMBER('Apostas - Grupos'!CF5),'Apostas - Grupos'!CG5,0)</f>
        <v>4</v>
      </c>
      <c r="G30" s="113">
        <f t="shared" si="1"/>
        <v>-1</v>
      </c>
      <c r="H30" s="114">
        <f t="shared" si="2"/>
        <v>2</v>
      </c>
      <c r="I30" s="112">
        <f t="shared" si="3"/>
        <v>2199003402</v>
      </c>
      <c r="J30" s="114">
        <f t="shared" si="11"/>
        <v>3</v>
      </c>
      <c r="K30" s="112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112">
        <f t="shared" si="5"/>
        <v>1</v>
      </c>
      <c r="M30" s="112">
        <v>98.0</v>
      </c>
    </row>
    <row r="31" ht="15.75" customHeight="1">
      <c r="A31" s="115" t="s">
        <v>1027</v>
      </c>
      <c r="B31" s="116" t="s">
        <v>132</v>
      </c>
      <c r="C31" s="117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117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118">
        <f>IF(ISNUMBER('Apostas - Grupos'!CH5),'Apostas - Grupos'!CH5,0)+IF(ISNUMBER('Apostas - Grupos'!CL5),'Apostas - Grupos'!CL5,0)+IF(ISNUMBER('Apostas - Grupos'!CR5),'Apostas - Grupos'!CS5,0)</f>
        <v>7</v>
      </c>
      <c r="F31" s="118">
        <f>IF(ISNUMBER('Apostas - Grupos'!CH5),'Apostas - Grupos'!CI5,0)+IF(ISNUMBER('Apostas - Grupos'!CL5),'Apostas - Grupos'!CM5,0)+IF(ISNUMBER('Apostas - Grupos'!CR5),'Apostas - Grupos'!CR5,0)</f>
        <v>3</v>
      </c>
      <c r="G31" s="118">
        <f t="shared" si="1"/>
        <v>4</v>
      </c>
      <c r="H31" s="119">
        <f t="shared" si="2"/>
        <v>7</v>
      </c>
      <c r="I31" s="117">
        <f t="shared" si="3"/>
        <v>7204007496</v>
      </c>
      <c r="J31" s="119">
        <f t="shared" ref="J31:J34" si="12">RANK(I31,$I$31:$I$34,0)</f>
        <v>1</v>
      </c>
      <c r="K31" s="117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117">
        <f t="shared" si="5"/>
        <v>0</v>
      </c>
      <c r="M31" s="117">
        <v>4.0</v>
      </c>
    </row>
    <row r="32" ht="15.75" customHeight="1">
      <c r="A32" s="115" t="s">
        <v>1027</v>
      </c>
      <c r="B32" s="116" t="s">
        <v>133</v>
      </c>
      <c r="C32" s="117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117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118">
        <f>IF(ISNUMBER('Apostas - Grupos'!CH5),'Apostas - Grupos'!CI5,0)+IF(ISNUMBER('Apostas - Grupos'!CN5),'Apostas - Grupos'!CO5,0)+IF(ISNUMBER('Apostas - Grupos'!CP5),'Apostas - Grupos'!CP5,0)</f>
        <v>1</v>
      </c>
      <c r="F32" s="118">
        <f>IF(ISNUMBER('Apostas - Grupos'!CH5),'Apostas - Grupos'!CH5,0)+IF(ISNUMBER('Apostas - Grupos'!CN5),'Apostas - Grupos'!CN5,0)+IF(ISNUMBER('Apostas - Grupos'!CP5),'Apostas - Grupos'!CQ5,0)</f>
        <v>7</v>
      </c>
      <c r="G32" s="118">
        <f t="shared" si="1"/>
        <v>-6</v>
      </c>
      <c r="H32" s="119">
        <f t="shared" si="2"/>
        <v>1</v>
      </c>
      <c r="I32" s="117">
        <f t="shared" si="3"/>
        <v>1194001412</v>
      </c>
      <c r="J32" s="119">
        <f t="shared" si="12"/>
        <v>4</v>
      </c>
      <c r="K32" s="117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117">
        <f t="shared" si="5"/>
        <v>2</v>
      </c>
      <c r="M32" s="117">
        <v>88.0</v>
      </c>
    </row>
    <row r="33" ht="15.75" customHeight="1">
      <c r="A33" s="115" t="s">
        <v>1027</v>
      </c>
      <c r="B33" s="116" t="s">
        <v>134</v>
      </c>
      <c r="C33" s="117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117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118">
        <f>IF(ISNUMBER('Apostas - Grupos'!CJ5),'Apostas - Grupos'!CJ5,0)+IF(ISNUMBER('Apostas - Grupos'!CL5),'Apostas - Grupos'!CM5,0)+IF(ISNUMBER('Apostas - Grupos'!CP5),'Apostas - Grupos'!CQ5,0)</f>
        <v>3</v>
      </c>
      <c r="F33" s="118">
        <f>IF(ISNUMBER('Apostas - Grupos'!CJ5),'Apostas - Grupos'!CK5,0)+IF(ISNUMBER('Apostas - Grupos'!CL5),'Apostas - Grupos'!CL5,0)+IF(ISNUMBER('Apostas - Grupos'!CP5),'Apostas - Grupos'!CP5,0)</f>
        <v>5</v>
      </c>
      <c r="G33" s="118">
        <f t="shared" si="1"/>
        <v>-2</v>
      </c>
      <c r="H33" s="119">
        <f t="shared" si="2"/>
        <v>1</v>
      </c>
      <c r="I33" s="117">
        <f t="shared" si="3"/>
        <v>1198003443</v>
      </c>
      <c r="J33" s="119">
        <f t="shared" si="12"/>
        <v>3</v>
      </c>
      <c r="K33" s="117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117">
        <f t="shared" si="5"/>
        <v>2</v>
      </c>
      <c r="M33" s="117">
        <v>57.0</v>
      </c>
    </row>
    <row r="34" ht="15.75" customHeight="1">
      <c r="A34" s="115" t="s">
        <v>1027</v>
      </c>
      <c r="B34" s="116" t="s">
        <v>135</v>
      </c>
      <c r="C34" s="117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117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118">
        <f>IF(ISNUMBER('Apostas - Grupos'!CJ5),'Apostas - Grupos'!CK5,0)+IF(ISNUMBER('Apostas - Grupos'!CN5),'Apostas - Grupos'!CN5,0)+IF(ISNUMBER('Apostas - Grupos'!CR5),'Apostas - Grupos'!CR5,0)</f>
        <v>7</v>
      </c>
      <c r="F34" s="118">
        <f>IF(ISNUMBER('Apostas - Grupos'!CJ5),'Apostas - Grupos'!CJ5,0)+IF(ISNUMBER('Apostas - Grupos'!CN5),'Apostas - Grupos'!CO5,0)+IF(ISNUMBER('Apostas - Grupos'!CR5),'Apostas - Grupos'!CS5,0)</f>
        <v>3</v>
      </c>
      <c r="G34" s="118">
        <f t="shared" si="1"/>
        <v>4</v>
      </c>
      <c r="H34" s="119">
        <f t="shared" si="2"/>
        <v>7</v>
      </c>
      <c r="I34" s="117">
        <f t="shared" si="3"/>
        <v>7204007483</v>
      </c>
      <c r="J34" s="119">
        <f t="shared" si="12"/>
        <v>2</v>
      </c>
      <c r="K34" s="117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117">
        <f t="shared" si="5"/>
        <v>0</v>
      </c>
      <c r="M34" s="117">
        <v>17.0</v>
      </c>
    </row>
    <row r="35" ht="15.75" customHeight="1">
      <c r="A35" s="120" t="s">
        <v>1028</v>
      </c>
      <c r="B35" s="121" t="s">
        <v>136</v>
      </c>
      <c r="C35" s="122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122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123">
        <f>IF(ISNUMBER('Apostas - Grupos'!CT5),'Apostas - Grupos'!CT5,0)+IF(ISNUMBER('Apostas - Grupos'!CX5),'Apostas - Grupos'!CX5,0)+IF(ISNUMBER('Apostas - Grupos'!DB5),'Apostas - Grupos'!DC5,0)</f>
        <v>7</v>
      </c>
      <c r="F35" s="123">
        <f>IF(ISNUMBER('Apostas - Grupos'!CT5),'Apostas - Grupos'!CU5,0)+IF(ISNUMBER('Apostas - Grupos'!CX5),'Apostas - Grupos'!CY5,0)+IF(ISNUMBER('Apostas - Grupos'!DB5),'Apostas - Grupos'!DB5,0)</f>
        <v>1</v>
      </c>
      <c r="G35" s="123">
        <f t="shared" si="1"/>
        <v>6</v>
      </c>
      <c r="H35" s="124">
        <f t="shared" si="2"/>
        <v>9</v>
      </c>
      <c r="I35" s="122">
        <f t="shared" si="3"/>
        <v>9206007498</v>
      </c>
      <c r="J35" s="124">
        <f t="shared" ref="J35:J38" si="13">RANK(I35,$I$35:$I$38,0)</f>
        <v>1</v>
      </c>
      <c r="K35" s="122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122">
        <f t="shared" si="5"/>
        <v>0</v>
      </c>
      <c r="M35" s="122">
        <v>2.0</v>
      </c>
    </row>
    <row r="36" ht="15.75" customHeight="1">
      <c r="A36" s="120" t="s">
        <v>1028</v>
      </c>
      <c r="B36" s="121" t="s">
        <v>137</v>
      </c>
      <c r="C36" s="122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0</v>
      </c>
      <c r="D36" s="122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2</v>
      </c>
      <c r="E36" s="123">
        <f>IF(ISNUMBER('Apostas - Grupos'!CT5),'Apostas - Grupos'!CU5,0)+IF(ISNUMBER('Apostas - Grupos'!CZ5),'Apostas - Grupos'!DA5,0)+IF(ISNUMBER('Apostas - Grupos'!DD5),'Apostas - Grupos'!DD5,0)</f>
        <v>2</v>
      </c>
      <c r="F36" s="123">
        <f>IF(ISNUMBER('Apostas - Grupos'!CT5),'Apostas - Grupos'!CT5,0)+IF(ISNUMBER('Apostas - Grupos'!CZ5),'Apostas - Grupos'!CZ5,0)+IF(ISNUMBER('Apostas - Grupos'!DD5),'Apostas - Grupos'!DE5,0)</f>
        <v>5</v>
      </c>
      <c r="G36" s="123">
        <f t="shared" si="1"/>
        <v>-3</v>
      </c>
      <c r="H36" s="124">
        <f t="shared" si="2"/>
        <v>2</v>
      </c>
      <c r="I36" s="122">
        <f t="shared" si="3"/>
        <v>2197002479</v>
      </c>
      <c r="J36" s="124">
        <f t="shared" si="13"/>
        <v>4</v>
      </c>
      <c r="K36" s="122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122">
        <f t="shared" si="5"/>
        <v>1</v>
      </c>
      <c r="M36" s="122">
        <v>21.0</v>
      </c>
    </row>
    <row r="37" ht="15.75" customHeight="1">
      <c r="A37" s="120" t="s">
        <v>1028</v>
      </c>
      <c r="B37" s="121" t="s">
        <v>138</v>
      </c>
      <c r="C37" s="122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122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2</v>
      </c>
      <c r="E37" s="123">
        <f>IF(ISNUMBER('Apostas - Grupos'!CV5),'Apostas - Grupos'!CV5,0)+IF(ISNUMBER('Apostas - Grupos'!CX5),'Apostas - Grupos'!CY5,0)+IF(ISNUMBER('Apostas - Grupos'!DD5),'Apostas - Grupos'!DE5,0)</f>
        <v>1</v>
      </c>
      <c r="F37" s="123">
        <f>IF(ISNUMBER('Apostas - Grupos'!CV5),'Apostas - Grupos'!CW5,0)+IF(ISNUMBER('Apostas - Grupos'!CX5),'Apostas - Grupos'!CX5,0)+IF(ISNUMBER('Apostas - Grupos'!DD5),'Apostas - Grupos'!DD5,0)</f>
        <v>3</v>
      </c>
      <c r="G37" s="123">
        <f t="shared" si="1"/>
        <v>-2</v>
      </c>
      <c r="H37" s="124">
        <f t="shared" si="2"/>
        <v>2</v>
      </c>
      <c r="I37" s="122">
        <f t="shared" si="3"/>
        <v>2198001435</v>
      </c>
      <c r="J37" s="124">
        <f t="shared" si="13"/>
        <v>3</v>
      </c>
      <c r="K37" s="122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122">
        <f t="shared" si="5"/>
        <v>1</v>
      </c>
      <c r="M37" s="122">
        <v>65.0</v>
      </c>
    </row>
    <row r="38" ht="15.75" customHeight="1">
      <c r="A38" s="120" t="s">
        <v>1028</v>
      </c>
      <c r="B38" s="121" t="s">
        <v>139</v>
      </c>
      <c r="C38" s="122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0</v>
      </c>
      <c r="D38" s="122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2</v>
      </c>
      <c r="E38" s="123">
        <f>IF(ISNUMBER('Apostas - Grupos'!CV5),'Apostas - Grupos'!CW5,0)+IF(ISNUMBER('Apostas - Grupos'!CZ5),'Apostas - Grupos'!CZ5,0)+IF(ISNUMBER('Apostas - Grupos'!DB5),'Apostas - Grupos'!DB5,0)</f>
        <v>2</v>
      </c>
      <c r="F38" s="123">
        <f>IF(ISNUMBER('Apostas - Grupos'!CV5),'Apostas - Grupos'!CV5,0)+IF(ISNUMBER('Apostas - Grupos'!CZ5),'Apostas - Grupos'!DA5,0)+IF(ISNUMBER('Apostas - Grupos'!DB5),'Apostas - Grupos'!DC5,0)</f>
        <v>3</v>
      </c>
      <c r="G38" s="123">
        <f t="shared" si="1"/>
        <v>-1</v>
      </c>
      <c r="H38" s="124">
        <f t="shared" si="2"/>
        <v>2</v>
      </c>
      <c r="I38" s="122">
        <f t="shared" si="3"/>
        <v>2199002472</v>
      </c>
      <c r="J38" s="124">
        <f t="shared" si="13"/>
        <v>2</v>
      </c>
      <c r="K38" s="122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122">
        <f t="shared" si="5"/>
        <v>1</v>
      </c>
      <c r="M38" s="122">
        <v>28.0</v>
      </c>
    </row>
    <row r="39" ht="15.75" customHeight="1">
      <c r="A39" s="125" t="s">
        <v>160</v>
      </c>
      <c r="B39" s="126" t="s">
        <v>140</v>
      </c>
      <c r="C39" s="127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127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128">
        <f>IF(ISNUMBER('Apostas - Grupos'!DF5),'Apostas - Grupos'!DF5,0)+IF(ISNUMBER('Apostas - Grupos'!DJ5),'Apostas - Grupos'!DJ5,0)+IF(ISNUMBER('Apostas - Grupos'!DP5),'Apostas - Grupos'!DQ5,0)</f>
        <v>7</v>
      </c>
      <c r="F39" s="128">
        <f>IF(ISNUMBER('Apostas - Grupos'!DF5),'Apostas - Grupos'!DG5,0)+IF(ISNUMBER('Apostas - Grupos'!DJ5),'Apostas - Grupos'!DK5,0)+IF(ISNUMBER('Apostas - Grupos'!DP5),'Apostas - Grupos'!DP5,0)</f>
        <v>0</v>
      </c>
      <c r="G39" s="128">
        <f t="shared" si="1"/>
        <v>7</v>
      </c>
      <c r="H39" s="129">
        <f t="shared" si="2"/>
        <v>9</v>
      </c>
      <c r="I39" s="127">
        <f t="shared" si="3"/>
        <v>9207007499</v>
      </c>
      <c r="J39" s="129">
        <f t="shared" ref="J39:J42" si="14">RANK(I39,$I$39:$I$42,0)</f>
        <v>1</v>
      </c>
      <c r="K39" s="127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127">
        <f t="shared" si="5"/>
        <v>0</v>
      </c>
      <c r="M39" s="127">
        <v>1.0</v>
      </c>
    </row>
    <row r="40" ht="15.75" customHeight="1">
      <c r="A40" s="125" t="s">
        <v>160</v>
      </c>
      <c r="B40" s="126" t="s">
        <v>141</v>
      </c>
      <c r="C40" s="127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127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128">
        <f>IF(ISNUMBER('Apostas - Grupos'!DF5),'Apostas - Grupos'!DG5,0)+IF(ISNUMBER('Apostas - Grupos'!DL5),'Apostas - Grupos'!DM5,0)+IF(ISNUMBER('Apostas - Grupos'!DN5),'Apostas - Grupos'!DN5,0)</f>
        <v>4</v>
      </c>
      <c r="F40" s="128">
        <f>IF(ISNUMBER('Apostas - Grupos'!DF5),'Apostas - Grupos'!DF5,0)+IF(ISNUMBER('Apostas - Grupos'!DL5),'Apostas - Grupos'!DL5,0)+IF(ISNUMBER('Apostas - Grupos'!DN5),'Apostas - Grupos'!DO5,0)</f>
        <v>5</v>
      </c>
      <c r="G40" s="128">
        <f t="shared" si="1"/>
        <v>-1</v>
      </c>
      <c r="H40" s="129">
        <f t="shared" si="2"/>
        <v>4</v>
      </c>
      <c r="I40" s="127">
        <f t="shared" si="3"/>
        <v>4199004468</v>
      </c>
      <c r="J40" s="129">
        <f t="shared" si="14"/>
        <v>2</v>
      </c>
      <c r="K40" s="127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127">
        <f t="shared" si="5"/>
        <v>1</v>
      </c>
      <c r="M40" s="127">
        <v>32.0</v>
      </c>
    </row>
    <row r="41" ht="15.75" customHeight="1">
      <c r="A41" s="125" t="s">
        <v>160</v>
      </c>
      <c r="B41" s="126" t="s">
        <v>142</v>
      </c>
      <c r="C41" s="127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0</v>
      </c>
      <c r="D41" s="127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128">
        <f>IF(ISNUMBER('Apostas - Grupos'!DH5),'Apostas - Grupos'!DH5,0)+IF(ISNUMBER('Apostas - Grupos'!DJ5),'Apostas - Grupos'!DK5,0)+IF(ISNUMBER('Apostas - Grupos'!DN5),'Apostas - Grupos'!DO5,0)</f>
        <v>2</v>
      </c>
      <c r="F41" s="128">
        <f>IF(ISNUMBER('Apostas - Grupos'!DH5),'Apostas - Grupos'!DI5,0)+IF(ISNUMBER('Apostas - Grupos'!DJ5),'Apostas - Grupos'!DJ5,0)+IF(ISNUMBER('Apostas - Grupos'!DN5),'Apostas - Grupos'!DN5,0)</f>
        <v>6</v>
      </c>
      <c r="G41" s="128">
        <f t="shared" si="1"/>
        <v>-4</v>
      </c>
      <c r="H41" s="129">
        <f t="shared" si="2"/>
        <v>1</v>
      </c>
      <c r="I41" s="127">
        <f t="shared" si="3"/>
        <v>1196002476</v>
      </c>
      <c r="J41" s="129">
        <f t="shared" si="14"/>
        <v>4</v>
      </c>
      <c r="K41" s="127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127">
        <f t="shared" si="5"/>
        <v>2</v>
      </c>
      <c r="M41" s="127">
        <v>24.0</v>
      </c>
    </row>
    <row r="42" ht="15.75" customHeight="1">
      <c r="A42" s="125" t="s">
        <v>160</v>
      </c>
      <c r="B42" s="126" t="s">
        <v>143</v>
      </c>
      <c r="C42" s="127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127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2</v>
      </c>
      <c r="E42" s="128">
        <f>IF(ISNUMBER('Apostas - Grupos'!DH5),'Apostas - Grupos'!DI5,0)+IF(ISNUMBER('Apostas - Grupos'!DL5),'Apostas - Grupos'!DL5,0)+IF(ISNUMBER('Apostas - Grupos'!DP5),'Apostas - Grupos'!DP5,0)</f>
        <v>2</v>
      </c>
      <c r="F42" s="128">
        <f>IF(ISNUMBER('Apostas - Grupos'!DH5),'Apostas - Grupos'!DH5,0)+IF(ISNUMBER('Apostas - Grupos'!DL5),'Apostas - Grupos'!DM5,0)+IF(ISNUMBER('Apostas - Grupos'!DP5),'Apostas - Grupos'!DQ5,0)</f>
        <v>4</v>
      </c>
      <c r="G42" s="128">
        <f t="shared" si="1"/>
        <v>-2</v>
      </c>
      <c r="H42" s="129">
        <f t="shared" si="2"/>
        <v>2</v>
      </c>
      <c r="I42" s="127">
        <f t="shared" si="3"/>
        <v>2198002414</v>
      </c>
      <c r="J42" s="129">
        <f t="shared" si="14"/>
        <v>3</v>
      </c>
      <c r="K42" s="127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127">
        <f t="shared" si="5"/>
        <v>1</v>
      </c>
      <c r="M42" s="127">
        <v>86.0</v>
      </c>
    </row>
    <row r="43" ht="15.75" customHeight="1">
      <c r="A43" s="130" t="s">
        <v>1029</v>
      </c>
      <c r="B43" s="131" t="s">
        <v>144</v>
      </c>
      <c r="C43" s="132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132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133">
        <f>IF(ISNUMBER('Apostas - Grupos'!DR5),'Apostas - Grupos'!DR5,0)+IF(ISNUMBER('Apostas - Grupos'!DV5),'Apostas - Grupos'!DV5,0)+IF(ISNUMBER('Apostas - Grupos'!DZ5),'Apostas - Grupos'!EA5,0)</f>
        <v>7</v>
      </c>
      <c r="F43" s="133">
        <f>IF(ISNUMBER('Apostas - Grupos'!DR5),'Apostas - Grupos'!DS5,0)+IF(ISNUMBER('Apostas - Grupos'!DV5),'Apostas - Grupos'!DW5,0)+IF(ISNUMBER('Apostas - Grupos'!DZ5),'Apostas - Grupos'!DZ5,0)</f>
        <v>2</v>
      </c>
      <c r="G43" s="133">
        <f t="shared" si="1"/>
        <v>5</v>
      </c>
      <c r="H43" s="134">
        <f t="shared" si="2"/>
        <v>7</v>
      </c>
      <c r="I43" s="132">
        <f t="shared" si="3"/>
        <v>7205007494</v>
      </c>
      <c r="J43" s="134">
        <f t="shared" ref="J43:J46" si="15">RANK(I43,$I$43:$I$46,0)</f>
        <v>1</v>
      </c>
      <c r="K43" s="132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132">
        <f t="shared" si="5"/>
        <v>0</v>
      </c>
      <c r="M43" s="132">
        <v>6.0</v>
      </c>
    </row>
    <row r="44" ht="15.75" customHeight="1">
      <c r="A44" s="130" t="s">
        <v>1029</v>
      </c>
      <c r="B44" s="131" t="s">
        <v>145</v>
      </c>
      <c r="C44" s="132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132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133">
        <f>IF(ISNUMBER('Apostas - Grupos'!DR5),'Apostas - Grupos'!DS5,0)+IF(ISNUMBER('Apostas - Grupos'!DX5),'Apostas - Grupos'!DY5,0)+IF(ISNUMBER('Apostas - Grupos'!EB5),'Apostas - Grupos'!EB5,0)</f>
        <v>0</v>
      </c>
      <c r="F44" s="133">
        <f>IF(ISNUMBER('Apostas - Grupos'!DR5),'Apostas - Grupos'!DR5,0)+IF(ISNUMBER('Apostas - Grupos'!DX5),'Apostas - Grupos'!DX5,0)+IF(ISNUMBER('Apostas - Grupos'!EB5),'Apostas - Grupos'!EC5,0)</f>
        <v>5</v>
      </c>
      <c r="G44" s="133">
        <f t="shared" si="1"/>
        <v>-5</v>
      </c>
      <c r="H44" s="134">
        <f t="shared" si="2"/>
        <v>1</v>
      </c>
      <c r="I44" s="132">
        <f t="shared" si="3"/>
        <v>1195000443</v>
      </c>
      <c r="J44" s="134">
        <f t="shared" si="15"/>
        <v>4</v>
      </c>
      <c r="K44" s="132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132">
        <f t="shared" si="5"/>
        <v>2</v>
      </c>
      <c r="M44" s="132">
        <v>57.0</v>
      </c>
    </row>
    <row r="45" ht="15.75" customHeight="1">
      <c r="A45" s="130" t="s">
        <v>1029</v>
      </c>
      <c r="B45" s="131" t="s">
        <v>146</v>
      </c>
      <c r="C45" s="132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132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133">
        <f>IF(ISNUMBER('Apostas - Grupos'!DT5),'Apostas - Grupos'!DT5,0)+IF(ISNUMBER('Apostas - Grupos'!DV5),'Apostas - Grupos'!DW5,0)+IF(ISNUMBER('Apostas - Grupos'!EB5),'Apostas - Grupos'!EC5,0)</f>
        <v>0</v>
      </c>
      <c r="F45" s="133">
        <f>IF(ISNUMBER('Apostas - Grupos'!DT5),'Apostas - Grupos'!DU5,0)+IF(ISNUMBER('Apostas - Grupos'!DV5),'Apostas - Grupos'!DV5,0)+IF(ISNUMBER('Apostas - Grupos'!EB5),'Apostas - Grupos'!EB5,0)</f>
        <v>4</v>
      </c>
      <c r="G45" s="133">
        <f t="shared" si="1"/>
        <v>-4</v>
      </c>
      <c r="H45" s="134">
        <f t="shared" si="2"/>
        <v>1</v>
      </c>
      <c r="I45" s="132">
        <f t="shared" si="3"/>
        <v>1196000426</v>
      </c>
      <c r="J45" s="134">
        <f t="shared" si="15"/>
        <v>3</v>
      </c>
      <c r="K45" s="132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132">
        <f t="shared" si="5"/>
        <v>2</v>
      </c>
      <c r="M45" s="132">
        <v>74.0</v>
      </c>
    </row>
    <row r="46" ht="15.75" customHeight="1">
      <c r="A46" s="130" t="s">
        <v>1029</v>
      </c>
      <c r="B46" s="131" t="s">
        <v>147</v>
      </c>
      <c r="C46" s="132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132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133">
        <f>IF(ISNUMBER('Apostas - Grupos'!DT5),'Apostas - Grupos'!DU5,0)+IF(ISNUMBER('Apostas - Grupos'!DX5),'Apostas - Grupos'!DX5,0)+IF(ISNUMBER('Apostas - Grupos'!DZ5),'Apostas - Grupos'!DZ5,0)</f>
        <v>6</v>
      </c>
      <c r="F46" s="133">
        <f>IF(ISNUMBER('Apostas - Grupos'!DT5),'Apostas - Grupos'!DT5,0)+IF(ISNUMBER('Apostas - Grupos'!DX5),'Apostas - Grupos'!DY5,0)+IF(ISNUMBER('Apostas - Grupos'!DZ5),'Apostas - Grupos'!EA5,0)</f>
        <v>2</v>
      </c>
      <c r="G46" s="133">
        <f t="shared" si="1"/>
        <v>4</v>
      </c>
      <c r="H46" s="134">
        <f t="shared" si="2"/>
        <v>7</v>
      </c>
      <c r="I46" s="132">
        <f t="shared" si="3"/>
        <v>7204006482</v>
      </c>
      <c r="J46" s="134">
        <f t="shared" si="15"/>
        <v>2</v>
      </c>
      <c r="K46" s="132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132">
        <f t="shared" si="5"/>
        <v>0</v>
      </c>
      <c r="M46" s="132">
        <v>18.0</v>
      </c>
    </row>
    <row r="47" ht="15.75" customHeight="1">
      <c r="A47" s="135" t="s">
        <v>1030</v>
      </c>
      <c r="B47" s="136" t="s">
        <v>148</v>
      </c>
      <c r="C47" s="137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137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138">
        <f>IF(ISNUMBER('Apostas - Grupos'!ED5),'Apostas - Grupos'!ED5,0)+IF(ISNUMBER('Apostas - Grupos'!EH5),'Apostas - Grupos'!EH5,0)+IF(ISNUMBER('Apostas - Grupos'!EL5),'Apostas - Grupos'!EM5,0)</f>
        <v>7</v>
      </c>
      <c r="F47" s="138">
        <f>IF(ISNUMBER('Apostas - Grupos'!ED5),'Apostas - Grupos'!EE5,0)+IF(ISNUMBER('Apostas - Grupos'!EH5),'Apostas - Grupos'!EI5,0)+IF(ISNUMBER('Apostas - Grupos'!EL5),'Apostas - Grupos'!EL5,0)</f>
        <v>0</v>
      </c>
      <c r="G47" s="138">
        <f t="shared" si="1"/>
        <v>7</v>
      </c>
      <c r="H47" s="139">
        <f t="shared" si="2"/>
        <v>9</v>
      </c>
      <c r="I47" s="137">
        <f t="shared" si="3"/>
        <v>9207007491</v>
      </c>
      <c r="J47" s="139">
        <f t="shared" ref="J47:J50" si="16">RANK(I47,$I$47:$I$50,0)</f>
        <v>1</v>
      </c>
      <c r="K47" s="137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137">
        <f t="shared" si="5"/>
        <v>0</v>
      </c>
      <c r="M47" s="137">
        <v>9.0</v>
      </c>
    </row>
    <row r="48" ht="15.75" customHeight="1">
      <c r="A48" s="135" t="s">
        <v>1030</v>
      </c>
      <c r="B48" s="136" t="s">
        <v>149</v>
      </c>
      <c r="C48" s="137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137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138">
        <f>IF(ISNUMBER('Apostas - Grupos'!ED5),'Apostas - Grupos'!EE5,0)+IF(ISNUMBER('Apostas - Grupos'!EJ5),'Apostas - Grupos'!EK5,0)+IF(ISNUMBER('Apostas - Grupos'!EN5),'Apostas - Grupos'!EN5,0)</f>
        <v>3</v>
      </c>
      <c r="F48" s="138">
        <f>IF(ISNUMBER('Apostas - Grupos'!ED5),'Apostas - Grupos'!ED5,0)+IF(ISNUMBER('Apostas - Grupos'!EJ5),'Apostas - Grupos'!EJ5,0)+IF(ISNUMBER('Apostas - Grupos'!EN5),'Apostas - Grupos'!EO5,0)</f>
        <v>4</v>
      </c>
      <c r="G48" s="138">
        <f t="shared" si="1"/>
        <v>-1</v>
      </c>
      <c r="H48" s="139">
        <f t="shared" si="2"/>
        <v>4</v>
      </c>
      <c r="I48" s="137">
        <f t="shared" si="3"/>
        <v>4199003490</v>
      </c>
      <c r="J48" s="139">
        <f t="shared" si="16"/>
        <v>2</v>
      </c>
      <c r="K48" s="137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137">
        <f t="shared" si="5"/>
        <v>1</v>
      </c>
      <c r="M48" s="137">
        <v>10.0</v>
      </c>
    </row>
    <row r="49" ht="15.75" customHeight="1">
      <c r="A49" s="135" t="s">
        <v>1030</v>
      </c>
      <c r="B49" s="136" t="s">
        <v>150</v>
      </c>
      <c r="C49" s="137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0</v>
      </c>
      <c r="D49" s="137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2</v>
      </c>
      <c r="E49" s="138">
        <f>IF(ISNUMBER('Apostas - Grupos'!EF5),'Apostas - Grupos'!EF5,0)+IF(ISNUMBER('Apostas - Grupos'!EH5),'Apostas - Grupos'!EI5,0)+IF(ISNUMBER('Apostas - Grupos'!EN5),'Apostas - Grupos'!EO5,0)</f>
        <v>1</v>
      </c>
      <c r="F49" s="138">
        <f>IF(ISNUMBER('Apostas - Grupos'!EF5),'Apostas - Grupos'!EG5,0)+IF(ISNUMBER('Apostas - Grupos'!EH5),'Apostas - Grupos'!EH5,0)+IF(ISNUMBER('Apostas - Grupos'!EN5),'Apostas - Grupos'!EN5,0)</f>
        <v>3</v>
      </c>
      <c r="G49" s="138">
        <f t="shared" si="1"/>
        <v>-2</v>
      </c>
      <c r="H49" s="139">
        <f t="shared" si="2"/>
        <v>2</v>
      </c>
      <c r="I49" s="137">
        <f t="shared" si="3"/>
        <v>2198001448</v>
      </c>
      <c r="J49" s="139">
        <f t="shared" si="16"/>
        <v>3</v>
      </c>
      <c r="K49" s="137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137">
        <f t="shared" si="5"/>
        <v>1</v>
      </c>
      <c r="M49" s="137">
        <v>52.0</v>
      </c>
    </row>
    <row r="50" ht="15.75" customHeight="1">
      <c r="A50" s="135" t="s">
        <v>1030</v>
      </c>
      <c r="B50" s="136" t="s">
        <v>151</v>
      </c>
      <c r="C50" s="137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137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1</v>
      </c>
      <c r="E50" s="138">
        <f>IF(ISNUMBER('Apostas - Grupos'!EF5),'Apostas - Grupos'!EG5,0)+IF(ISNUMBER('Apostas - Grupos'!EJ5),'Apostas - Grupos'!EJ5,0)+IF(ISNUMBER('Apostas - Grupos'!EL5),'Apostas - Grupos'!EL5,0)</f>
        <v>1</v>
      </c>
      <c r="F50" s="138">
        <f>IF(ISNUMBER('Apostas - Grupos'!EF5),'Apostas - Grupos'!EF5,0)+IF(ISNUMBER('Apostas - Grupos'!EJ5),'Apostas - Grupos'!EK5,0)+IF(ISNUMBER('Apostas - Grupos'!EL5),'Apostas - Grupos'!EM5,0)</f>
        <v>5</v>
      </c>
      <c r="G50" s="138">
        <f t="shared" si="1"/>
        <v>-4</v>
      </c>
      <c r="H50" s="139">
        <f t="shared" si="2"/>
        <v>1</v>
      </c>
      <c r="I50" s="137">
        <f t="shared" si="3"/>
        <v>1196001428</v>
      </c>
      <c r="J50" s="139">
        <f t="shared" si="16"/>
        <v>4</v>
      </c>
      <c r="K50" s="137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137">
        <f t="shared" si="5"/>
        <v>2</v>
      </c>
      <c r="M50" s="137">
        <v>72.0</v>
      </c>
    </row>
    <row r="51" ht="15.75" customHeight="1"/>
    <row r="52" ht="15.75" customHeight="1"/>
    <row r="53" ht="15.75" customHeight="1">
      <c r="A53" s="140" t="s">
        <v>1022</v>
      </c>
      <c r="B53" s="141" t="str">
        <f t="array" ref="B53">IFERROR(INDEX($B$3:$B$6,MATCH(1,$J$3:$J$6,0)),"?")</f>
        <v>Mexico</v>
      </c>
      <c r="C53" s="141" t="str">
        <f t="array" ref="C53">IFERROR(INDEX($B$3:$B$6,MATCH(2,$J$3:$J$6,0)),"?")</f>
        <v>Africa do Sul</v>
      </c>
      <c r="D53" s="141" t="str">
        <f t="array" ref="D53">IFERROR(INDEX($B$3:$B$6,MATCH(3,$J$3:$J$6,0)),"?")</f>
        <v>Coreia do Sul</v>
      </c>
      <c r="E53" s="141" t="str">
        <f t="array" ref="E53">IFERROR(INDEX($B$3:$B$6,MATCH(4,$J$3:$J$6,0)),"?")</f>
        <v>Tchequia</v>
      </c>
    </row>
    <row r="54" ht="15.75" customHeight="1">
      <c r="A54" s="142" t="s">
        <v>1023</v>
      </c>
      <c r="B54" s="141" t="str">
        <f t="array" ref="B54">IFERROR(INDEX($B$7:$B$10,MATCH(1,$J$7:$J$10,0)),"?")</f>
        <v>Suica</v>
      </c>
      <c r="C54" s="141" t="str">
        <f t="array" ref="C54">IFERROR(INDEX($B$7:$B$10,MATCH(2,$J$7:$J$10,0)),"?")</f>
        <v>Bosnia e Herzegovina</v>
      </c>
      <c r="D54" s="141" t="str">
        <f t="array" ref="D54">IFERROR(INDEX($B$7:$B$10,MATCH(3,$J$7:$J$10,0)),"?")</f>
        <v>Canada</v>
      </c>
      <c r="E54" s="141" t="str">
        <f t="array" ref="E54">IFERROR(INDEX($B$7:$B$10,MATCH(4,$J$7:$J$10,0)),"?")</f>
        <v>Qatar</v>
      </c>
    </row>
    <row r="55" ht="15.75" customHeight="1">
      <c r="A55" s="143" t="s">
        <v>1024</v>
      </c>
      <c r="B55" s="141" t="str">
        <f t="array" ref="B55">IFERROR(INDEX($B$11:$B$14,MATCH(1,$J$11:$J$14,0)),"?")</f>
        <v>Brasil</v>
      </c>
      <c r="C55" s="141" t="str">
        <f t="array" ref="C55">IFERROR(INDEX($B$11:$B$14,MATCH(2,$J$11:$J$14,0)),"?")</f>
        <v>Marrocos</v>
      </c>
      <c r="D55" s="141" t="str">
        <f t="array" ref="D55">IFERROR(INDEX($B$11:$B$14,MATCH(3,$J$11:$J$14,0)),"?")</f>
        <v>Escocia</v>
      </c>
      <c r="E55" s="141" t="str">
        <f t="array" ref="E55">IFERROR(INDEX($B$11:$B$14,MATCH(4,$J$11:$J$14,0)),"?")</f>
        <v>Haiti</v>
      </c>
    </row>
    <row r="56" ht="15.75" customHeight="1">
      <c r="A56" s="144" t="s">
        <v>163</v>
      </c>
      <c r="B56" s="141" t="str">
        <f t="array" ref="B56">IFERROR(INDEX($B$15:$B$18,MATCH(1,$J$15:$J$18,0)),"?")</f>
        <v>Paraguai</v>
      </c>
      <c r="C56" s="141" t="str">
        <f t="array" ref="C56">IFERROR(INDEX($B$15:$B$18,MATCH(2,$J$15:$J$18,0)),"?")</f>
        <v>Australia</v>
      </c>
      <c r="D56" s="141" t="str">
        <f t="array" ref="D56">IFERROR(INDEX($B$15:$B$18,MATCH(3,$J$15:$J$18,0)),"?")</f>
        <v>Turquia</v>
      </c>
      <c r="E56" s="141" t="str">
        <f t="array" ref="E56">IFERROR(INDEX($B$15:$B$18,MATCH(4,$J$15:$J$18,0)),"?")</f>
        <v>Estados Unidos</v>
      </c>
    </row>
    <row r="57" ht="15.75" customHeight="1">
      <c r="A57" s="145" t="s">
        <v>162</v>
      </c>
      <c r="B57" s="141" t="str">
        <f t="array" ref="B57">IFERROR(INDEX($B$19:$B$22,MATCH(1,$J$19:$J$22,0)),"?")</f>
        <v>Alemanha</v>
      </c>
      <c r="C57" s="141" t="str">
        <f t="array" ref="C57">IFERROR(INDEX($B$19:$B$22,MATCH(2,$J$19:$J$22,0)),"?")</f>
        <v>Equador</v>
      </c>
      <c r="D57" s="141" t="str">
        <f t="array" ref="D57">IFERROR(INDEX($B$19:$B$22,MATCH(3,$J$19:$J$22,0)),"?")</f>
        <v>Costa do Marfim</v>
      </c>
      <c r="E57" s="141" t="str">
        <f t="array" ref="E57">IFERROR(INDEX($B$19:$B$22,MATCH(4,$J$19:$J$22,0)),"?")</f>
        <v>Curacao</v>
      </c>
    </row>
    <row r="58" ht="15.75" customHeight="1">
      <c r="A58" s="146" t="s">
        <v>1025</v>
      </c>
      <c r="B58" s="141" t="str">
        <f t="array" ref="B58">IFERROR(INDEX($B$23:$B$26,MATCH(1,$J$23:$J$26,0)),"?")</f>
        <v>Holanda</v>
      </c>
      <c r="C58" s="141" t="str">
        <f t="array" ref="C58">IFERROR(INDEX($B$23:$B$26,MATCH(2,$J$23:$J$26,0)),"?")</f>
        <v>Japao</v>
      </c>
      <c r="D58" s="141" t="str">
        <f t="array" ref="D58">IFERROR(INDEX($B$23:$B$26,MATCH(3,$J$23:$J$26,0)),"?")</f>
        <v>Suecia</v>
      </c>
      <c r="E58" s="141" t="str">
        <f t="array" ref="E58">IFERROR(INDEX($B$23:$B$26,MATCH(4,$J$23:$J$26,0)),"?")</f>
        <v>Tunisia</v>
      </c>
    </row>
    <row r="59" ht="15.75" customHeight="1">
      <c r="A59" s="147" t="s">
        <v>1026</v>
      </c>
      <c r="B59" s="141" t="str">
        <f t="array" ref="B59">IFERROR(INDEX($B$27:$B$30,MATCH(1,$J$27:$J$30,0)),"?")</f>
        <v>Belgica</v>
      </c>
      <c r="C59" s="141" t="str">
        <f t="array" ref="C59">IFERROR(INDEX($B$27:$B$30,MATCH(2,$J$27:$J$30,0)),"?")</f>
        <v>Egito</v>
      </c>
      <c r="D59" s="141" t="str">
        <f t="array" ref="D59">IFERROR(INDEX($B$27:$B$30,MATCH(3,$J$27:$J$30,0)),"?")</f>
        <v>Nova Zelandia</v>
      </c>
      <c r="E59" s="141" t="str">
        <f t="array" ref="E59">IFERROR(INDEX($B$27:$B$30,MATCH(4,$J$27:$J$30,0)),"?")</f>
        <v>Ira</v>
      </c>
    </row>
    <row r="60" ht="15.75" customHeight="1">
      <c r="A60" s="148" t="s">
        <v>1027</v>
      </c>
      <c r="B60" s="141" t="str">
        <f t="array" ref="B60">IFERROR(INDEX($B$31:$B$34,MATCH(1,$J$31:$J$34,0)),"?")</f>
        <v>Espanha</v>
      </c>
      <c r="C60" s="141" t="str">
        <f t="array" ref="C60">IFERROR(INDEX($B$31:$B$34,MATCH(2,$J$31:$J$34,0)),"?")</f>
        <v>Uruguai</v>
      </c>
      <c r="D60" s="141" t="str">
        <f t="array" ref="D60">IFERROR(INDEX($B$31:$B$34,MATCH(3,$J$31:$J$34,0)),"?")</f>
        <v>Arabia Saudita</v>
      </c>
      <c r="E60" s="141" t="str">
        <f t="array" ref="E60">IFERROR(INDEX($B$31:$B$34,MATCH(4,$J$31:$J$34,0)),"?")</f>
        <v>Cabo Verde</v>
      </c>
    </row>
    <row r="61" ht="15.75" customHeight="1">
      <c r="A61" s="149" t="s">
        <v>1028</v>
      </c>
      <c r="B61" s="141" t="str">
        <f t="array" ref="B61">IFERROR(INDEX($B$35:$B$38,MATCH(1,$J$35:$J$38,0)),"?")</f>
        <v>Franca</v>
      </c>
      <c r="C61" s="141" t="str">
        <f t="array" ref="C61">IFERROR(INDEX($B$35:$B$38,MATCH(2,$J$35:$J$38,0)),"?")</f>
        <v>Noruega</v>
      </c>
      <c r="D61" s="141" t="str">
        <f t="array" ref="D61">IFERROR(INDEX($B$35:$B$38,MATCH(3,$J$35:$J$38,0)),"?")</f>
        <v>Iraque</v>
      </c>
      <c r="E61" s="141" t="str">
        <f t="array" ref="E61">IFERROR(INDEX($B$35:$B$38,MATCH(4,$J$35:$J$38,0)),"?")</f>
        <v>Senegal</v>
      </c>
    </row>
    <row r="62" ht="15.75" customHeight="1">
      <c r="A62" s="150" t="s">
        <v>160</v>
      </c>
      <c r="B62" s="141" t="str">
        <f t="array" ref="B62">IFERROR(INDEX($B$39:$B$42,MATCH(1,$J$39:$J$42,0)),"?")</f>
        <v>Argentina</v>
      </c>
      <c r="C62" s="141" t="str">
        <f t="array" ref="C62">IFERROR(INDEX($B$39:$B$42,MATCH(2,$J$39:$J$42,0)),"?")</f>
        <v>Argelia</v>
      </c>
      <c r="D62" s="141" t="str">
        <f t="array" ref="D62">IFERROR(INDEX($B$39:$B$42,MATCH(3,$J$39:$J$42,0)),"?")</f>
        <v>Jordania</v>
      </c>
      <c r="E62" s="141" t="str">
        <f t="array" ref="E62">IFERROR(INDEX($B$39:$B$42,MATCH(4,$J$39:$J$42,0)),"?")</f>
        <v>Austria</v>
      </c>
    </row>
    <row r="63" ht="15.75" customHeight="1">
      <c r="A63" s="151" t="s">
        <v>1029</v>
      </c>
      <c r="B63" s="141" t="str">
        <f t="array" ref="B63">IFERROR(INDEX($B$43:$B$46,MATCH(1,$J$43:$J$46,0)),"?")</f>
        <v>Portugal</v>
      </c>
      <c r="C63" s="141" t="str">
        <f t="array" ref="C63">IFERROR(INDEX($B$43:$B$46,MATCH(2,$J$43:$J$46,0)),"?")</f>
        <v>Colombia</v>
      </c>
      <c r="D63" s="141" t="str">
        <f t="array" ref="D63">IFERROR(INDEX($B$43:$B$46,MATCH(3,$J$43:$J$46,0)),"?")</f>
        <v>Uzbequistao</v>
      </c>
      <c r="E63" s="141" t="str">
        <f t="array" ref="E63">IFERROR(INDEX($B$43:$B$46,MATCH(4,$J$43:$J$46,0)),"?")</f>
        <v>RD Congo</v>
      </c>
    </row>
    <row r="64" ht="15.75" customHeight="1">
      <c r="A64" s="152" t="s">
        <v>1030</v>
      </c>
      <c r="B64" s="141" t="str">
        <f t="array" ref="B64">IFERROR(INDEX($B$47:$B$50,MATCH(1,$J$47:$J$50,0)),"?")</f>
        <v>Inglaterra</v>
      </c>
      <c r="C64" s="141" t="str">
        <f t="array" ref="C64">IFERROR(INDEX($B$47:$B$50,MATCH(2,$J$47:$J$50,0)),"?")</f>
        <v>Croacia</v>
      </c>
      <c r="D64" s="141" t="str">
        <f t="array" ref="D64">IFERROR(INDEX($B$47:$B$50,MATCH(3,$J$47:$J$50,0)),"?")</f>
        <v>Gana</v>
      </c>
      <c r="E64" s="141" t="str">
        <f t="array" ref="E64">IFERROR(INDEX($B$47:$B$50,MATCH(4,$J$47:$J$50,0)),"?")</f>
        <v>Panama</v>
      </c>
    </row>
    <row r="65" ht="15.75" customHeight="1"/>
    <row r="66" ht="15.75" customHeight="1">
      <c r="A66" s="153" t="s">
        <v>1022</v>
      </c>
      <c r="B66" s="154" t="str">
        <f t="array" ref="B66">IFERROR(INDEX($B$3:$B$6,MATCH(3,$J$3:$J$6,0)),"?")</f>
        <v>Coreia do Sul</v>
      </c>
      <c r="C66" s="154">
        <f t="array" ref="C66">IFERROR(INDEX($I$3:$I$6,MATCH(3,$J$3:$J$6,0)),0)</f>
        <v>3197001477</v>
      </c>
      <c r="D66" s="155">
        <f t="shared" ref="D66:D77" si="17">RANK(C66,$C$66:$C$77,0)</f>
        <v>2</v>
      </c>
    </row>
    <row r="67" ht="15.75" customHeight="1">
      <c r="A67" s="156" t="s">
        <v>1023</v>
      </c>
      <c r="B67" s="154" t="str">
        <f t="array" ref="B67">IFERROR(INDEX($B$7:$B$10,MATCH(3,$J$7:$J$10,0)),"?")</f>
        <v>Canada</v>
      </c>
      <c r="C67" s="154">
        <f t="array" ref="C67">IFERROR(INDEX($I$7:$I$10,MATCH(3,$J$7:$J$10,0)),0)</f>
        <v>2199001456</v>
      </c>
      <c r="D67" s="155">
        <f t="shared" si="17"/>
        <v>5</v>
      </c>
    </row>
    <row r="68" ht="15.75" customHeight="1">
      <c r="A68" s="157" t="s">
        <v>1024</v>
      </c>
      <c r="B68" s="154" t="str">
        <f t="array" ref="B68">IFERROR(INDEX($B$11:$B$14,MATCH(3,$J$11:$J$14,0)),"?")</f>
        <v>Escocia</v>
      </c>
      <c r="C68" s="154">
        <f t="array" ref="C68">IFERROR(INDEX($I$11:$I$14,MATCH(3,$J$11:$J$14,0)),0)</f>
        <v>1194000473</v>
      </c>
      <c r="D68" s="155">
        <f t="shared" si="17"/>
        <v>12</v>
      </c>
    </row>
    <row r="69" ht="15.75" customHeight="1">
      <c r="A69" s="158" t="s">
        <v>163</v>
      </c>
      <c r="B69" s="154" t="str">
        <f t="array" ref="B69">IFERROR(INDEX($B$15:$B$18,MATCH(3,$J$15:$J$18,0)),"?")</f>
        <v>Turquia</v>
      </c>
      <c r="C69" s="154">
        <f t="array" ref="C69">IFERROR(INDEX($I$15:$I$18,MATCH(3,$J$15:$J$18,0)),0)</f>
        <v>2199003464</v>
      </c>
      <c r="D69" s="155">
        <f t="shared" si="17"/>
        <v>3</v>
      </c>
    </row>
    <row r="70" ht="15.75" customHeight="1">
      <c r="A70" s="159" t="s">
        <v>162</v>
      </c>
      <c r="B70" s="154" t="str">
        <f t="array" ref="B70">IFERROR(INDEX($B$19:$B$22,MATCH(3,$J$19:$J$22,0)),"?")</f>
        <v>Costa do Marfim</v>
      </c>
      <c r="C70" s="154">
        <f t="array" ref="C70">IFERROR(INDEX($I$19:$I$22,MATCH(3,$J$19:$J$22,0)),0)</f>
        <v>2198001459</v>
      </c>
      <c r="D70" s="155">
        <f t="shared" si="17"/>
        <v>7</v>
      </c>
    </row>
    <row r="71" ht="15.75" customHeight="1">
      <c r="A71" s="160" t="s">
        <v>1025</v>
      </c>
      <c r="B71" s="154" t="str">
        <f t="array" ref="B71">IFERROR(INDEX($B$23:$B$26,MATCH(3,$J$23:$J$26,0)),"?")</f>
        <v>Suecia</v>
      </c>
      <c r="C71" s="154">
        <f t="array" ref="C71">IFERROR(INDEX($I$23:$I$26,MATCH(3,$J$23:$J$26,0)),0)</f>
        <v>4200003474</v>
      </c>
      <c r="D71" s="155">
        <f t="shared" si="17"/>
        <v>1</v>
      </c>
    </row>
    <row r="72" ht="15.75" customHeight="1">
      <c r="A72" s="161" t="s">
        <v>1026</v>
      </c>
      <c r="B72" s="154" t="str">
        <f t="array" ref="B72">IFERROR(INDEX($B$27:$B$30,MATCH(3,$J$27:$J$30,0)),"?")</f>
        <v>Nova Zelandia</v>
      </c>
      <c r="C72" s="154">
        <f t="array" ref="C72">IFERROR(INDEX($I$27:$I$30,MATCH(3,$J$27:$J$30,0)),0)</f>
        <v>2199003402</v>
      </c>
      <c r="D72" s="155">
        <f t="shared" si="17"/>
        <v>4</v>
      </c>
    </row>
    <row r="73" ht="15.75" customHeight="1">
      <c r="A73" s="162" t="s">
        <v>1027</v>
      </c>
      <c r="B73" s="154" t="str">
        <f t="array" ref="B73">IFERROR(INDEX($B$31:$B$34,MATCH(3,$J$31:$J$34,0)),"?")</f>
        <v>Arabia Saudita</v>
      </c>
      <c r="C73" s="154">
        <f t="array" ref="C73">IFERROR(INDEX($I$31:$I$34,MATCH(3,$J$31:$J$34,0)),0)</f>
        <v>1198003443</v>
      </c>
      <c r="D73" s="155">
        <f t="shared" si="17"/>
        <v>10</v>
      </c>
    </row>
    <row r="74" ht="15.75" customHeight="1">
      <c r="A74" s="163" t="s">
        <v>1028</v>
      </c>
      <c r="B74" s="154" t="str">
        <f t="array" ref="B74">IFERROR(INDEX($B$35:$B$38,MATCH(3,$J$35:$J$38,0)),"?")</f>
        <v>Iraque</v>
      </c>
      <c r="C74" s="154">
        <f t="array" ref="C74">IFERROR(INDEX($I$35:$I$38,MATCH(3,$J$35:$J$38,0)),0)</f>
        <v>2198001435</v>
      </c>
      <c r="D74" s="155">
        <f t="shared" si="17"/>
        <v>9</v>
      </c>
    </row>
    <row r="75" ht="15.75" customHeight="1">
      <c r="A75" s="164" t="s">
        <v>160</v>
      </c>
      <c r="B75" s="154" t="str">
        <f t="array" ref="B75">IFERROR(INDEX($B$39:$B$42,MATCH(3,$J$39:$J$42,0)),"?")</f>
        <v>Jordania</v>
      </c>
      <c r="C75" s="154">
        <f t="array" ref="C75">IFERROR(INDEX($I$39:$I$42,MATCH(3,$J$39:$J$42,0)),0)</f>
        <v>2198002414</v>
      </c>
      <c r="D75" s="155">
        <f t="shared" si="17"/>
        <v>6</v>
      </c>
    </row>
    <row r="76" ht="15.75" customHeight="1">
      <c r="A76" s="165" t="s">
        <v>1029</v>
      </c>
      <c r="B76" s="154" t="str">
        <f t="array" ref="B76">IFERROR(INDEX($B$43:$B$46,MATCH(3,$J$43:$J$46,0)),"?")</f>
        <v>Uzbequistao</v>
      </c>
      <c r="C76" s="154">
        <f t="array" ref="C76">IFERROR(INDEX($I$43:$I$46,MATCH(3,$J$43:$J$46,0)),0)</f>
        <v>1196000426</v>
      </c>
      <c r="D76" s="155">
        <f t="shared" si="17"/>
        <v>11</v>
      </c>
    </row>
    <row r="77" ht="15.75" customHeight="1">
      <c r="A77" s="166" t="s">
        <v>1030</v>
      </c>
      <c r="B77" s="154" t="str">
        <f t="array" ref="B77">IFERROR(INDEX($B$47:$B$50,MATCH(3,$J$47:$J$50,0)),"?")</f>
        <v>Gana</v>
      </c>
      <c r="C77" s="154">
        <f t="array" ref="C77">IFERROR(INDEX($I$47:$I$50,MATCH(3,$J$47:$J$50,0)),0)</f>
        <v>2198001448</v>
      </c>
      <c r="D77" s="155">
        <f t="shared" si="17"/>
        <v>8</v>
      </c>
    </row>
    <row r="78" ht="15.75" customHeight="1"/>
    <row r="79" ht="15.75" customHeight="1">
      <c r="A79" s="167">
        <v>1.0</v>
      </c>
      <c r="B79" s="168" t="str">
        <f t="array" ref="B79">IFERROR(INDEX($B$66:$B$77,MATCH(1,$D$66:$D$77,0)),"?")</f>
        <v>Suecia</v>
      </c>
    </row>
    <row r="80" ht="15.75" customHeight="1">
      <c r="A80" s="167">
        <v>2.0</v>
      </c>
      <c r="B80" s="168" t="str">
        <f t="array" ref="B80">IFERROR(INDEX($B$66:$B$77,MATCH(2,$D$66:$D$77,0)),"?")</f>
        <v>Coreia do Sul</v>
      </c>
    </row>
    <row r="81" ht="15.75" customHeight="1">
      <c r="A81" s="167">
        <v>3.0</v>
      </c>
      <c r="B81" s="168" t="str">
        <f t="array" ref="B81">IFERROR(INDEX($B$66:$B$77,MATCH(3,$D$66:$D$77,0)),"?")</f>
        <v>Turquia</v>
      </c>
    </row>
    <row r="82" ht="15.75" customHeight="1">
      <c r="A82" s="167">
        <v>4.0</v>
      </c>
      <c r="B82" s="168" t="str">
        <f t="array" ref="B82">IFERROR(INDEX($B$66:$B$77,MATCH(4,$D$66:$D$77,0)),"?")</f>
        <v>Nova Zelandia</v>
      </c>
    </row>
    <row r="83" ht="15.75" customHeight="1">
      <c r="A83" s="167">
        <v>5.0</v>
      </c>
      <c r="B83" s="168" t="str">
        <f t="array" ref="B83">IFERROR(INDEX($B$66:$B$77,MATCH(5,$D$66:$D$77,0)),"?")</f>
        <v>Canada</v>
      </c>
    </row>
    <row r="84" ht="15.75" customHeight="1">
      <c r="A84" s="167">
        <v>6.0</v>
      </c>
      <c r="B84" s="168" t="str">
        <f t="array" ref="B84">IFERROR(INDEX($B$66:$B$77,MATCH(6,$D$66:$D$77,0)),"?")</f>
        <v>Jordania</v>
      </c>
    </row>
    <row r="85" ht="15.75" customHeight="1">
      <c r="A85" s="167">
        <v>7.0</v>
      </c>
      <c r="B85" s="168" t="str">
        <f t="array" ref="B85">IFERROR(INDEX($B$66:$B$77,MATCH(7,$D$66:$D$77,0)),"?")</f>
        <v>Costa do Marfim</v>
      </c>
    </row>
    <row r="86" ht="15.75" customHeight="1">
      <c r="A86" s="167">
        <v>8.0</v>
      </c>
      <c r="B86" s="168" t="str">
        <f t="array" ref="B86">IFERROR(INDEX($B$66:$B$77,MATCH(8,$D$66:$D$77,0)),"?")</f>
        <v>Gana</v>
      </c>
    </row>
    <row r="87" ht="15.75" customHeight="1"/>
    <row r="88" ht="15.75" customHeight="1">
      <c r="A88" s="169" t="s">
        <v>1031</v>
      </c>
      <c r="B88" s="170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ABDEFGJL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07D8B"/>
    <pageSetUpPr/>
  </sheetPr>
  <sheetViews>
    <sheetView showGridLines="0" workbookViewId="0"/>
  </sheetViews>
  <sheetFormatPr customHeight="1" defaultColWidth="14.43" defaultRowHeight="15.0"/>
  <cols>
    <col customWidth="1" min="1" max="1" width="12.0"/>
    <col customWidth="1" min="2" max="9" width="6.0"/>
    <col customWidth="1" min="10" max="26" width="8.71"/>
  </cols>
  <sheetData>
    <row r="1" ht="43.5" customHeight="1">
      <c r="A1" s="18" t="s">
        <v>1032</v>
      </c>
      <c r="B1" s="2"/>
      <c r="C1" s="2"/>
      <c r="D1" s="2"/>
      <c r="E1" s="2"/>
      <c r="F1" s="2"/>
      <c r="G1" s="2"/>
      <c r="H1" s="2"/>
      <c r="I1" s="2"/>
      <c r="J1" s="2"/>
    </row>
    <row r="2" ht="21.75" customHeight="1">
      <c r="A2" s="171" t="s">
        <v>1033</v>
      </c>
      <c r="B2" s="171" t="s">
        <v>1034</v>
      </c>
      <c r="C2" s="171" t="s">
        <v>1035</v>
      </c>
      <c r="D2" s="171" t="s">
        <v>1036</v>
      </c>
      <c r="E2" s="171" t="s">
        <v>1037</v>
      </c>
      <c r="F2" s="171" t="s">
        <v>1038</v>
      </c>
      <c r="G2" s="171" t="s">
        <v>1039</v>
      </c>
      <c r="H2" s="171" t="s">
        <v>1040</v>
      </c>
      <c r="I2" s="171" t="s">
        <v>1041</v>
      </c>
    </row>
    <row r="3">
      <c r="A3" s="172" t="s">
        <v>1042</v>
      </c>
      <c r="B3" s="173" t="s">
        <v>1043</v>
      </c>
      <c r="C3" s="173" t="s">
        <v>1044</v>
      </c>
      <c r="D3" s="173" t="s">
        <v>1045</v>
      </c>
      <c r="E3" s="173" t="s">
        <v>1046</v>
      </c>
      <c r="F3" s="173" t="s">
        <v>1047</v>
      </c>
      <c r="G3" s="173" t="s">
        <v>1048</v>
      </c>
      <c r="H3" s="173" t="s">
        <v>1049</v>
      </c>
      <c r="I3" s="173" t="s">
        <v>1050</v>
      </c>
    </row>
    <row r="4">
      <c r="A4" s="174" t="s">
        <v>1051</v>
      </c>
      <c r="B4" s="175" t="s">
        <v>1043</v>
      </c>
      <c r="C4" s="175" t="s">
        <v>1044</v>
      </c>
      <c r="D4" s="175" t="s">
        <v>1045</v>
      </c>
      <c r="E4" s="175" t="s">
        <v>1046</v>
      </c>
      <c r="F4" s="175" t="s">
        <v>1047</v>
      </c>
      <c r="G4" s="175" t="s">
        <v>1048</v>
      </c>
      <c r="H4" s="175" t="s">
        <v>1049</v>
      </c>
      <c r="I4" s="175" t="s">
        <v>1050</v>
      </c>
    </row>
    <row r="5">
      <c r="A5" s="172" t="s">
        <v>1052</v>
      </c>
      <c r="B5" s="173" t="s">
        <v>1043</v>
      </c>
      <c r="C5" s="173" t="s">
        <v>1044</v>
      </c>
      <c r="D5" s="173" t="s">
        <v>1045</v>
      </c>
      <c r="E5" s="173" t="s">
        <v>1046</v>
      </c>
      <c r="F5" s="173" t="s">
        <v>1047</v>
      </c>
      <c r="G5" s="173" t="s">
        <v>1048</v>
      </c>
      <c r="H5" s="173" t="s">
        <v>1049</v>
      </c>
      <c r="I5" s="173" t="s">
        <v>1050</v>
      </c>
    </row>
    <row r="6">
      <c r="A6" s="174" t="s">
        <v>1053</v>
      </c>
      <c r="B6" s="175" t="s">
        <v>1043</v>
      </c>
      <c r="C6" s="175" t="s">
        <v>1044</v>
      </c>
      <c r="D6" s="175" t="s">
        <v>1045</v>
      </c>
      <c r="E6" s="175" t="s">
        <v>1046</v>
      </c>
      <c r="F6" s="175" t="s">
        <v>1047</v>
      </c>
      <c r="G6" s="175" t="s">
        <v>1048</v>
      </c>
      <c r="H6" s="175" t="s">
        <v>1049</v>
      </c>
      <c r="I6" s="175" t="s">
        <v>1050</v>
      </c>
    </row>
    <row r="7">
      <c r="A7" s="172" t="s">
        <v>1054</v>
      </c>
      <c r="B7" s="173" t="s">
        <v>1043</v>
      </c>
      <c r="C7" s="173" t="s">
        <v>1044</v>
      </c>
      <c r="D7" s="173" t="s">
        <v>1045</v>
      </c>
      <c r="E7" s="173" t="s">
        <v>1046</v>
      </c>
      <c r="F7" s="173" t="s">
        <v>1047</v>
      </c>
      <c r="G7" s="173" t="s">
        <v>1048</v>
      </c>
      <c r="H7" s="173" t="s">
        <v>1049</v>
      </c>
      <c r="I7" s="173" t="s">
        <v>1050</v>
      </c>
    </row>
    <row r="8">
      <c r="A8" s="174" t="s">
        <v>1055</v>
      </c>
      <c r="B8" s="175" t="s">
        <v>1043</v>
      </c>
      <c r="C8" s="175" t="s">
        <v>1044</v>
      </c>
      <c r="D8" s="175" t="s">
        <v>1045</v>
      </c>
      <c r="E8" s="175" t="s">
        <v>1046</v>
      </c>
      <c r="F8" s="175" t="s">
        <v>1047</v>
      </c>
      <c r="G8" s="175" t="s">
        <v>1048</v>
      </c>
      <c r="H8" s="175" t="s">
        <v>1049</v>
      </c>
      <c r="I8" s="175" t="s">
        <v>1050</v>
      </c>
    </row>
    <row r="9">
      <c r="A9" s="172" t="s">
        <v>1056</v>
      </c>
      <c r="B9" s="173" t="s">
        <v>1043</v>
      </c>
      <c r="C9" s="173" t="s">
        <v>1044</v>
      </c>
      <c r="D9" s="173" t="s">
        <v>1045</v>
      </c>
      <c r="E9" s="173" t="s">
        <v>1046</v>
      </c>
      <c r="F9" s="173" t="s">
        <v>1047</v>
      </c>
      <c r="G9" s="173" t="s">
        <v>1048</v>
      </c>
      <c r="H9" s="173" t="s">
        <v>1049</v>
      </c>
      <c r="I9" s="173" t="s">
        <v>1050</v>
      </c>
    </row>
    <row r="10">
      <c r="A10" s="174" t="s">
        <v>1057</v>
      </c>
      <c r="B10" s="175" t="s">
        <v>1043</v>
      </c>
      <c r="C10" s="175" t="s">
        <v>1044</v>
      </c>
      <c r="D10" s="175" t="s">
        <v>1045</v>
      </c>
      <c r="E10" s="175" t="s">
        <v>1046</v>
      </c>
      <c r="F10" s="175" t="s">
        <v>1047</v>
      </c>
      <c r="G10" s="175" t="s">
        <v>1048</v>
      </c>
      <c r="H10" s="175" t="s">
        <v>1049</v>
      </c>
      <c r="I10" s="175" t="s">
        <v>1050</v>
      </c>
    </row>
    <row r="11">
      <c r="A11" s="172" t="s">
        <v>1058</v>
      </c>
      <c r="B11" s="173" t="s">
        <v>1043</v>
      </c>
      <c r="C11" s="173" t="s">
        <v>1044</v>
      </c>
      <c r="D11" s="173" t="s">
        <v>1045</v>
      </c>
      <c r="E11" s="173" t="s">
        <v>1046</v>
      </c>
      <c r="F11" s="173" t="s">
        <v>1047</v>
      </c>
      <c r="G11" s="173" t="s">
        <v>1048</v>
      </c>
      <c r="H11" s="173" t="s">
        <v>1049</v>
      </c>
      <c r="I11" s="173" t="s">
        <v>1050</v>
      </c>
    </row>
    <row r="12">
      <c r="A12" s="174" t="s">
        <v>1059</v>
      </c>
      <c r="B12" s="175" t="s">
        <v>1046</v>
      </c>
      <c r="C12" s="175" t="s">
        <v>1060</v>
      </c>
      <c r="D12" s="175" t="s">
        <v>1045</v>
      </c>
      <c r="E12" s="175" t="s">
        <v>1049</v>
      </c>
      <c r="F12" s="175" t="s">
        <v>1047</v>
      </c>
      <c r="G12" s="175" t="s">
        <v>1048</v>
      </c>
      <c r="H12" s="175" t="s">
        <v>1050</v>
      </c>
      <c r="I12" s="175" t="s">
        <v>1061</v>
      </c>
    </row>
    <row r="13">
      <c r="A13" s="172" t="s">
        <v>1062</v>
      </c>
      <c r="B13" s="173" t="s">
        <v>1043</v>
      </c>
      <c r="C13" s="173" t="s">
        <v>1044</v>
      </c>
      <c r="D13" s="173" t="s">
        <v>1045</v>
      </c>
      <c r="E13" s="173" t="s">
        <v>1046</v>
      </c>
      <c r="F13" s="173" t="s">
        <v>1047</v>
      </c>
      <c r="G13" s="173" t="s">
        <v>1048</v>
      </c>
      <c r="H13" s="173" t="s">
        <v>1049</v>
      </c>
      <c r="I13" s="173" t="s">
        <v>1050</v>
      </c>
    </row>
    <row r="14">
      <c r="A14" s="174" t="s">
        <v>1063</v>
      </c>
      <c r="B14" s="175" t="s">
        <v>1043</v>
      </c>
      <c r="C14" s="175" t="s">
        <v>1044</v>
      </c>
      <c r="D14" s="175" t="s">
        <v>1045</v>
      </c>
      <c r="E14" s="175" t="s">
        <v>1046</v>
      </c>
      <c r="F14" s="175" t="s">
        <v>1047</v>
      </c>
      <c r="G14" s="175" t="s">
        <v>1048</v>
      </c>
      <c r="H14" s="175" t="s">
        <v>1049</v>
      </c>
      <c r="I14" s="175" t="s">
        <v>1050</v>
      </c>
    </row>
    <row r="15">
      <c r="A15" s="172" t="s">
        <v>1064</v>
      </c>
      <c r="B15" s="173" t="s">
        <v>1046</v>
      </c>
      <c r="C15" s="173" t="s">
        <v>1060</v>
      </c>
      <c r="D15" s="173" t="s">
        <v>1045</v>
      </c>
      <c r="E15" s="173" t="s">
        <v>1049</v>
      </c>
      <c r="F15" s="173" t="s">
        <v>1047</v>
      </c>
      <c r="G15" s="173" t="s">
        <v>1048</v>
      </c>
      <c r="H15" s="173" t="s">
        <v>1050</v>
      </c>
      <c r="I15" s="173" t="s">
        <v>1065</v>
      </c>
    </row>
    <row r="16">
      <c r="A16" s="174" t="s">
        <v>1066</v>
      </c>
      <c r="B16" s="175" t="s">
        <v>1046</v>
      </c>
      <c r="C16" s="175" t="s">
        <v>1060</v>
      </c>
      <c r="D16" s="175" t="s">
        <v>1045</v>
      </c>
      <c r="E16" s="175" t="s">
        <v>1049</v>
      </c>
      <c r="F16" s="175" t="s">
        <v>1047</v>
      </c>
      <c r="G16" s="175" t="s">
        <v>1048</v>
      </c>
      <c r="H16" s="175" t="s">
        <v>1067</v>
      </c>
      <c r="I16" s="175" t="s">
        <v>1050</v>
      </c>
    </row>
    <row r="17">
      <c r="A17" s="172" t="s">
        <v>1068</v>
      </c>
      <c r="B17" s="173" t="s">
        <v>1043</v>
      </c>
      <c r="C17" s="173" t="s">
        <v>1044</v>
      </c>
      <c r="D17" s="173" t="s">
        <v>1045</v>
      </c>
      <c r="E17" s="173" t="s">
        <v>1046</v>
      </c>
      <c r="F17" s="173" t="s">
        <v>1047</v>
      </c>
      <c r="G17" s="173" t="s">
        <v>1048</v>
      </c>
      <c r="H17" s="173" t="s">
        <v>1049</v>
      </c>
      <c r="I17" s="173" t="s">
        <v>1050</v>
      </c>
    </row>
    <row r="18">
      <c r="A18" s="174" t="s">
        <v>1069</v>
      </c>
      <c r="B18" s="175" t="s">
        <v>1043</v>
      </c>
      <c r="C18" s="175" t="s">
        <v>1044</v>
      </c>
      <c r="D18" s="175" t="s">
        <v>1045</v>
      </c>
      <c r="E18" s="175" t="s">
        <v>1046</v>
      </c>
      <c r="F18" s="175" t="s">
        <v>1047</v>
      </c>
      <c r="G18" s="175" t="s">
        <v>1049</v>
      </c>
      <c r="H18" s="175" t="s">
        <v>1050</v>
      </c>
      <c r="I18" s="175" t="s">
        <v>1061</v>
      </c>
    </row>
    <row r="19">
      <c r="A19" s="172" t="s">
        <v>1070</v>
      </c>
      <c r="B19" s="173" t="s">
        <v>1043</v>
      </c>
      <c r="C19" s="173" t="s">
        <v>1044</v>
      </c>
      <c r="D19" s="173" t="s">
        <v>1045</v>
      </c>
      <c r="E19" s="173" t="s">
        <v>1046</v>
      </c>
      <c r="F19" s="173" t="s">
        <v>1047</v>
      </c>
      <c r="G19" s="173" t="s">
        <v>1048</v>
      </c>
      <c r="H19" s="173" t="s">
        <v>1049</v>
      </c>
      <c r="I19" s="173" t="s">
        <v>1050</v>
      </c>
    </row>
    <row r="20">
      <c r="A20" s="174" t="s">
        <v>1071</v>
      </c>
      <c r="B20" s="175" t="s">
        <v>1043</v>
      </c>
      <c r="C20" s="175" t="s">
        <v>1044</v>
      </c>
      <c r="D20" s="175" t="s">
        <v>1045</v>
      </c>
      <c r="E20" s="175" t="s">
        <v>1046</v>
      </c>
      <c r="F20" s="175" t="s">
        <v>1047</v>
      </c>
      <c r="G20" s="175" t="s">
        <v>1048</v>
      </c>
      <c r="H20" s="175" t="s">
        <v>1049</v>
      </c>
      <c r="I20" s="175" t="s">
        <v>1050</v>
      </c>
    </row>
    <row r="21" ht="15.75" customHeight="1">
      <c r="A21" s="172" t="s">
        <v>1072</v>
      </c>
      <c r="B21" s="173" t="s">
        <v>1043</v>
      </c>
      <c r="C21" s="173" t="s">
        <v>1044</v>
      </c>
      <c r="D21" s="173" t="s">
        <v>1045</v>
      </c>
      <c r="E21" s="173" t="s">
        <v>1046</v>
      </c>
      <c r="F21" s="173" t="s">
        <v>1047</v>
      </c>
      <c r="G21" s="173" t="s">
        <v>1048</v>
      </c>
      <c r="H21" s="173" t="s">
        <v>1049</v>
      </c>
      <c r="I21" s="173" t="s">
        <v>1050</v>
      </c>
    </row>
    <row r="22" ht="15.75" customHeight="1">
      <c r="A22" s="174" t="s">
        <v>1073</v>
      </c>
      <c r="B22" s="175" t="s">
        <v>1050</v>
      </c>
      <c r="C22" s="175" t="s">
        <v>1044</v>
      </c>
      <c r="D22" s="175" t="s">
        <v>1045</v>
      </c>
      <c r="E22" s="175" t="s">
        <v>1046</v>
      </c>
      <c r="F22" s="175" t="s">
        <v>1047</v>
      </c>
      <c r="G22" s="175" t="s">
        <v>1049</v>
      </c>
      <c r="H22" s="175" t="s">
        <v>1061</v>
      </c>
      <c r="I22" s="175" t="s">
        <v>1060</v>
      </c>
    </row>
    <row r="23" ht="15.75" customHeight="1">
      <c r="A23" s="172" t="s">
        <v>1074</v>
      </c>
      <c r="B23" s="173" t="s">
        <v>1043</v>
      </c>
      <c r="C23" s="173" t="s">
        <v>1044</v>
      </c>
      <c r="D23" s="173" t="s">
        <v>1045</v>
      </c>
      <c r="E23" s="173" t="s">
        <v>1046</v>
      </c>
      <c r="F23" s="173" t="s">
        <v>1047</v>
      </c>
      <c r="G23" s="173" t="s">
        <v>1048</v>
      </c>
      <c r="H23" s="173" t="s">
        <v>1049</v>
      </c>
      <c r="I23" s="173" t="s">
        <v>1050</v>
      </c>
    </row>
    <row r="24" ht="15.75" customHeight="1">
      <c r="A24" s="174" t="s">
        <v>1075</v>
      </c>
      <c r="B24" s="175" t="s">
        <v>1043</v>
      </c>
      <c r="C24" s="175" t="s">
        <v>1044</v>
      </c>
      <c r="D24" s="175" t="s">
        <v>1045</v>
      </c>
      <c r="E24" s="175" t="s">
        <v>1046</v>
      </c>
      <c r="F24" s="175" t="s">
        <v>1047</v>
      </c>
      <c r="G24" s="175" t="s">
        <v>1048</v>
      </c>
      <c r="H24" s="175" t="s">
        <v>1049</v>
      </c>
      <c r="I24" s="175" t="s">
        <v>1050</v>
      </c>
    </row>
    <row r="25" ht="15.75" customHeight="1">
      <c r="A25" s="172" t="s">
        <v>1076</v>
      </c>
      <c r="B25" s="173" t="s">
        <v>1043</v>
      </c>
      <c r="C25" s="173" t="s">
        <v>1044</v>
      </c>
      <c r="D25" s="173" t="s">
        <v>1045</v>
      </c>
      <c r="E25" s="173" t="s">
        <v>1046</v>
      </c>
      <c r="F25" s="173" t="s">
        <v>1047</v>
      </c>
      <c r="G25" s="173" t="s">
        <v>1048</v>
      </c>
      <c r="H25" s="173" t="s">
        <v>1049</v>
      </c>
      <c r="I25" s="173" t="s">
        <v>1050</v>
      </c>
    </row>
    <row r="26" ht="15.75" customHeight="1">
      <c r="A26" s="174" t="s">
        <v>1077</v>
      </c>
      <c r="B26" s="175" t="s">
        <v>1043</v>
      </c>
      <c r="C26" s="175" t="s">
        <v>1044</v>
      </c>
      <c r="D26" s="175" t="s">
        <v>1045</v>
      </c>
      <c r="E26" s="175" t="s">
        <v>1046</v>
      </c>
      <c r="F26" s="175" t="s">
        <v>1047</v>
      </c>
      <c r="G26" s="175" t="s">
        <v>1048</v>
      </c>
      <c r="H26" s="175" t="s">
        <v>1049</v>
      </c>
      <c r="I26" s="175" t="s">
        <v>1050</v>
      </c>
    </row>
    <row r="27" ht="15.75" customHeight="1">
      <c r="A27" s="172" t="s">
        <v>1078</v>
      </c>
      <c r="B27" s="173" t="s">
        <v>1043</v>
      </c>
      <c r="C27" s="173" t="s">
        <v>1044</v>
      </c>
      <c r="D27" s="173" t="s">
        <v>1045</v>
      </c>
      <c r="E27" s="173" t="s">
        <v>1046</v>
      </c>
      <c r="F27" s="173" t="s">
        <v>1047</v>
      </c>
      <c r="G27" s="173" t="s">
        <v>1048</v>
      </c>
      <c r="H27" s="173" t="s">
        <v>1049</v>
      </c>
      <c r="I27" s="173" t="s">
        <v>1050</v>
      </c>
    </row>
    <row r="28" ht="15.75" customHeight="1">
      <c r="A28" s="174" t="s">
        <v>1079</v>
      </c>
      <c r="B28" s="175" t="s">
        <v>1043</v>
      </c>
      <c r="C28" s="175" t="s">
        <v>1044</v>
      </c>
      <c r="D28" s="175" t="s">
        <v>1045</v>
      </c>
      <c r="E28" s="175" t="s">
        <v>1046</v>
      </c>
      <c r="F28" s="175" t="s">
        <v>1047</v>
      </c>
      <c r="G28" s="175" t="s">
        <v>1048</v>
      </c>
      <c r="H28" s="175" t="s">
        <v>1049</v>
      </c>
      <c r="I28" s="175" t="s">
        <v>1050</v>
      </c>
    </row>
    <row r="29" ht="15.75" customHeight="1">
      <c r="A29" s="172" t="s">
        <v>1080</v>
      </c>
      <c r="B29" s="173" t="s">
        <v>1043</v>
      </c>
      <c r="C29" s="173" t="s">
        <v>1050</v>
      </c>
      <c r="D29" s="173" t="s">
        <v>1045</v>
      </c>
      <c r="E29" s="173" t="s">
        <v>1046</v>
      </c>
      <c r="F29" s="173" t="s">
        <v>1047</v>
      </c>
      <c r="G29" s="173" t="s">
        <v>1049</v>
      </c>
      <c r="H29" s="173" t="s">
        <v>1061</v>
      </c>
      <c r="I29" s="173" t="s">
        <v>1065</v>
      </c>
    </row>
    <row r="30" ht="15.75" customHeight="1">
      <c r="A30" s="174" t="s">
        <v>1081</v>
      </c>
      <c r="B30" s="175" t="s">
        <v>1043</v>
      </c>
      <c r="C30" s="175" t="s">
        <v>1050</v>
      </c>
      <c r="D30" s="175" t="s">
        <v>1045</v>
      </c>
      <c r="E30" s="175" t="s">
        <v>1046</v>
      </c>
      <c r="F30" s="175" t="s">
        <v>1047</v>
      </c>
      <c r="G30" s="175" t="s">
        <v>1049</v>
      </c>
      <c r="H30" s="175" t="s">
        <v>1067</v>
      </c>
      <c r="I30" s="175" t="s">
        <v>1061</v>
      </c>
    </row>
    <row r="31" ht="15.75" customHeight="1">
      <c r="A31" s="172" t="s">
        <v>1082</v>
      </c>
      <c r="B31" s="173" t="s">
        <v>1043</v>
      </c>
      <c r="C31" s="173" t="s">
        <v>1060</v>
      </c>
      <c r="D31" s="173" t="s">
        <v>1045</v>
      </c>
      <c r="E31" s="173" t="s">
        <v>1046</v>
      </c>
      <c r="F31" s="173" t="s">
        <v>1047</v>
      </c>
      <c r="G31" s="173" t="s">
        <v>1049</v>
      </c>
      <c r="H31" s="173" t="s">
        <v>1050</v>
      </c>
      <c r="I31" s="173" t="s">
        <v>1065</v>
      </c>
    </row>
    <row r="32" ht="15.75" customHeight="1">
      <c r="A32" s="174" t="s">
        <v>1083</v>
      </c>
      <c r="B32" s="175" t="s">
        <v>1043</v>
      </c>
      <c r="C32" s="175" t="s">
        <v>1060</v>
      </c>
      <c r="D32" s="175" t="s">
        <v>1045</v>
      </c>
      <c r="E32" s="175" t="s">
        <v>1046</v>
      </c>
      <c r="F32" s="175" t="s">
        <v>1047</v>
      </c>
      <c r="G32" s="175" t="s">
        <v>1049</v>
      </c>
      <c r="H32" s="175" t="s">
        <v>1067</v>
      </c>
      <c r="I32" s="175" t="s">
        <v>1050</v>
      </c>
    </row>
    <row r="33" ht="15.75" customHeight="1">
      <c r="A33" s="172" t="s">
        <v>1084</v>
      </c>
      <c r="B33" s="173" t="s">
        <v>1043</v>
      </c>
      <c r="C33" s="173" t="s">
        <v>1050</v>
      </c>
      <c r="D33" s="173" t="s">
        <v>1045</v>
      </c>
      <c r="E33" s="173" t="s">
        <v>1046</v>
      </c>
      <c r="F33" s="173" t="s">
        <v>1047</v>
      </c>
      <c r="G33" s="173" t="s">
        <v>1049</v>
      </c>
      <c r="H33" s="173" t="s">
        <v>1067</v>
      </c>
      <c r="I33" s="173" t="s">
        <v>1065</v>
      </c>
    </row>
    <row r="34" ht="15.75" customHeight="1">
      <c r="A34" s="174" t="s">
        <v>1085</v>
      </c>
      <c r="B34" s="175" t="s">
        <v>1043</v>
      </c>
      <c r="C34" s="175" t="s">
        <v>1044</v>
      </c>
      <c r="D34" s="175" t="s">
        <v>1045</v>
      </c>
      <c r="E34" s="175" t="s">
        <v>1046</v>
      </c>
      <c r="F34" s="175" t="s">
        <v>1047</v>
      </c>
      <c r="G34" s="175" t="s">
        <v>1048</v>
      </c>
      <c r="H34" s="175" t="s">
        <v>1049</v>
      </c>
      <c r="I34" s="175" t="s">
        <v>1050</v>
      </c>
    </row>
    <row r="35" ht="15.75" customHeight="1">
      <c r="A35" s="172" t="s">
        <v>1086</v>
      </c>
      <c r="B35" s="173" t="s">
        <v>1043</v>
      </c>
      <c r="C35" s="173" t="s">
        <v>1044</v>
      </c>
      <c r="D35" s="173" t="s">
        <v>1045</v>
      </c>
      <c r="E35" s="173" t="s">
        <v>1046</v>
      </c>
      <c r="F35" s="173" t="s">
        <v>1047</v>
      </c>
      <c r="G35" s="173" t="s">
        <v>1048</v>
      </c>
      <c r="H35" s="173" t="s">
        <v>1049</v>
      </c>
      <c r="I35" s="173" t="s">
        <v>1050</v>
      </c>
    </row>
    <row r="36" ht="15.75" customHeight="1">
      <c r="A36" s="174" t="s">
        <v>1087</v>
      </c>
      <c r="B36" s="175" t="s">
        <v>1043</v>
      </c>
      <c r="C36" s="175" t="s">
        <v>1044</v>
      </c>
      <c r="D36" s="175" t="s">
        <v>1045</v>
      </c>
      <c r="E36" s="175" t="s">
        <v>1046</v>
      </c>
      <c r="F36" s="175" t="s">
        <v>1047</v>
      </c>
      <c r="G36" s="175" t="s">
        <v>1048</v>
      </c>
      <c r="H36" s="175" t="s">
        <v>1049</v>
      </c>
      <c r="I36" s="175" t="s">
        <v>1050</v>
      </c>
    </row>
    <row r="37" ht="15.75" customHeight="1">
      <c r="A37" s="172" t="s">
        <v>1088</v>
      </c>
      <c r="B37" s="173" t="s">
        <v>1043</v>
      </c>
      <c r="C37" s="173" t="s">
        <v>1044</v>
      </c>
      <c r="D37" s="173" t="s">
        <v>1045</v>
      </c>
      <c r="E37" s="173" t="s">
        <v>1046</v>
      </c>
      <c r="F37" s="173" t="s">
        <v>1047</v>
      </c>
      <c r="G37" s="173" t="s">
        <v>1048</v>
      </c>
      <c r="H37" s="173" t="s">
        <v>1049</v>
      </c>
      <c r="I37" s="173" t="s">
        <v>1050</v>
      </c>
    </row>
    <row r="38" ht="15.75" customHeight="1">
      <c r="A38" s="174" t="s">
        <v>1089</v>
      </c>
      <c r="B38" s="175" t="s">
        <v>1043</v>
      </c>
      <c r="C38" s="175" t="s">
        <v>1044</v>
      </c>
      <c r="D38" s="175" t="s">
        <v>1045</v>
      </c>
      <c r="E38" s="175" t="s">
        <v>1046</v>
      </c>
      <c r="F38" s="175" t="s">
        <v>1047</v>
      </c>
      <c r="G38" s="175" t="s">
        <v>1048</v>
      </c>
      <c r="H38" s="175" t="s">
        <v>1049</v>
      </c>
      <c r="I38" s="175" t="s">
        <v>1061</v>
      </c>
    </row>
    <row r="39" ht="15.75" customHeight="1">
      <c r="A39" s="172" t="s">
        <v>1090</v>
      </c>
      <c r="B39" s="173" t="s">
        <v>1043</v>
      </c>
      <c r="C39" s="173" t="s">
        <v>1044</v>
      </c>
      <c r="D39" s="173" t="s">
        <v>1045</v>
      </c>
      <c r="E39" s="173" t="s">
        <v>1046</v>
      </c>
      <c r="F39" s="173" t="s">
        <v>1047</v>
      </c>
      <c r="G39" s="173" t="s">
        <v>1048</v>
      </c>
      <c r="H39" s="173" t="s">
        <v>1049</v>
      </c>
      <c r="I39" s="173" t="s">
        <v>1060</v>
      </c>
    </row>
    <row r="40" ht="15.75" customHeight="1">
      <c r="A40" s="174" t="s">
        <v>1091</v>
      </c>
      <c r="B40" s="175" t="s">
        <v>1043</v>
      </c>
      <c r="C40" s="175" t="s">
        <v>1044</v>
      </c>
      <c r="D40" s="175" t="s">
        <v>1045</v>
      </c>
      <c r="E40" s="175" t="s">
        <v>1046</v>
      </c>
      <c r="F40" s="175" t="s">
        <v>1047</v>
      </c>
      <c r="G40" s="175" t="s">
        <v>1048</v>
      </c>
      <c r="H40" s="175" t="s">
        <v>1049</v>
      </c>
      <c r="I40" s="175" t="s">
        <v>1065</v>
      </c>
    </row>
    <row r="41" ht="15.75" customHeight="1">
      <c r="A41" s="172" t="s">
        <v>1092</v>
      </c>
      <c r="B41" s="173" t="s">
        <v>1043</v>
      </c>
      <c r="C41" s="173" t="s">
        <v>1044</v>
      </c>
      <c r="D41" s="173" t="s">
        <v>1045</v>
      </c>
      <c r="E41" s="173" t="s">
        <v>1046</v>
      </c>
      <c r="F41" s="173" t="s">
        <v>1047</v>
      </c>
      <c r="G41" s="173" t="s">
        <v>1048</v>
      </c>
      <c r="H41" s="173" t="s">
        <v>1049</v>
      </c>
      <c r="I41" s="173" t="s">
        <v>1067</v>
      </c>
    </row>
    <row r="42" ht="15.75" customHeight="1">
      <c r="A42" s="174" t="s">
        <v>1093</v>
      </c>
      <c r="B42" s="175" t="s">
        <v>1046</v>
      </c>
      <c r="C42" s="175" t="s">
        <v>1044</v>
      </c>
      <c r="D42" s="175" t="s">
        <v>1045</v>
      </c>
      <c r="E42" s="175" t="s">
        <v>1049</v>
      </c>
      <c r="F42" s="175" t="s">
        <v>1047</v>
      </c>
      <c r="G42" s="175" t="s">
        <v>1048</v>
      </c>
      <c r="H42" s="175" t="s">
        <v>1061</v>
      </c>
      <c r="I42" s="175" t="s">
        <v>1060</v>
      </c>
    </row>
    <row r="43" ht="15.75" customHeight="1">
      <c r="A43" s="172" t="s">
        <v>1094</v>
      </c>
      <c r="B43" s="173" t="s">
        <v>1046</v>
      </c>
      <c r="C43" s="173" t="s">
        <v>1044</v>
      </c>
      <c r="D43" s="173" t="s">
        <v>1045</v>
      </c>
      <c r="E43" s="173" t="s">
        <v>1049</v>
      </c>
      <c r="F43" s="173" t="s">
        <v>1047</v>
      </c>
      <c r="G43" s="173" t="s">
        <v>1048</v>
      </c>
      <c r="H43" s="173" t="s">
        <v>1061</v>
      </c>
      <c r="I43" s="173" t="s">
        <v>1065</v>
      </c>
    </row>
    <row r="44" ht="15.75" customHeight="1">
      <c r="A44" s="174" t="s">
        <v>1095</v>
      </c>
      <c r="B44" s="175" t="s">
        <v>1046</v>
      </c>
      <c r="C44" s="175" t="s">
        <v>1044</v>
      </c>
      <c r="D44" s="175" t="s">
        <v>1045</v>
      </c>
      <c r="E44" s="175" t="s">
        <v>1049</v>
      </c>
      <c r="F44" s="175" t="s">
        <v>1047</v>
      </c>
      <c r="G44" s="175" t="s">
        <v>1048</v>
      </c>
      <c r="H44" s="175" t="s">
        <v>1067</v>
      </c>
      <c r="I44" s="175" t="s">
        <v>1061</v>
      </c>
    </row>
    <row r="45" ht="15.75" customHeight="1">
      <c r="A45" s="172" t="s">
        <v>1096</v>
      </c>
      <c r="B45" s="173" t="s">
        <v>1046</v>
      </c>
      <c r="C45" s="173" t="s">
        <v>1044</v>
      </c>
      <c r="D45" s="173" t="s">
        <v>1045</v>
      </c>
      <c r="E45" s="173" t="s">
        <v>1049</v>
      </c>
      <c r="F45" s="173" t="s">
        <v>1047</v>
      </c>
      <c r="G45" s="173" t="s">
        <v>1048</v>
      </c>
      <c r="H45" s="173" t="s">
        <v>1060</v>
      </c>
      <c r="I45" s="173" t="s">
        <v>1065</v>
      </c>
    </row>
    <row r="46" ht="15.75" customHeight="1">
      <c r="A46" s="174" t="s">
        <v>1097</v>
      </c>
      <c r="B46" s="175" t="s">
        <v>1046</v>
      </c>
      <c r="C46" s="175" t="s">
        <v>1044</v>
      </c>
      <c r="D46" s="175" t="s">
        <v>1045</v>
      </c>
      <c r="E46" s="175" t="s">
        <v>1049</v>
      </c>
      <c r="F46" s="175" t="s">
        <v>1047</v>
      </c>
      <c r="G46" s="175" t="s">
        <v>1048</v>
      </c>
      <c r="H46" s="175" t="s">
        <v>1067</v>
      </c>
      <c r="I46" s="175" t="s">
        <v>1060</v>
      </c>
    </row>
    <row r="47" ht="15.75" customHeight="1">
      <c r="A47" s="172" t="s">
        <v>1098</v>
      </c>
      <c r="B47" s="173" t="s">
        <v>1046</v>
      </c>
      <c r="C47" s="173" t="s">
        <v>1044</v>
      </c>
      <c r="D47" s="173" t="s">
        <v>1045</v>
      </c>
      <c r="E47" s="173" t="s">
        <v>1049</v>
      </c>
      <c r="F47" s="173" t="s">
        <v>1047</v>
      </c>
      <c r="G47" s="173" t="s">
        <v>1048</v>
      </c>
      <c r="H47" s="173" t="s">
        <v>1067</v>
      </c>
      <c r="I47" s="173" t="s">
        <v>1065</v>
      </c>
    </row>
    <row r="48" ht="15.75" customHeight="1">
      <c r="A48" s="174" t="s">
        <v>1099</v>
      </c>
      <c r="B48" s="175" t="s">
        <v>1043</v>
      </c>
      <c r="C48" s="175" t="s">
        <v>1060</v>
      </c>
      <c r="D48" s="175" t="s">
        <v>1045</v>
      </c>
      <c r="E48" s="175" t="s">
        <v>1046</v>
      </c>
      <c r="F48" s="175" t="s">
        <v>1047</v>
      </c>
      <c r="G48" s="175" t="s">
        <v>1048</v>
      </c>
      <c r="H48" s="175" t="s">
        <v>1049</v>
      </c>
      <c r="I48" s="175" t="s">
        <v>1061</v>
      </c>
    </row>
    <row r="49" ht="15.75" customHeight="1">
      <c r="A49" s="172" t="s">
        <v>1100</v>
      </c>
      <c r="B49" s="173" t="s">
        <v>1043</v>
      </c>
      <c r="C49" s="173" t="s">
        <v>1048</v>
      </c>
      <c r="D49" s="173" t="s">
        <v>1045</v>
      </c>
      <c r="E49" s="173" t="s">
        <v>1046</v>
      </c>
      <c r="F49" s="173" t="s">
        <v>1047</v>
      </c>
      <c r="G49" s="173" t="s">
        <v>1049</v>
      </c>
      <c r="H49" s="173" t="s">
        <v>1061</v>
      </c>
      <c r="I49" s="173" t="s">
        <v>1065</v>
      </c>
    </row>
    <row r="50" ht="15.75" customHeight="1">
      <c r="A50" s="174" t="s">
        <v>1101</v>
      </c>
      <c r="B50" s="175" t="s">
        <v>1043</v>
      </c>
      <c r="C50" s="175" t="s">
        <v>1048</v>
      </c>
      <c r="D50" s="175" t="s">
        <v>1045</v>
      </c>
      <c r="E50" s="175" t="s">
        <v>1046</v>
      </c>
      <c r="F50" s="175" t="s">
        <v>1047</v>
      </c>
      <c r="G50" s="175" t="s">
        <v>1049</v>
      </c>
      <c r="H50" s="175" t="s">
        <v>1067</v>
      </c>
      <c r="I50" s="175" t="s">
        <v>1061</v>
      </c>
    </row>
    <row r="51" ht="15.75" customHeight="1">
      <c r="A51" s="172" t="s">
        <v>1102</v>
      </c>
      <c r="B51" s="173" t="s">
        <v>1043</v>
      </c>
      <c r="C51" s="173" t="s">
        <v>1060</v>
      </c>
      <c r="D51" s="173" t="s">
        <v>1045</v>
      </c>
      <c r="E51" s="173" t="s">
        <v>1046</v>
      </c>
      <c r="F51" s="173" t="s">
        <v>1047</v>
      </c>
      <c r="G51" s="173" t="s">
        <v>1048</v>
      </c>
      <c r="H51" s="173" t="s">
        <v>1049</v>
      </c>
      <c r="I51" s="173" t="s">
        <v>1065</v>
      </c>
    </row>
    <row r="52" ht="15.75" customHeight="1">
      <c r="A52" s="174" t="s">
        <v>1103</v>
      </c>
      <c r="B52" s="175" t="s">
        <v>1043</v>
      </c>
      <c r="C52" s="175" t="s">
        <v>1060</v>
      </c>
      <c r="D52" s="175" t="s">
        <v>1045</v>
      </c>
      <c r="E52" s="175" t="s">
        <v>1046</v>
      </c>
      <c r="F52" s="175" t="s">
        <v>1047</v>
      </c>
      <c r="G52" s="175" t="s">
        <v>1049</v>
      </c>
      <c r="H52" s="175" t="s">
        <v>1067</v>
      </c>
      <c r="I52" s="175" t="s">
        <v>1048</v>
      </c>
    </row>
    <row r="53" ht="15.75" customHeight="1">
      <c r="A53" s="172" t="s">
        <v>1104</v>
      </c>
      <c r="B53" s="173" t="s">
        <v>1043</v>
      </c>
      <c r="C53" s="173" t="s">
        <v>1048</v>
      </c>
      <c r="D53" s="173" t="s">
        <v>1045</v>
      </c>
      <c r="E53" s="173" t="s">
        <v>1046</v>
      </c>
      <c r="F53" s="173" t="s">
        <v>1047</v>
      </c>
      <c r="G53" s="173" t="s">
        <v>1049</v>
      </c>
      <c r="H53" s="173" t="s">
        <v>1067</v>
      </c>
      <c r="I53" s="173" t="s">
        <v>1065</v>
      </c>
    </row>
    <row r="54" ht="15.75" customHeight="1">
      <c r="A54" s="174" t="s">
        <v>1105</v>
      </c>
      <c r="B54" s="175" t="s">
        <v>1046</v>
      </c>
      <c r="C54" s="175" t="s">
        <v>1060</v>
      </c>
      <c r="D54" s="175" t="s">
        <v>1045</v>
      </c>
      <c r="E54" s="175" t="s">
        <v>1049</v>
      </c>
      <c r="F54" s="175" t="s">
        <v>1047</v>
      </c>
      <c r="G54" s="175" t="s">
        <v>1048</v>
      </c>
      <c r="H54" s="175" t="s">
        <v>1061</v>
      </c>
      <c r="I54" s="175" t="s">
        <v>1065</v>
      </c>
    </row>
    <row r="55" ht="15.75" customHeight="1">
      <c r="A55" s="172" t="s">
        <v>1106</v>
      </c>
      <c r="B55" s="173" t="s">
        <v>1046</v>
      </c>
      <c r="C55" s="173" t="s">
        <v>1060</v>
      </c>
      <c r="D55" s="173" t="s">
        <v>1045</v>
      </c>
      <c r="E55" s="173" t="s">
        <v>1049</v>
      </c>
      <c r="F55" s="173" t="s">
        <v>1047</v>
      </c>
      <c r="G55" s="173" t="s">
        <v>1048</v>
      </c>
      <c r="H55" s="173" t="s">
        <v>1067</v>
      </c>
      <c r="I55" s="173" t="s">
        <v>1061</v>
      </c>
    </row>
    <row r="56" ht="15.75" customHeight="1">
      <c r="A56" s="174" t="s">
        <v>1107</v>
      </c>
      <c r="B56" s="175" t="s">
        <v>1046</v>
      </c>
      <c r="C56" s="175" t="s">
        <v>1061</v>
      </c>
      <c r="D56" s="175" t="s">
        <v>1045</v>
      </c>
      <c r="E56" s="175" t="s">
        <v>1049</v>
      </c>
      <c r="F56" s="175" t="s">
        <v>1047</v>
      </c>
      <c r="G56" s="175" t="s">
        <v>1048</v>
      </c>
      <c r="H56" s="175" t="s">
        <v>1067</v>
      </c>
      <c r="I56" s="175" t="s">
        <v>1065</v>
      </c>
    </row>
    <row r="57" ht="15.75" customHeight="1">
      <c r="A57" s="172" t="s">
        <v>1108</v>
      </c>
      <c r="B57" s="173" t="s">
        <v>1043</v>
      </c>
      <c r="C57" s="173" t="s">
        <v>1044</v>
      </c>
      <c r="D57" s="173" t="s">
        <v>1045</v>
      </c>
      <c r="E57" s="173" t="s">
        <v>1046</v>
      </c>
      <c r="F57" s="173" t="s">
        <v>1047</v>
      </c>
      <c r="G57" s="173" t="s">
        <v>1048</v>
      </c>
      <c r="H57" s="173" t="s">
        <v>1049</v>
      </c>
      <c r="I57" s="173" t="s">
        <v>1050</v>
      </c>
    </row>
    <row r="58" ht="15.75" customHeight="1">
      <c r="A58" s="174" t="s">
        <v>1109</v>
      </c>
      <c r="B58" s="175" t="s">
        <v>1043</v>
      </c>
      <c r="C58" s="175" t="s">
        <v>1044</v>
      </c>
      <c r="D58" s="175" t="s">
        <v>1045</v>
      </c>
      <c r="E58" s="175" t="s">
        <v>1046</v>
      </c>
      <c r="F58" s="175" t="s">
        <v>1047</v>
      </c>
      <c r="G58" s="175" t="s">
        <v>1049</v>
      </c>
      <c r="H58" s="175" t="s">
        <v>1061</v>
      </c>
      <c r="I58" s="175" t="s">
        <v>1060</v>
      </c>
    </row>
    <row r="59" ht="15.75" customHeight="1">
      <c r="A59" s="172" t="s">
        <v>1110</v>
      </c>
      <c r="B59" s="173" t="s">
        <v>1043</v>
      </c>
      <c r="C59" s="173" t="s">
        <v>1044</v>
      </c>
      <c r="D59" s="173" t="s">
        <v>1045</v>
      </c>
      <c r="E59" s="173" t="s">
        <v>1046</v>
      </c>
      <c r="F59" s="173" t="s">
        <v>1047</v>
      </c>
      <c r="G59" s="173" t="s">
        <v>1049</v>
      </c>
      <c r="H59" s="173" t="s">
        <v>1061</v>
      </c>
      <c r="I59" s="173" t="s">
        <v>1065</v>
      </c>
    </row>
    <row r="60" ht="15.75" customHeight="1">
      <c r="A60" s="174" t="s">
        <v>1111</v>
      </c>
      <c r="B60" s="175" t="s">
        <v>1043</v>
      </c>
      <c r="C60" s="175" t="s">
        <v>1044</v>
      </c>
      <c r="D60" s="175" t="s">
        <v>1045</v>
      </c>
      <c r="E60" s="175" t="s">
        <v>1046</v>
      </c>
      <c r="F60" s="175" t="s">
        <v>1047</v>
      </c>
      <c r="G60" s="175" t="s">
        <v>1049</v>
      </c>
      <c r="H60" s="175" t="s">
        <v>1067</v>
      </c>
      <c r="I60" s="175" t="s">
        <v>1061</v>
      </c>
    </row>
    <row r="61" ht="15.75" customHeight="1">
      <c r="A61" s="172" t="s">
        <v>1112</v>
      </c>
      <c r="B61" s="173" t="s">
        <v>1043</v>
      </c>
      <c r="C61" s="173" t="s">
        <v>1044</v>
      </c>
      <c r="D61" s="173" t="s">
        <v>1045</v>
      </c>
      <c r="E61" s="173" t="s">
        <v>1046</v>
      </c>
      <c r="F61" s="173" t="s">
        <v>1047</v>
      </c>
      <c r="G61" s="173" t="s">
        <v>1049</v>
      </c>
      <c r="H61" s="173" t="s">
        <v>1060</v>
      </c>
      <c r="I61" s="173" t="s">
        <v>1065</v>
      </c>
    </row>
    <row r="62" ht="15.75" customHeight="1">
      <c r="A62" s="174" t="s">
        <v>1113</v>
      </c>
      <c r="B62" s="175" t="s">
        <v>1043</v>
      </c>
      <c r="C62" s="175" t="s">
        <v>1044</v>
      </c>
      <c r="D62" s="175" t="s">
        <v>1045</v>
      </c>
      <c r="E62" s="175" t="s">
        <v>1046</v>
      </c>
      <c r="F62" s="175" t="s">
        <v>1047</v>
      </c>
      <c r="G62" s="175" t="s">
        <v>1049</v>
      </c>
      <c r="H62" s="175" t="s">
        <v>1067</v>
      </c>
      <c r="I62" s="175" t="s">
        <v>1060</v>
      </c>
    </row>
    <row r="63" ht="15.75" customHeight="1">
      <c r="A63" s="172" t="s">
        <v>1114</v>
      </c>
      <c r="B63" s="173" t="s">
        <v>1043</v>
      </c>
      <c r="C63" s="173" t="s">
        <v>1044</v>
      </c>
      <c r="D63" s="173" t="s">
        <v>1045</v>
      </c>
      <c r="E63" s="173" t="s">
        <v>1046</v>
      </c>
      <c r="F63" s="173" t="s">
        <v>1047</v>
      </c>
      <c r="G63" s="173" t="s">
        <v>1049</v>
      </c>
      <c r="H63" s="173" t="s">
        <v>1067</v>
      </c>
      <c r="I63" s="173" t="s">
        <v>1065</v>
      </c>
    </row>
    <row r="64" ht="15.75" customHeight="1">
      <c r="A64" s="174" t="s">
        <v>1115</v>
      </c>
      <c r="B64" s="175" t="s">
        <v>1043</v>
      </c>
      <c r="C64" s="175" t="s">
        <v>1044</v>
      </c>
      <c r="D64" s="175" t="s">
        <v>1045</v>
      </c>
      <c r="E64" s="175" t="s">
        <v>1046</v>
      </c>
      <c r="F64" s="175" t="s">
        <v>1047</v>
      </c>
      <c r="G64" s="175" t="s">
        <v>1048</v>
      </c>
      <c r="H64" s="175" t="s">
        <v>1049</v>
      </c>
      <c r="I64" s="175" t="s">
        <v>1050</v>
      </c>
    </row>
    <row r="65" ht="15.75" customHeight="1">
      <c r="A65" s="172" t="s">
        <v>1116</v>
      </c>
      <c r="B65" s="173" t="s">
        <v>1043</v>
      </c>
      <c r="C65" s="173" t="s">
        <v>1044</v>
      </c>
      <c r="D65" s="173" t="s">
        <v>1045</v>
      </c>
      <c r="E65" s="173" t="s">
        <v>1046</v>
      </c>
      <c r="F65" s="173" t="s">
        <v>1047</v>
      </c>
      <c r="G65" s="173" t="s">
        <v>1048</v>
      </c>
      <c r="H65" s="173" t="s">
        <v>1049</v>
      </c>
      <c r="I65" s="173" t="s">
        <v>1050</v>
      </c>
    </row>
    <row r="66" ht="15.75" customHeight="1">
      <c r="A66" s="174" t="s">
        <v>1117</v>
      </c>
      <c r="B66" s="175" t="s">
        <v>1061</v>
      </c>
      <c r="C66" s="175" t="s">
        <v>1044</v>
      </c>
      <c r="D66" s="175" t="s">
        <v>1045</v>
      </c>
      <c r="E66" s="175" t="s">
        <v>1046</v>
      </c>
      <c r="F66" s="175" t="s">
        <v>1047</v>
      </c>
      <c r="G66" s="175" t="s">
        <v>1049</v>
      </c>
      <c r="H66" s="175" t="s">
        <v>1067</v>
      </c>
      <c r="I66" s="175" t="s">
        <v>1065</v>
      </c>
    </row>
    <row r="67" ht="15.75" customHeight="1">
      <c r="A67" s="172" t="s">
        <v>1118</v>
      </c>
      <c r="B67" s="173" t="s">
        <v>1046</v>
      </c>
      <c r="C67" s="173" t="s">
        <v>1060</v>
      </c>
      <c r="D67" s="173" t="s">
        <v>1045</v>
      </c>
      <c r="E67" s="173" t="s">
        <v>1049</v>
      </c>
      <c r="F67" s="173" t="s">
        <v>1047</v>
      </c>
      <c r="G67" s="173" t="s">
        <v>1044</v>
      </c>
      <c r="H67" s="173" t="s">
        <v>1067</v>
      </c>
      <c r="I67" s="173" t="s">
        <v>1065</v>
      </c>
    </row>
    <row r="68" ht="15.75" customHeight="1">
      <c r="A68" s="174" t="s">
        <v>1119</v>
      </c>
      <c r="B68" s="175" t="s">
        <v>1043</v>
      </c>
      <c r="C68" s="175" t="s">
        <v>1060</v>
      </c>
      <c r="D68" s="175" t="s">
        <v>1045</v>
      </c>
      <c r="E68" s="175" t="s">
        <v>1046</v>
      </c>
      <c r="F68" s="175" t="s">
        <v>1047</v>
      </c>
      <c r="G68" s="175" t="s">
        <v>1049</v>
      </c>
      <c r="H68" s="175" t="s">
        <v>1061</v>
      </c>
      <c r="I68" s="175" t="s">
        <v>1065</v>
      </c>
    </row>
    <row r="69" ht="15.75" customHeight="1">
      <c r="A69" s="172" t="s">
        <v>1120</v>
      </c>
      <c r="B69" s="173" t="s">
        <v>1061</v>
      </c>
      <c r="C69" s="173" t="s">
        <v>1060</v>
      </c>
      <c r="D69" s="173" t="s">
        <v>1045</v>
      </c>
      <c r="E69" s="173" t="s">
        <v>1046</v>
      </c>
      <c r="F69" s="173" t="s">
        <v>1047</v>
      </c>
      <c r="G69" s="173" t="s">
        <v>1049</v>
      </c>
      <c r="H69" s="173" t="s">
        <v>1067</v>
      </c>
      <c r="I69" s="173" t="s">
        <v>1065</v>
      </c>
    </row>
    <row r="70" ht="15.75" customHeight="1">
      <c r="A70" s="174" t="s">
        <v>1121</v>
      </c>
      <c r="B70" s="175" t="s">
        <v>1043</v>
      </c>
      <c r="C70" s="175" t="s">
        <v>1061</v>
      </c>
      <c r="D70" s="175" t="s">
        <v>1045</v>
      </c>
      <c r="E70" s="175" t="s">
        <v>1046</v>
      </c>
      <c r="F70" s="175" t="s">
        <v>1047</v>
      </c>
      <c r="G70" s="175" t="s">
        <v>1049</v>
      </c>
      <c r="H70" s="175" t="s">
        <v>1067</v>
      </c>
      <c r="I70" s="175" t="s">
        <v>1065</v>
      </c>
    </row>
    <row r="71" ht="15.75" customHeight="1">
      <c r="A71" s="172" t="s">
        <v>1122</v>
      </c>
      <c r="B71" s="173" t="s">
        <v>1043</v>
      </c>
      <c r="C71" s="173" t="s">
        <v>1060</v>
      </c>
      <c r="D71" s="173" t="s">
        <v>1045</v>
      </c>
      <c r="E71" s="173" t="s">
        <v>1046</v>
      </c>
      <c r="F71" s="173" t="s">
        <v>1047</v>
      </c>
      <c r="G71" s="173" t="s">
        <v>1049</v>
      </c>
      <c r="H71" s="173" t="s">
        <v>1067</v>
      </c>
      <c r="I71" s="173" t="s">
        <v>1065</v>
      </c>
    </row>
    <row r="72" ht="15.75" customHeight="1">
      <c r="A72" s="174" t="s">
        <v>1123</v>
      </c>
      <c r="B72" s="175" t="s">
        <v>1043</v>
      </c>
      <c r="C72" s="175" t="s">
        <v>1044</v>
      </c>
      <c r="D72" s="175" t="s">
        <v>1045</v>
      </c>
      <c r="E72" s="175" t="s">
        <v>1046</v>
      </c>
      <c r="F72" s="175" t="s">
        <v>1047</v>
      </c>
      <c r="G72" s="175" t="s">
        <v>1048</v>
      </c>
      <c r="H72" s="175" t="s">
        <v>1049</v>
      </c>
      <c r="I72" s="175" t="s">
        <v>1050</v>
      </c>
    </row>
    <row r="73" ht="15.75" customHeight="1">
      <c r="A73" s="172" t="s">
        <v>1124</v>
      </c>
      <c r="B73" s="173" t="s">
        <v>1043</v>
      </c>
      <c r="C73" s="173" t="s">
        <v>1044</v>
      </c>
      <c r="D73" s="173" t="s">
        <v>1045</v>
      </c>
      <c r="E73" s="173" t="s">
        <v>1046</v>
      </c>
      <c r="F73" s="173" t="s">
        <v>1047</v>
      </c>
      <c r="G73" s="173" t="s">
        <v>1048</v>
      </c>
      <c r="H73" s="173" t="s">
        <v>1050</v>
      </c>
      <c r="I73" s="173" t="s">
        <v>1061</v>
      </c>
    </row>
    <row r="74" ht="15.75" customHeight="1">
      <c r="A74" s="174" t="s">
        <v>1125</v>
      </c>
      <c r="B74" s="175" t="s">
        <v>1043</v>
      </c>
      <c r="C74" s="175" t="s">
        <v>1044</v>
      </c>
      <c r="D74" s="175" t="s">
        <v>1045</v>
      </c>
      <c r="E74" s="175" t="s">
        <v>1046</v>
      </c>
      <c r="F74" s="175" t="s">
        <v>1047</v>
      </c>
      <c r="G74" s="175" t="s">
        <v>1048</v>
      </c>
      <c r="H74" s="175" t="s">
        <v>1050</v>
      </c>
      <c r="I74" s="175" t="s">
        <v>1060</v>
      </c>
    </row>
    <row r="75" ht="15.75" customHeight="1">
      <c r="A75" s="172" t="s">
        <v>1126</v>
      </c>
      <c r="B75" s="173" t="s">
        <v>1043</v>
      </c>
      <c r="C75" s="173" t="s">
        <v>1044</v>
      </c>
      <c r="D75" s="173" t="s">
        <v>1045</v>
      </c>
      <c r="E75" s="173" t="s">
        <v>1046</v>
      </c>
      <c r="F75" s="173" t="s">
        <v>1047</v>
      </c>
      <c r="G75" s="173" t="s">
        <v>1048</v>
      </c>
      <c r="H75" s="173" t="s">
        <v>1050</v>
      </c>
      <c r="I75" s="173" t="s">
        <v>1065</v>
      </c>
    </row>
    <row r="76" ht="15.75" customHeight="1">
      <c r="A76" s="174" t="s">
        <v>1127</v>
      </c>
      <c r="B76" s="175" t="s">
        <v>1043</v>
      </c>
      <c r="C76" s="175" t="s">
        <v>1044</v>
      </c>
      <c r="D76" s="175" t="s">
        <v>1045</v>
      </c>
      <c r="E76" s="175" t="s">
        <v>1046</v>
      </c>
      <c r="F76" s="175" t="s">
        <v>1047</v>
      </c>
      <c r="G76" s="175" t="s">
        <v>1048</v>
      </c>
      <c r="H76" s="175" t="s">
        <v>1067</v>
      </c>
      <c r="I76" s="175" t="s">
        <v>1050</v>
      </c>
    </row>
    <row r="77" ht="15.75" customHeight="1">
      <c r="A77" s="172" t="s">
        <v>1128</v>
      </c>
      <c r="B77" s="173" t="s">
        <v>1046</v>
      </c>
      <c r="C77" s="173" t="s">
        <v>1044</v>
      </c>
      <c r="D77" s="173" t="s">
        <v>1045</v>
      </c>
      <c r="E77" s="173" t="s">
        <v>1050</v>
      </c>
      <c r="F77" s="173" t="s">
        <v>1047</v>
      </c>
      <c r="G77" s="173" t="s">
        <v>1048</v>
      </c>
      <c r="H77" s="173" t="s">
        <v>1061</v>
      </c>
      <c r="I77" s="173" t="s">
        <v>1060</v>
      </c>
    </row>
    <row r="78" ht="15.75" customHeight="1">
      <c r="A78" s="174" t="s">
        <v>1129</v>
      </c>
      <c r="B78" s="175" t="s">
        <v>1046</v>
      </c>
      <c r="C78" s="175" t="s">
        <v>1044</v>
      </c>
      <c r="D78" s="175" t="s">
        <v>1045</v>
      </c>
      <c r="E78" s="175" t="s">
        <v>1050</v>
      </c>
      <c r="F78" s="175" t="s">
        <v>1047</v>
      </c>
      <c r="G78" s="175" t="s">
        <v>1048</v>
      </c>
      <c r="H78" s="175" t="s">
        <v>1061</v>
      </c>
      <c r="I78" s="175" t="s">
        <v>1065</v>
      </c>
    </row>
    <row r="79" ht="15.75" customHeight="1">
      <c r="A79" s="172" t="s">
        <v>1130</v>
      </c>
      <c r="B79" s="173" t="s">
        <v>1046</v>
      </c>
      <c r="C79" s="173" t="s">
        <v>1044</v>
      </c>
      <c r="D79" s="173" t="s">
        <v>1045</v>
      </c>
      <c r="E79" s="173" t="s">
        <v>1050</v>
      </c>
      <c r="F79" s="173" t="s">
        <v>1047</v>
      </c>
      <c r="G79" s="173" t="s">
        <v>1048</v>
      </c>
      <c r="H79" s="173" t="s">
        <v>1067</v>
      </c>
      <c r="I79" s="173" t="s">
        <v>1061</v>
      </c>
    </row>
    <row r="80" ht="15.75" customHeight="1">
      <c r="A80" s="174" t="s">
        <v>1131</v>
      </c>
      <c r="B80" s="175" t="s">
        <v>1046</v>
      </c>
      <c r="C80" s="175" t="s">
        <v>1044</v>
      </c>
      <c r="D80" s="175" t="s">
        <v>1045</v>
      </c>
      <c r="E80" s="175" t="s">
        <v>1050</v>
      </c>
      <c r="F80" s="175" t="s">
        <v>1047</v>
      </c>
      <c r="G80" s="175" t="s">
        <v>1048</v>
      </c>
      <c r="H80" s="175" t="s">
        <v>1060</v>
      </c>
      <c r="I80" s="175" t="s">
        <v>1065</v>
      </c>
    </row>
    <row r="81" ht="15.75" customHeight="1">
      <c r="A81" s="172" t="s">
        <v>1132</v>
      </c>
      <c r="B81" s="173" t="s">
        <v>1046</v>
      </c>
      <c r="C81" s="173" t="s">
        <v>1044</v>
      </c>
      <c r="D81" s="173" t="s">
        <v>1045</v>
      </c>
      <c r="E81" s="173" t="s">
        <v>1050</v>
      </c>
      <c r="F81" s="173" t="s">
        <v>1047</v>
      </c>
      <c r="G81" s="173" t="s">
        <v>1048</v>
      </c>
      <c r="H81" s="173" t="s">
        <v>1067</v>
      </c>
      <c r="I81" s="173" t="s">
        <v>1060</v>
      </c>
    </row>
    <row r="82" ht="15.75" customHeight="1">
      <c r="A82" s="174" t="s">
        <v>1133</v>
      </c>
      <c r="B82" s="175" t="s">
        <v>1046</v>
      </c>
      <c r="C82" s="175" t="s">
        <v>1044</v>
      </c>
      <c r="D82" s="175" t="s">
        <v>1045</v>
      </c>
      <c r="E82" s="175" t="s">
        <v>1050</v>
      </c>
      <c r="F82" s="175" t="s">
        <v>1047</v>
      </c>
      <c r="G82" s="175" t="s">
        <v>1048</v>
      </c>
      <c r="H82" s="175" t="s">
        <v>1067</v>
      </c>
      <c r="I82" s="175" t="s">
        <v>1065</v>
      </c>
    </row>
    <row r="83" ht="15.75" customHeight="1">
      <c r="A83" s="172" t="s">
        <v>1134</v>
      </c>
      <c r="B83" s="173" t="s">
        <v>1043</v>
      </c>
      <c r="C83" s="173" t="s">
        <v>1060</v>
      </c>
      <c r="D83" s="173" t="s">
        <v>1045</v>
      </c>
      <c r="E83" s="173" t="s">
        <v>1046</v>
      </c>
      <c r="F83" s="173" t="s">
        <v>1047</v>
      </c>
      <c r="G83" s="173" t="s">
        <v>1048</v>
      </c>
      <c r="H83" s="173" t="s">
        <v>1050</v>
      </c>
      <c r="I83" s="173" t="s">
        <v>1061</v>
      </c>
    </row>
    <row r="84" ht="15.75" customHeight="1">
      <c r="A84" s="174" t="s">
        <v>1135</v>
      </c>
      <c r="B84" s="175" t="s">
        <v>1043</v>
      </c>
      <c r="C84" s="175" t="s">
        <v>1050</v>
      </c>
      <c r="D84" s="175" t="s">
        <v>1045</v>
      </c>
      <c r="E84" s="175" t="s">
        <v>1046</v>
      </c>
      <c r="F84" s="175" t="s">
        <v>1047</v>
      </c>
      <c r="G84" s="175" t="s">
        <v>1048</v>
      </c>
      <c r="H84" s="175" t="s">
        <v>1061</v>
      </c>
      <c r="I84" s="175" t="s">
        <v>1065</v>
      </c>
    </row>
    <row r="85" ht="15.75" customHeight="1">
      <c r="A85" s="172" t="s">
        <v>1136</v>
      </c>
      <c r="B85" s="173" t="s">
        <v>1043</v>
      </c>
      <c r="C85" s="173" t="s">
        <v>1050</v>
      </c>
      <c r="D85" s="173" t="s">
        <v>1045</v>
      </c>
      <c r="E85" s="173" t="s">
        <v>1046</v>
      </c>
      <c r="F85" s="173" t="s">
        <v>1047</v>
      </c>
      <c r="G85" s="173" t="s">
        <v>1048</v>
      </c>
      <c r="H85" s="173" t="s">
        <v>1067</v>
      </c>
      <c r="I85" s="173" t="s">
        <v>1061</v>
      </c>
    </row>
    <row r="86" ht="15.75" customHeight="1">
      <c r="A86" s="174" t="s">
        <v>1137</v>
      </c>
      <c r="B86" s="175" t="s">
        <v>1043</v>
      </c>
      <c r="C86" s="175" t="s">
        <v>1060</v>
      </c>
      <c r="D86" s="175" t="s">
        <v>1045</v>
      </c>
      <c r="E86" s="175" t="s">
        <v>1046</v>
      </c>
      <c r="F86" s="175" t="s">
        <v>1047</v>
      </c>
      <c r="G86" s="175" t="s">
        <v>1048</v>
      </c>
      <c r="H86" s="175" t="s">
        <v>1050</v>
      </c>
      <c r="I86" s="175" t="s">
        <v>1065</v>
      </c>
    </row>
    <row r="87" ht="15.75" customHeight="1">
      <c r="A87" s="172" t="s">
        <v>1138</v>
      </c>
      <c r="B87" s="173" t="s">
        <v>1043</v>
      </c>
      <c r="C87" s="173" t="s">
        <v>1060</v>
      </c>
      <c r="D87" s="173" t="s">
        <v>1045</v>
      </c>
      <c r="E87" s="173" t="s">
        <v>1046</v>
      </c>
      <c r="F87" s="173" t="s">
        <v>1047</v>
      </c>
      <c r="G87" s="173" t="s">
        <v>1048</v>
      </c>
      <c r="H87" s="173" t="s">
        <v>1067</v>
      </c>
      <c r="I87" s="173" t="s">
        <v>1050</v>
      </c>
    </row>
    <row r="88" ht="15.75" customHeight="1">
      <c r="A88" s="174" t="s">
        <v>1139</v>
      </c>
      <c r="B88" s="175" t="s">
        <v>1043</v>
      </c>
      <c r="C88" s="175" t="s">
        <v>1050</v>
      </c>
      <c r="D88" s="175" t="s">
        <v>1045</v>
      </c>
      <c r="E88" s="175" t="s">
        <v>1046</v>
      </c>
      <c r="F88" s="175" t="s">
        <v>1047</v>
      </c>
      <c r="G88" s="175" t="s">
        <v>1048</v>
      </c>
      <c r="H88" s="175" t="s">
        <v>1067</v>
      </c>
      <c r="I88" s="175" t="s">
        <v>1065</v>
      </c>
    </row>
    <row r="89" ht="15.75" customHeight="1">
      <c r="A89" s="172" t="s">
        <v>1140</v>
      </c>
      <c r="B89" s="173" t="s">
        <v>1046</v>
      </c>
      <c r="C89" s="173" t="s">
        <v>1060</v>
      </c>
      <c r="D89" s="173" t="s">
        <v>1045</v>
      </c>
      <c r="E89" s="173" t="s">
        <v>1050</v>
      </c>
      <c r="F89" s="173" t="s">
        <v>1047</v>
      </c>
      <c r="G89" s="173" t="s">
        <v>1048</v>
      </c>
      <c r="H89" s="173" t="s">
        <v>1061</v>
      </c>
      <c r="I89" s="173" t="s">
        <v>1065</v>
      </c>
    </row>
    <row r="90" ht="15.75" customHeight="1">
      <c r="A90" s="174" t="s">
        <v>1141</v>
      </c>
      <c r="B90" s="175" t="s">
        <v>1046</v>
      </c>
      <c r="C90" s="175" t="s">
        <v>1060</v>
      </c>
      <c r="D90" s="175" t="s">
        <v>1045</v>
      </c>
      <c r="E90" s="175" t="s">
        <v>1050</v>
      </c>
      <c r="F90" s="175" t="s">
        <v>1047</v>
      </c>
      <c r="G90" s="175" t="s">
        <v>1048</v>
      </c>
      <c r="H90" s="175" t="s">
        <v>1067</v>
      </c>
      <c r="I90" s="175" t="s">
        <v>1061</v>
      </c>
    </row>
    <row r="91" ht="15.75" customHeight="1">
      <c r="A91" s="172" t="s">
        <v>1142</v>
      </c>
      <c r="B91" s="173" t="s">
        <v>1043</v>
      </c>
      <c r="C91" s="173" t="s">
        <v>1044</v>
      </c>
      <c r="D91" s="173" t="s">
        <v>1045</v>
      </c>
      <c r="E91" s="173" t="s">
        <v>1046</v>
      </c>
      <c r="F91" s="173" t="s">
        <v>1047</v>
      </c>
      <c r="G91" s="173" t="s">
        <v>1048</v>
      </c>
      <c r="H91" s="173" t="s">
        <v>1049</v>
      </c>
      <c r="I91" s="173" t="s">
        <v>1050</v>
      </c>
    </row>
    <row r="92" ht="15.75" customHeight="1">
      <c r="A92" s="174" t="s">
        <v>1143</v>
      </c>
      <c r="B92" s="175" t="s">
        <v>1046</v>
      </c>
      <c r="C92" s="175" t="s">
        <v>1060</v>
      </c>
      <c r="D92" s="175" t="s">
        <v>1045</v>
      </c>
      <c r="E92" s="175" t="s">
        <v>1050</v>
      </c>
      <c r="F92" s="175" t="s">
        <v>1047</v>
      </c>
      <c r="G92" s="175" t="s">
        <v>1048</v>
      </c>
      <c r="H92" s="175" t="s">
        <v>1067</v>
      </c>
      <c r="I92" s="175" t="s">
        <v>1065</v>
      </c>
    </row>
    <row r="93" ht="15.75" customHeight="1">
      <c r="A93" s="172" t="s">
        <v>1144</v>
      </c>
      <c r="B93" s="173" t="s">
        <v>1043</v>
      </c>
      <c r="C93" s="173" t="s">
        <v>1060</v>
      </c>
      <c r="D93" s="173" t="s">
        <v>1045</v>
      </c>
      <c r="E93" s="173" t="s">
        <v>1046</v>
      </c>
      <c r="F93" s="173" t="s">
        <v>1047</v>
      </c>
      <c r="G93" s="173" t="s">
        <v>1044</v>
      </c>
      <c r="H93" s="173" t="s">
        <v>1050</v>
      </c>
      <c r="I93" s="173" t="s">
        <v>1061</v>
      </c>
    </row>
    <row r="94" ht="15.75" customHeight="1">
      <c r="A94" s="174" t="s">
        <v>1145</v>
      </c>
      <c r="B94" s="175" t="s">
        <v>1050</v>
      </c>
      <c r="C94" s="175" t="s">
        <v>1044</v>
      </c>
      <c r="D94" s="175" t="s">
        <v>1045</v>
      </c>
      <c r="E94" s="175" t="s">
        <v>1046</v>
      </c>
      <c r="F94" s="175" t="s">
        <v>1047</v>
      </c>
      <c r="G94" s="175" t="s">
        <v>1043</v>
      </c>
      <c r="H94" s="175" t="s">
        <v>1061</v>
      </c>
      <c r="I94" s="175" t="s">
        <v>1065</v>
      </c>
    </row>
    <row r="95" ht="15.75" customHeight="1">
      <c r="A95" s="172" t="s">
        <v>1146</v>
      </c>
      <c r="B95" s="173" t="s">
        <v>1050</v>
      </c>
      <c r="C95" s="173" t="s">
        <v>1044</v>
      </c>
      <c r="D95" s="173" t="s">
        <v>1045</v>
      </c>
      <c r="E95" s="173" t="s">
        <v>1046</v>
      </c>
      <c r="F95" s="173" t="s">
        <v>1047</v>
      </c>
      <c r="G95" s="173" t="s">
        <v>1043</v>
      </c>
      <c r="H95" s="173" t="s">
        <v>1067</v>
      </c>
      <c r="I95" s="173" t="s">
        <v>1061</v>
      </c>
    </row>
    <row r="96" ht="15.75" customHeight="1">
      <c r="A96" s="174" t="s">
        <v>1147</v>
      </c>
      <c r="B96" s="175" t="s">
        <v>1043</v>
      </c>
      <c r="C96" s="175" t="s">
        <v>1060</v>
      </c>
      <c r="D96" s="175" t="s">
        <v>1045</v>
      </c>
      <c r="E96" s="175" t="s">
        <v>1046</v>
      </c>
      <c r="F96" s="175" t="s">
        <v>1047</v>
      </c>
      <c r="G96" s="175" t="s">
        <v>1044</v>
      </c>
      <c r="H96" s="175" t="s">
        <v>1050</v>
      </c>
      <c r="I96" s="175" t="s">
        <v>1065</v>
      </c>
    </row>
    <row r="97" ht="15.75" customHeight="1">
      <c r="A97" s="172" t="s">
        <v>1148</v>
      </c>
      <c r="B97" s="173" t="s">
        <v>1043</v>
      </c>
      <c r="C97" s="173" t="s">
        <v>1060</v>
      </c>
      <c r="D97" s="173" t="s">
        <v>1045</v>
      </c>
      <c r="E97" s="173" t="s">
        <v>1046</v>
      </c>
      <c r="F97" s="173" t="s">
        <v>1047</v>
      </c>
      <c r="G97" s="173" t="s">
        <v>1044</v>
      </c>
      <c r="H97" s="173" t="s">
        <v>1067</v>
      </c>
      <c r="I97" s="173" t="s">
        <v>1050</v>
      </c>
    </row>
    <row r="98" ht="15.75" customHeight="1">
      <c r="A98" s="174" t="s">
        <v>1149</v>
      </c>
      <c r="B98" s="175" t="s">
        <v>1050</v>
      </c>
      <c r="C98" s="175" t="s">
        <v>1044</v>
      </c>
      <c r="D98" s="175" t="s">
        <v>1045</v>
      </c>
      <c r="E98" s="175" t="s">
        <v>1046</v>
      </c>
      <c r="F98" s="175" t="s">
        <v>1047</v>
      </c>
      <c r="G98" s="175" t="s">
        <v>1043</v>
      </c>
      <c r="H98" s="175" t="s">
        <v>1067</v>
      </c>
      <c r="I98" s="175" t="s">
        <v>1065</v>
      </c>
    </row>
    <row r="99" ht="15.75" customHeight="1">
      <c r="A99" s="172" t="s">
        <v>1150</v>
      </c>
      <c r="B99" s="173" t="s">
        <v>1050</v>
      </c>
      <c r="C99" s="173" t="s">
        <v>1060</v>
      </c>
      <c r="D99" s="173" t="s">
        <v>1045</v>
      </c>
      <c r="E99" s="173" t="s">
        <v>1046</v>
      </c>
      <c r="F99" s="173" t="s">
        <v>1047</v>
      </c>
      <c r="G99" s="173" t="s">
        <v>1044</v>
      </c>
      <c r="H99" s="173" t="s">
        <v>1061</v>
      </c>
      <c r="I99" s="173" t="s">
        <v>1065</v>
      </c>
    </row>
    <row r="100" ht="15.75" customHeight="1">
      <c r="A100" s="174" t="s">
        <v>1151</v>
      </c>
      <c r="B100" s="175" t="s">
        <v>1050</v>
      </c>
      <c r="C100" s="175" t="s">
        <v>1060</v>
      </c>
      <c r="D100" s="175" t="s">
        <v>1045</v>
      </c>
      <c r="E100" s="175" t="s">
        <v>1046</v>
      </c>
      <c r="F100" s="175" t="s">
        <v>1047</v>
      </c>
      <c r="G100" s="175" t="s">
        <v>1044</v>
      </c>
      <c r="H100" s="175" t="s">
        <v>1067</v>
      </c>
      <c r="I100" s="175" t="s">
        <v>1061</v>
      </c>
    </row>
    <row r="101" ht="15.75" customHeight="1">
      <c r="A101" s="172" t="s">
        <v>1152</v>
      </c>
      <c r="B101" s="173" t="s">
        <v>1050</v>
      </c>
      <c r="C101" s="173" t="s">
        <v>1044</v>
      </c>
      <c r="D101" s="173" t="s">
        <v>1045</v>
      </c>
      <c r="E101" s="173" t="s">
        <v>1046</v>
      </c>
      <c r="F101" s="173" t="s">
        <v>1047</v>
      </c>
      <c r="G101" s="173" t="s">
        <v>1043</v>
      </c>
      <c r="H101" s="173" t="s">
        <v>1067</v>
      </c>
      <c r="I101" s="173" t="s">
        <v>1065</v>
      </c>
    </row>
    <row r="102" ht="15.75" customHeight="1">
      <c r="A102" s="174" t="s">
        <v>1153</v>
      </c>
      <c r="B102" s="175" t="s">
        <v>1050</v>
      </c>
      <c r="C102" s="175" t="s">
        <v>1060</v>
      </c>
      <c r="D102" s="175" t="s">
        <v>1045</v>
      </c>
      <c r="E102" s="175" t="s">
        <v>1046</v>
      </c>
      <c r="F102" s="175" t="s">
        <v>1047</v>
      </c>
      <c r="G102" s="175" t="s">
        <v>1044</v>
      </c>
      <c r="H102" s="175" t="s">
        <v>1067</v>
      </c>
      <c r="I102" s="175" t="s">
        <v>1065</v>
      </c>
    </row>
    <row r="103" ht="15.75" customHeight="1">
      <c r="A103" s="172" t="s">
        <v>1154</v>
      </c>
      <c r="B103" s="173" t="s">
        <v>1043</v>
      </c>
      <c r="C103" s="173" t="s">
        <v>1060</v>
      </c>
      <c r="D103" s="173" t="s">
        <v>1045</v>
      </c>
      <c r="E103" s="173" t="s">
        <v>1046</v>
      </c>
      <c r="F103" s="173" t="s">
        <v>1047</v>
      </c>
      <c r="G103" s="173" t="s">
        <v>1050</v>
      </c>
      <c r="H103" s="173" t="s">
        <v>1061</v>
      </c>
      <c r="I103" s="173" t="s">
        <v>1065</v>
      </c>
    </row>
    <row r="104" ht="15.75" customHeight="1">
      <c r="A104" s="174" t="s">
        <v>1155</v>
      </c>
      <c r="B104" s="175" t="s">
        <v>1050</v>
      </c>
      <c r="C104" s="175" t="s">
        <v>1060</v>
      </c>
      <c r="D104" s="175" t="s">
        <v>1045</v>
      </c>
      <c r="E104" s="175" t="s">
        <v>1046</v>
      </c>
      <c r="F104" s="175" t="s">
        <v>1047</v>
      </c>
      <c r="G104" s="175" t="s">
        <v>1043</v>
      </c>
      <c r="H104" s="175" t="s">
        <v>1067</v>
      </c>
      <c r="I104" s="175" t="s">
        <v>1065</v>
      </c>
    </row>
    <row r="105" ht="15.75" customHeight="1">
      <c r="A105" s="172" t="s">
        <v>1156</v>
      </c>
      <c r="B105" s="173" t="s">
        <v>1043</v>
      </c>
      <c r="C105" s="173" t="s">
        <v>1061</v>
      </c>
      <c r="D105" s="173" t="s">
        <v>1045</v>
      </c>
      <c r="E105" s="173" t="s">
        <v>1046</v>
      </c>
      <c r="F105" s="173" t="s">
        <v>1047</v>
      </c>
      <c r="G105" s="173" t="s">
        <v>1050</v>
      </c>
      <c r="H105" s="173" t="s">
        <v>1067</v>
      </c>
      <c r="I105" s="173" t="s">
        <v>1065</v>
      </c>
    </row>
    <row r="106" ht="15.75" customHeight="1">
      <c r="A106" s="174" t="s">
        <v>1157</v>
      </c>
      <c r="B106" s="175" t="s">
        <v>1043</v>
      </c>
      <c r="C106" s="175" t="s">
        <v>1060</v>
      </c>
      <c r="D106" s="175" t="s">
        <v>1045</v>
      </c>
      <c r="E106" s="175" t="s">
        <v>1046</v>
      </c>
      <c r="F106" s="175" t="s">
        <v>1047</v>
      </c>
      <c r="G106" s="175" t="s">
        <v>1050</v>
      </c>
      <c r="H106" s="175" t="s">
        <v>1067</v>
      </c>
      <c r="I106" s="175" t="s">
        <v>1065</v>
      </c>
    </row>
    <row r="107" ht="15.75" customHeight="1">
      <c r="A107" s="172" t="s">
        <v>1158</v>
      </c>
      <c r="B107" s="173" t="s">
        <v>1043</v>
      </c>
      <c r="C107" s="173" t="s">
        <v>1044</v>
      </c>
      <c r="D107" s="173" t="s">
        <v>1045</v>
      </c>
      <c r="E107" s="173" t="s">
        <v>1046</v>
      </c>
      <c r="F107" s="173" t="s">
        <v>1047</v>
      </c>
      <c r="G107" s="173" t="s">
        <v>1048</v>
      </c>
      <c r="H107" s="173" t="s">
        <v>1049</v>
      </c>
      <c r="I107" s="173" t="s">
        <v>1050</v>
      </c>
    </row>
    <row r="108" ht="15.75" customHeight="1">
      <c r="A108" s="174" t="s">
        <v>1159</v>
      </c>
      <c r="B108" s="175" t="s">
        <v>1043</v>
      </c>
      <c r="C108" s="175" t="s">
        <v>1044</v>
      </c>
      <c r="D108" s="175" t="s">
        <v>1045</v>
      </c>
      <c r="E108" s="175" t="s">
        <v>1046</v>
      </c>
      <c r="F108" s="175" t="s">
        <v>1047</v>
      </c>
      <c r="G108" s="175" t="s">
        <v>1048</v>
      </c>
      <c r="H108" s="175" t="s">
        <v>1061</v>
      </c>
      <c r="I108" s="175" t="s">
        <v>1060</v>
      </c>
    </row>
    <row r="109" ht="15.75" customHeight="1">
      <c r="A109" s="172" t="s">
        <v>1160</v>
      </c>
      <c r="B109" s="173" t="s">
        <v>1043</v>
      </c>
      <c r="C109" s="173" t="s">
        <v>1044</v>
      </c>
      <c r="D109" s="173" t="s">
        <v>1045</v>
      </c>
      <c r="E109" s="173" t="s">
        <v>1046</v>
      </c>
      <c r="F109" s="173" t="s">
        <v>1047</v>
      </c>
      <c r="G109" s="173" t="s">
        <v>1048</v>
      </c>
      <c r="H109" s="173" t="s">
        <v>1061</v>
      </c>
      <c r="I109" s="173" t="s">
        <v>1065</v>
      </c>
    </row>
    <row r="110" ht="15.75" customHeight="1">
      <c r="A110" s="174" t="s">
        <v>1161</v>
      </c>
      <c r="B110" s="175" t="s">
        <v>1043</v>
      </c>
      <c r="C110" s="175" t="s">
        <v>1044</v>
      </c>
      <c r="D110" s="175" t="s">
        <v>1045</v>
      </c>
      <c r="E110" s="175" t="s">
        <v>1046</v>
      </c>
      <c r="F110" s="175" t="s">
        <v>1047</v>
      </c>
      <c r="G110" s="175" t="s">
        <v>1048</v>
      </c>
      <c r="H110" s="175" t="s">
        <v>1067</v>
      </c>
      <c r="I110" s="175" t="s">
        <v>1061</v>
      </c>
    </row>
    <row r="111" ht="15.75" customHeight="1">
      <c r="A111" s="172" t="s">
        <v>1162</v>
      </c>
      <c r="B111" s="173" t="s">
        <v>1043</v>
      </c>
      <c r="C111" s="173" t="s">
        <v>1044</v>
      </c>
      <c r="D111" s="173" t="s">
        <v>1045</v>
      </c>
      <c r="E111" s="173" t="s">
        <v>1046</v>
      </c>
      <c r="F111" s="173" t="s">
        <v>1047</v>
      </c>
      <c r="G111" s="173" t="s">
        <v>1048</v>
      </c>
      <c r="H111" s="173" t="s">
        <v>1060</v>
      </c>
      <c r="I111" s="173" t="s">
        <v>1065</v>
      </c>
    </row>
    <row r="112" ht="15.75" customHeight="1">
      <c r="A112" s="174" t="s">
        <v>1163</v>
      </c>
      <c r="B112" s="175" t="s">
        <v>1043</v>
      </c>
      <c r="C112" s="175" t="s">
        <v>1044</v>
      </c>
      <c r="D112" s="175" t="s">
        <v>1045</v>
      </c>
      <c r="E112" s="175" t="s">
        <v>1046</v>
      </c>
      <c r="F112" s="175" t="s">
        <v>1047</v>
      </c>
      <c r="G112" s="175" t="s">
        <v>1048</v>
      </c>
      <c r="H112" s="175" t="s">
        <v>1067</v>
      </c>
      <c r="I112" s="175" t="s">
        <v>1060</v>
      </c>
    </row>
    <row r="113" ht="15.75" customHeight="1">
      <c r="A113" s="172" t="s">
        <v>1164</v>
      </c>
      <c r="B113" s="173" t="s">
        <v>1043</v>
      </c>
      <c r="C113" s="173" t="s">
        <v>1044</v>
      </c>
      <c r="D113" s="173" t="s">
        <v>1045</v>
      </c>
      <c r="E113" s="173" t="s">
        <v>1046</v>
      </c>
      <c r="F113" s="173" t="s">
        <v>1047</v>
      </c>
      <c r="G113" s="173" t="s">
        <v>1048</v>
      </c>
      <c r="H113" s="173" t="s">
        <v>1067</v>
      </c>
      <c r="I113" s="173" t="s">
        <v>1065</v>
      </c>
    </row>
    <row r="114" ht="15.75" customHeight="1">
      <c r="A114" s="174" t="s">
        <v>1165</v>
      </c>
      <c r="B114" s="175" t="s">
        <v>1046</v>
      </c>
      <c r="C114" s="175" t="s">
        <v>1060</v>
      </c>
      <c r="D114" s="175" t="s">
        <v>1045</v>
      </c>
      <c r="E114" s="175" t="s">
        <v>1048</v>
      </c>
      <c r="F114" s="175" t="s">
        <v>1047</v>
      </c>
      <c r="G114" s="175" t="s">
        <v>1044</v>
      </c>
      <c r="H114" s="175" t="s">
        <v>1061</v>
      </c>
      <c r="I114" s="175" t="s">
        <v>1065</v>
      </c>
    </row>
    <row r="115" ht="15.75" customHeight="1">
      <c r="A115" s="172" t="s">
        <v>1166</v>
      </c>
      <c r="B115" s="173" t="s">
        <v>1046</v>
      </c>
      <c r="C115" s="173" t="s">
        <v>1060</v>
      </c>
      <c r="D115" s="173" t="s">
        <v>1045</v>
      </c>
      <c r="E115" s="173" t="s">
        <v>1048</v>
      </c>
      <c r="F115" s="173" t="s">
        <v>1047</v>
      </c>
      <c r="G115" s="173" t="s">
        <v>1044</v>
      </c>
      <c r="H115" s="173" t="s">
        <v>1067</v>
      </c>
      <c r="I115" s="173" t="s">
        <v>1061</v>
      </c>
    </row>
    <row r="116" ht="15.75" customHeight="1">
      <c r="A116" s="174" t="s">
        <v>1167</v>
      </c>
      <c r="B116" s="175" t="s">
        <v>1061</v>
      </c>
      <c r="C116" s="175" t="s">
        <v>1044</v>
      </c>
      <c r="D116" s="175" t="s">
        <v>1045</v>
      </c>
      <c r="E116" s="175" t="s">
        <v>1046</v>
      </c>
      <c r="F116" s="175" t="s">
        <v>1047</v>
      </c>
      <c r="G116" s="175" t="s">
        <v>1048</v>
      </c>
      <c r="H116" s="175" t="s">
        <v>1067</v>
      </c>
      <c r="I116" s="175" t="s">
        <v>1065</v>
      </c>
    </row>
    <row r="117" ht="15.75" customHeight="1">
      <c r="A117" s="172" t="s">
        <v>1168</v>
      </c>
      <c r="B117" s="173" t="s">
        <v>1046</v>
      </c>
      <c r="C117" s="173" t="s">
        <v>1060</v>
      </c>
      <c r="D117" s="173" t="s">
        <v>1045</v>
      </c>
      <c r="E117" s="173" t="s">
        <v>1048</v>
      </c>
      <c r="F117" s="173" t="s">
        <v>1047</v>
      </c>
      <c r="G117" s="173" t="s">
        <v>1044</v>
      </c>
      <c r="H117" s="173" t="s">
        <v>1067</v>
      </c>
      <c r="I117" s="173" t="s">
        <v>1065</v>
      </c>
    </row>
    <row r="118" ht="15.75" customHeight="1">
      <c r="A118" s="174" t="s">
        <v>1169</v>
      </c>
      <c r="B118" s="175" t="s">
        <v>1043</v>
      </c>
      <c r="C118" s="175" t="s">
        <v>1060</v>
      </c>
      <c r="D118" s="175" t="s">
        <v>1045</v>
      </c>
      <c r="E118" s="175" t="s">
        <v>1046</v>
      </c>
      <c r="F118" s="175" t="s">
        <v>1047</v>
      </c>
      <c r="G118" s="175" t="s">
        <v>1048</v>
      </c>
      <c r="H118" s="175" t="s">
        <v>1061</v>
      </c>
      <c r="I118" s="175" t="s">
        <v>1065</v>
      </c>
    </row>
    <row r="119" ht="15.75" customHeight="1">
      <c r="A119" s="172" t="s">
        <v>1170</v>
      </c>
      <c r="B119" s="173" t="s">
        <v>1043</v>
      </c>
      <c r="C119" s="173" t="s">
        <v>1060</v>
      </c>
      <c r="D119" s="173" t="s">
        <v>1045</v>
      </c>
      <c r="E119" s="173" t="s">
        <v>1046</v>
      </c>
      <c r="F119" s="173" t="s">
        <v>1047</v>
      </c>
      <c r="G119" s="173" t="s">
        <v>1048</v>
      </c>
      <c r="H119" s="173" t="s">
        <v>1067</v>
      </c>
      <c r="I119" s="173" t="s">
        <v>1061</v>
      </c>
    </row>
    <row r="120" ht="15.75" customHeight="1">
      <c r="A120" s="174" t="s">
        <v>1171</v>
      </c>
      <c r="B120" s="175" t="s">
        <v>1043</v>
      </c>
      <c r="C120" s="175" t="s">
        <v>1061</v>
      </c>
      <c r="D120" s="175" t="s">
        <v>1045</v>
      </c>
      <c r="E120" s="175" t="s">
        <v>1046</v>
      </c>
      <c r="F120" s="175" t="s">
        <v>1047</v>
      </c>
      <c r="G120" s="175" t="s">
        <v>1048</v>
      </c>
      <c r="H120" s="175" t="s">
        <v>1067</v>
      </c>
      <c r="I120" s="175" t="s">
        <v>1065</v>
      </c>
    </row>
    <row r="121" ht="15.75" customHeight="1">
      <c r="A121" s="172" t="s">
        <v>1172</v>
      </c>
      <c r="B121" s="173" t="s">
        <v>1043</v>
      </c>
      <c r="C121" s="173" t="s">
        <v>1060</v>
      </c>
      <c r="D121" s="173" t="s">
        <v>1045</v>
      </c>
      <c r="E121" s="173" t="s">
        <v>1046</v>
      </c>
      <c r="F121" s="173" t="s">
        <v>1047</v>
      </c>
      <c r="G121" s="173" t="s">
        <v>1048</v>
      </c>
      <c r="H121" s="173" t="s">
        <v>1067</v>
      </c>
      <c r="I121" s="173" t="s">
        <v>1065</v>
      </c>
    </row>
    <row r="122" ht="15.75" customHeight="1">
      <c r="A122" s="174" t="s">
        <v>1173</v>
      </c>
      <c r="B122" s="175" t="s">
        <v>1061</v>
      </c>
      <c r="C122" s="175" t="s">
        <v>1060</v>
      </c>
      <c r="D122" s="175" t="s">
        <v>1045</v>
      </c>
      <c r="E122" s="175" t="s">
        <v>1046</v>
      </c>
      <c r="F122" s="175" t="s">
        <v>1047</v>
      </c>
      <c r="G122" s="175" t="s">
        <v>1048</v>
      </c>
      <c r="H122" s="175" t="s">
        <v>1067</v>
      </c>
      <c r="I122" s="175" t="s">
        <v>1065</v>
      </c>
    </row>
    <row r="123" ht="15.75" customHeight="1">
      <c r="A123" s="172" t="s">
        <v>1174</v>
      </c>
      <c r="B123" s="173" t="s">
        <v>1043</v>
      </c>
      <c r="C123" s="173" t="s">
        <v>1060</v>
      </c>
      <c r="D123" s="173" t="s">
        <v>1045</v>
      </c>
      <c r="E123" s="173" t="s">
        <v>1046</v>
      </c>
      <c r="F123" s="173" t="s">
        <v>1047</v>
      </c>
      <c r="G123" s="173" t="s">
        <v>1044</v>
      </c>
      <c r="H123" s="173" t="s">
        <v>1061</v>
      </c>
      <c r="I123" s="173" t="s">
        <v>1065</v>
      </c>
    </row>
    <row r="124" ht="15.75" customHeight="1">
      <c r="A124" s="174" t="s">
        <v>1175</v>
      </c>
      <c r="B124" s="175" t="s">
        <v>1061</v>
      </c>
      <c r="C124" s="175" t="s">
        <v>1060</v>
      </c>
      <c r="D124" s="175" t="s">
        <v>1045</v>
      </c>
      <c r="E124" s="175" t="s">
        <v>1046</v>
      </c>
      <c r="F124" s="175" t="s">
        <v>1047</v>
      </c>
      <c r="G124" s="175" t="s">
        <v>1044</v>
      </c>
      <c r="H124" s="175" t="s">
        <v>1067</v>
      </c>
      <c r="I124" s="175" t="s">
        <v>1065</v>
      </c>
    </row>
    <row r="125" ht="15.75" customHeight="1">
      <c r="A125" s="172" t="s">
        <v>1176</v>
      </c>
      <c r="B125" s="173" t="s">
        <v>1061</v>
      </c>
      <c r="C125" s="173" t="s">
        <v>1044</v>
      </c>
      <c r="D125" s="173" t="s">
        <v>1045</v>
      </c>
      <c r="E125" s="173" t="s">
        <v>1046</v>
      </c>
      <c r="F125" s="173" t="s">
        <v>1047</v>
      </c>
      <c r="G125" s="173" t="s">
        <v>1043</v>
      </c>
      <c r="H125" s="173" t="s">
        <v>1067</v>
      </c>
      <c r="I125" s="173" t="s">
        <v>1065</v>
      </c>
    </row>
    <row r="126" ht="15.75" customHeight="1">
      <c r="A126" s="174" t="s">
        <v>1177</v>
      </c>
      <c r="B126" s="175" t="s">
        <v>1043</v>
      </c>
      <c r="C126" s="175" t="s">
        <v>1060</v>
      </c>
      <c r="D126" s="175" t="s">
        <v>1045</v>
      </c>
      <c r="E126" s="175" t="s">
        <v>1046</v>
      </c>
      <c r="F126" s="175" t="s">
        <v>1047</v>
      </c>
      <c r="G126" s="175" t="s">
        <v>1044</v>
      </c>
      <c r="H126" s="175" t="s">
        <v>1067</v>
      </c>
      <c r="I126" s="175" t="s">
        <v>1065</v>
      </c>
    </row>
    <row r="127" ht="15.75" customHeight="1">
      <c r="A127" s="172" t="s">
        <v>1178</v>
      </c>
      <c r="B127" s="173" t="s">
        <v>1043</v>
      </c>
      <c r="C127" s="173" t="s">
        <v>1044</v>
      </c>
      <c r="D127" s="173" t="s">
        <v>1045</v>
      </c>
      <c r="E127" s="173" t="s">
        <v>1046</v>
      </c>
      <c r="F127" s="173" t="s">
        <v>1047</v>
      </c>
      <c r="G127" s="173" t="s">
        <v>1048</v>
      </c>
      <c r="H127" s="173" t="s">
        <v>1049</v>
      </c>
      <c r="I127" s="173" t="s">
        <v>1050</v>
      </c>
    </row>
    <row r="128" ht="15.75" customHeight="1">
      <c r="A128" s="174" t="s">
        <v>1179</v>
      </c>
      <c r="B128" s="175" t="s">
        <v>1061</v>
      </c>
      <c r="C128" s="175" t="s">
        <v>1060</v>
      </c>
      <c r="D128" s="175" t="s">
        <v>1045</v>
      </c>
      <c r="E128" s="175" t="s">
        <v>1046</v>
      </c>
      <c r="F128" s="175" t="s">
        <v>1047</v>
      </c>
      <c r="G128" s="175" t="s">
        <v>1043</v>
      </c>
      <c r="H128" s="175" t="s">
        <v>1067</v>
      </c>
      <c r="I128" s="175" t="s">
        <v>1065</v>
      </c>
    </row>
    <row r="129" ht="15.75" customHeight="1">
      <c r="A129" s="172" t="s">
        <v>1180</v>
      </c>
      <c r="B129" s="173" t="s">
        <v>1043</v>
      </c>
      <c r="C129" s="173" t="s">
        <v>1044</v>
      </c>
      <c r="D129" s="173" t="s">
        <v>1045</v>
      </c>
      <c r="E129" s="173" t="s">
        <v>1049</v>
      </c>
      <c r="F129" s="173" t="s">
        <v>1047</v>
      </c>
      <c r="G129" s="173" t="s">
        <v>1048</v>
      </c>
      <c r="H129" s="173" t="s">
        <v>1050</v>
      </c>
      <c r="I129" s="173" t="s">
        <v>1061</v>
      </c>
    </row>
    <row r="130" ht="15.75" customHeight="1">
      <c r="A130" s="174" t="s">
        <v>1181</v>
      </c>
      <c r="B130" s="175" t="s">
        <v>1043</v>
      </c>
      <c r="C130" s="175" t="s">
        <v>1044</v>
      </c>
      <c r="D130" s="175" t="s">
        <v>1045</v>
      </c>
      <c r="E130" s="175" t="s">
        <v>1049</v>
      </c>
      <c r="F130" s="175" t="s">
        <v>1047</v>
      </c>
      <c r="G130" s="175" t="s">
        <v>1048</v>
      </c>
      <c r="H130" s="175" t="s">
        <v>1050</v>
      </c>
      <c r="I130" s="175" t="s">
        <v>1060</v>
      </c>
    </row>
    <row r="131" ht="15.75" customHeight="1">
      <c r="A131" s="172" t="s">
        <v>1182</v>
      </c>
      <c r="B131" s="173" t="s">
        <v>1043</v>
      </c>
      <c r="C131" s="173" t="s">
        <v>1044</v>
      </c>
      <c r="D131" s="173" t="s">
        <v>1045</v>
      </c>
      <c r="E131" s="173" t="s">
        <v>1049</v>
      </c>
      <c r="F131" s="173" t="s">
        <v>1047</v>
      </c>
      <c r="G131" s="173" t="s">
        <v>1048</v>
      </c>
      <c r="H131" s="173" t="s">
        <v>1050</v>
      </c>
      <c r="I131" s="173" t="s">
        <v>1065</v>
      </c>
    </row>
    <row r="132" ht="15.75" customHeight="1">
      <c r="A132" s="174" t="s">
        <v>1183</v>
      </c>
      <c r="B132" s="175" t="s">
        <v>1043</v>
      </c>
      <c r="C132" s="175" t="s">
        <v>1044</v>
      </c>
      <c r="D132" s="175" t="s">
        <v>1045</v>
      </c>
      <c r="E132" s="175" t="s">
        <v>1049</v>
      </c>
      <c r="F132" s="175" t="s">
        <v>1047</v>
      </c>
      <c r="G132" s="175" t="s">
        <v>1048</v>
      </c>
      <c r="H132" s="175" t="s">
        <v>1067</v>
      </c>
      <c r="I132" s="175" t="s">
        <v>1050</v>
      </c>
    </row>
    <row r="133" ht="15.75" customHeight="1">
      <c r="A133" s="172" t="s">
        <v>1184</v>
      </c>
      <c r="B133" s="173" t="s">
        <v>1050</v>
      </c>
      <c r="C133" s="173" t="s">
        <v>1044</v>
      </c>
      <c r="D133" s="173" t="s">
        <v>1045</v>
      </c>
      <c r="E133" s="173" t="s">
        <v>1049</v>
      </c>
      <c r="F133" s="173" t="s">
        <v>1047</v>
      </c>
      <c r="G133" s="173" t="s">
        <v>1048</v>
      </c>
      <c r="H133" s="173" t="s">
        <v>1061</v>
      </c>
      <c r="I133" s="173" t="s">
        <v>1060</v>
      </c>
    </row>
    <row r="134" ht="15.75" customHeight="1">
      <c r="A134" s="174" t="s">
        <v>1185</v>
      </c>
      <c r="B134" s="175" t="s">
        <v>1050</v>
      </c>
      <c r="C134" s="175" t="s">
        <v>1044</v>
      </c>
      <c r="D134" s="175" t="s">
        <v>1045</v>
      </c>
      <c r="E134" s="175" t="s">
        <v>1049</v>
      </c>
      <c r="F134" s="175" t="s">
        <v>1047</v>
      </c>
      <c r="G134" s="175" t="s">
        <v>1048</v>
      </c>
      <c r="H134" s="175" t="s">
        <v>1061</v>
      </c>
      <c r="I134" s="175" t="s">
        <v>1065</v>
      </c>
    </row>
    <row r="135" ht="15.75" customHeight="1">
      <c r="A135" s="172" t="s">
        <v>1186</v>
      </c>
      <c r="B135" s="173" t="s">
        <v>1050</v>
      </c>
      <c r="C135" s="173" t="s">
        <v>1044</v>
      </c>
      <c r="D135" s="173" t="s">
        <v>1045</v>
      </c>
      <c r="E135" s="173" t="s">
        <v>1049</v>
      </c>
      <c r="F135" s="173" t="s">
        <v>1047</v>
      </c>
      <c r="G135" s="173" t="s">
        <v>1048</v>
      </c>
      <c r="H135" s="173" t="s">
        <v>1067</v>
      </c>
      <c r="I135" s="173" t="s">
        <v>1061</v>
      </c>
    </row>
    <row r="136" ht="15.75" customHeight="1">
      <c r="A136" s="174" t="s">
        <v>1187</v>
      </c>
      <c r="B136" s="175" t="s">
        <v>1050</v>
      </c>
      <c r="C136" s="175" t="s">
        <v>1044</v>
      </c>
      <c r="D136" s="175" t="s">
        <v>1045</v>
      </c>
      <c r="E136" s="175" t="s">
        <v>1049</v>
      </c>
      <c r="F136" s="175" t="s">
        <v>1047</v>
      </c>
      <c r="G136" s="175" t="s">
        <v>1048</v>
      </c>
      <c r="H136" s="175" t="s">
        <v>1060</v>
      </c>
      <c r="I136" s="175" t="s">
        <v>1065</v>
      </c>
    </row>
    <row r="137" ht="15.75" customHeight="1">
      <c r="A137" s="172" t="s">
        <v>1188</v>
      </c>
      <c r="B137" s="173" t="s">
        <v>1050</v>
      </c>
      <c r="C137" s="173" t="s">
        <v>1044</v>
      </c>
      <c r="D137" s="173" t="s">
        <v>1045</v>
      </c>
      <c r="E137" s="173" t="s">
        <v>1049</v>
      </c>
      <c r="F137" s="173" t="s">
        <v>1047</v>
      </c>
      <c r="G137" s="173" t="s">
        <v>1048</v>
      </c>
      <c r="H137" s="173" t="s">
        <v>1067</v>
      </c>
      <c r="I137" s="173" t="s">
        <v>1060</v>
      </c>
    </row>
    <row r="138" ht="15.75" customHeight="1">
      <c r="A138" s="174" t="s">
        <v>1189</v>
      </c>
      <c r="B138" s="175" t="s">
        <v>1050</v>
      </c>
      <c r="C138" s="175" t="s">
        <v>1044</v>
      </c>
      <c r="D138" s="175" t="s">
        <v>1045</v>
      </c>
      <c r="E138" s="175" t="s">
        <v>1049</v>
      </c>
      <c r="F138" s="175" t="s">
        <v>1047</v>
      </c>
      <c r="G138" s="175" t="s">
        <v>1048</v>
      </c>
      <c r="H138" s="175" t="s">
        <v>1067</v>
      </c>
      <c r="I138" s="175" t="s">
        <v>1065</v>
      </c>
    </row>
    <row r="139" ht="15.75" customHeight="1">
      <c r="A139" s="172" t="s">
        <v>1190</v>
      </c>
      <c r="B139" s="173" t="s">
        <v>1043</v>
      </c>
      <c r="C139" s="173" t="s">
        <v>1060</v>
      </c>
      <c r="D139" s="173" t="s">
        <v>1045</v>
      </c>
      <c r="E139" s="173" t="s">
        <v>1049</v>
      </c>
      <c r="F139" s="173" t="s">
        <v>1047</v>
      </c>
      <c r="G139" s="173" t="s">
        <v>1048</v>
      </c>
      <c r="H139" s="173" t="s">
        <v>1050</v>
      </c>
      <c r="I139" s="173" t="s">
        <v>1061</v>
      </c>
    </row>
    <row r="140" ht="15.75" customHeight="1">
      <c r="A140" s="174" t="s">
        <v>1191</v>
      </c>
      <c r="B140" s="175" t="s">
        <v>1043</v>
      </c>
      <c r="C140" s="175" t="s">
        <v>1050</v>
      </c>
      <c r="D140" s="175" t="s">
        <v>1045</v>
      </c>
      <c r="E140" s="175" t="s">
        <v>1049</v>
      </c>
      <c r="F140" s="175" t="s">
        <v>1047</v>
      </c>
      <c r="G140" s="175" t="s">
        <v>1048</v>
      </c>
      <c r="H140" s="175" t="s">
        <v>1061</v>
      </c>
      <c r="I140" s="175" t="s">
        <v>1065</v>
      </c>
    </row>
    <row r="141" ht="15.75" customHeight="1">
      <c r="A141" s="172" t="s">
        <v>1192</v>
      </c>
      <c r="B141" s="173" t="s">
        <v>1043</v>
      </c>
      <c r="C141" s="173" t="s">
        <v>1050</v>
      </c>
      <c r="D141" s="173" t="s">
        <v>1045</v>
      </c>
      <c r="E141" s="173" t="s">
        <v>1049</v>
      </c>
      <c r="F141" s="173" t="s">
        <v>1047</v>
      </c>
      <c r="G141" s="173" t="s">
        <v>1048</v>
      </c>
      <c r="H141" s="173" t="s">
        <v>1067</v>
      </c>
      <c r="I141" s="173" t="s">
        <v>1061</v>
      </c>
    </row>
    <row r="142" ht="15.75" customHeight="1">
      <c r="A142" s="174" t="s">
        <v>1193</v>
      </c>
      <c r="B142" s="175" t="s">
        <v>1043</v>
      </c>
      <c r="C142" s="175" t="s">
        <v>1060</v>
      </c>
      <c r="D142" s="175" t="s">
        <v>1045</v>
      </c>
      <c r="E142" s="175" t="s">
        <v>1049</v>
      </c>
      <c r="F142" s="175" t="s">
        <v>1047</v>
      </c>
      <c r="G142" s="175" t="s">
        <v>1048</v>
      </c>
      <c r="H142" s="175" t="s">
        <v>1050</v>
      </c>
      <c r="I142" s="175" t="s">
        <v>1065</v>
      </c>
    </row>
    <row r="143" ht="15.75" customHeight="1">
      <c r="A143" s="172" t="s">
        <v>1194</v>
      </c>
      <c r="B143" s="173" t="s">
        <v>1043</v>
      </c>
      <c r="C143" s="173" t="s">
        <v>1060</v>
      </c>
      <c r="D143" s="173" t="s">
        <v>1045</v>
      </c>
      <c r="E143" s="173" t="s">
        <v>1049</v>
      </c>
      <c r="F143" s="173" t="s">
        <v>1047</v>
      </c>
      <c r="G143" s="173" t="s">
        <v>1048</v>
      </c>
      <c r="H143" s="173" t="s">
        <v>1067</v>
      </c>
      <c r="I143" s="173" t="s">
        <v>1050</v>
      </c>
    </row>
    <row r="144" ht="15.75" customHeight="1">
      <c r="A144" s="174" t="s">
        <v>1195</v>
      </c>
      <c r="B144" s="175" t="s">
        <v>1043</v>
      </c>
      <c r="C144" s="175" t="s">
        <v>1050</v>
      </c>
      <c r="D144" s="175" t="s">
        <v>1045</v>
      </c>
      <c r="E144" s="175" t="s">
        <v>1049</v>
      </c>
      <c r="F144" s="175" t="s">
        <v>1047</v>
      </c>
      <c r="G144" s="175" t="s">
        <v>1048</v>
      </c>
      <c r="H144" s="175" t="s">
        <v>1067</v>
      </c>
      <c r="I144" s="175" t="s">
        <v>1065</v>
      </c>
    </row>
    <row r="145" ht="15.75" customHeight="1">
      <c r="A145" s="172" t="s">
        <v>1196</v>
      </c>
      <c r="B145" s="173" t="s">
        <v>1050</v>
      </c>
      <c r="C145" s="173" t="s">
        <v>1060</v>
      </c>
      <c r="D145" s="173" t="s">
        <v>1045</v>
      </c>
      <c r="E145" s="173" t="s">
        <v>1049</v>
      </c>
      <c r="F145" s="173" t="s">
        <v>1047</v>
      </c>
      <c r="G145" s="173" t="s">
        <v>1048</v>
      </c>
      <c r="H145" s="173" t="s">
        <v>1061</v>
      </c>
      <c r="I145" s="173" t="s">
        <v>1065</v>
      </c>
    </row>
    <row r="146" ht="15.75" customHeight="1">
      <c r="A146" s="174" t="s">
        <v>1197</v>
      </c>
      <c r="B146" s="175" t="s">
        <v>1050</v>
      </c>
      <c r="C146" s="175" t="s">
        <v>1060</v>
      </c>
      <c r="D146" s="175" t="s">
        <v>1045</v>
      </c>
      <c r="E146" s="175" t="s">
        <v>1049</v>
      </c>
      <c r="F146" s="175" t="s">
        <v>1047</v>
      </c>
      <c r="G146" s="175" t="s">
        <v>1048</v>
      </c>
      <c r="H146" s="175" t="s">
        <v>1067</v>
      </c>
      <c r="I146" s="175" t="s">
        <v>1061</v>
      </c>
    </row>
    <row r="147" ht="15.75" customHeight="1">
      <c r="A147" s="172" t="s">
        <v>1198</v>
      </c>
      <c r="B147" s="173" t="s">
        <v>1043</v>
      </c>
      <c r="C147" s="173" t="s">
        <v>1044</v>
      </c>
      <c r="D147" s="173" t="s">
        <v>1045</v>
      </c>
      <c r="E147" s="173" t="s">
        <v>1046</v>
      </c>
      <c r="F147" s="173" t="s">
        <v>1047</v>
      </c>
      <c r="G147" s="173" t="s">
        <v>1048</v>
      </c>
      <c r="H147" s="173" t="s">
        <v>1049</v>
      </c>
      <c r="I147" s="173" t="s">
        <v>1050</v>
      </c>
    </row>
    <row r="148" ht="15.75" customHeight="1">
      <c r="A148" s="174" t="s">
        <v>1199</v>
      </c>
      <c r="B148" s="175" t="s">
        <v>1050</v>
      </c>
      <c r="C148" s="175" t="s">
        <v>1060</v>
      </c>
      <c r="D148" s="175" t="s">
        <v>1045</v>
      </c>
      <c r="E148" s="175" t="s">
        <v>1049</v>
      </c>
      <c r="F148" s="175" t="s">
        <v>1047</v>
      </c>
      <c r="G148" s="175" t="s">
        <v>1048</v>
      </c>
      <c r="H148" s="175" t="s">
        <v>1067</v>
      </c>
      <c r="I148" s="175" t="s">
        <v>1065</v>
      </c>
    </row>
    <row r="149" ht="15.75" customHeight="1">
      <c r="A149" s="172" t="s">
        <v>1200</v>
      </c>
      <c r="B149" s="173" t="s">
        <v>1043</v>
      </c>
      <c r="C149" s="173" t="s">
        <v>1060</v>
      </c>
      <c r="D149" s="173" t="s">
        <v>1045</v>
      </c>
      <c r="E149" s="173" t="s">
        <v>1049</v>
      </c>
      <c r="F149" s="173" t="s">
        <v>1047</v>
      </c>
      <c r="G149" s="173" t="s">
        <v>1044</v>
      </c>
      <c r="H149" s="173" t="s">
        <v>1050</v>
      </c>
      <c r="I149" s="173" t="s">
        <v>1061</v>
      </c>
    </row>
    <row r="150" ht="15.75" customHeight="1">
      <c r="A150" s="174" t="s">
        <v>1201</v>
      </c>
      <c r="B150" s="175" t="s">
        <v>1050</v>
      </c>
      <c r="C150" s="175" t="s">
        <v>1044</v>
      </c>
      <c r="D150" s="175" t="s">
        <v>1045</v>
      </c>
      <c r="E150" s="175" t="s">
        <v>1049</v>
      </c>
      <c r="F150" s="175" t="s">
        <v>1047</v>
      </c>
      <c r="G150" s="175" t="s">
        <v>1043</v>
      </c>
      <c r="H150" s="175" t="s">
        <v>1061</v>
      </c>
      <c r="I150" s="175" t="s">
        <v>1065</v>
      </c>
    </row>
    <row r="151" ht="15.75" customHeight="1">
      <c r="A151" s="172" t="s">
        <v>1202</v>
      </c>
      <c r="B151" s="173" t="s">
        <v>1050</v>
      </c>
      <c r="C151" s="173" t="s">
        <v>1044</v>
      </c>
      <c r="D151" s="173" t="s">
        <v>1045</v>
      </c>
      <c r="E151" s="173" t="s">
        <v>1049</v>
      </c>
      <c r="F151" s="173" t="s">
        <v>1047</v>
      </c>
      <c r="G151" s="173" t="s">
        <v>1043</v>
      </c>
      <c r="H151" s="173" t="s">
        <v>1067</v>
      </c>
      <c r="I151" s="173" t="s">
        <v>1061</v>
      </c>
    </row>
    <row r="152" ht="15.75" customHeight="1">
      <c r="A152" s="174" t="s">
        <v>1203</v>
      </c>
      <c r="B152" s="175" t="s">
        <v>1043</v>
      </c>
      <c r="C152" s="175" t="s">
        <v>1060</v>
      </c>
      <c r="D152" s="175" t="s">
        <v>1045</v>
      </c>
      <c r="E152" s="175" t="s">
        <v>1049</v>
      </c>
      <c r="F152" s="175" t="s">
        <v>1047</v>
      </c>
      <c r="G152" s="175" t="s">
        <v>1044</v>
      </c>
      <c r="H152" s="175" t="s">
        <v>1050</v>
      </c>
      <c r="I152" s="175" t="s">
        <v>1065</v>
      </c>
    </row>
    <row r="153" ht="15.75" customHeight="1">
      <c r="A153" s="172" t="s">
        <v>1204</v>
      </c>
      <c r="B153" s="173" t="s">
        <v>1043</v>
      </c>
      <c r="C153" s="173" t="s">
        <v>1060</v>
      </c>
      <c r="D153" s="173" t="s">
        <v>1045</v>
      </c>
      <c r="E153" s="173" t="s">
        <v>1049</v>
      </c>
      <c r="F153" s="173" t="s">
        <v>1047</v>
      </c>
      <c r="G153" s="173" t="s">
        <v>1044</v>
      </c>
      <c r="H153" s="173" t="s">
        <v>1067</v>
      </c>
      <c r="I153" s="173" t="s">
        <v>1050</v>
      </c>
    </row>
    <row r="154" ht="15.75" customHeight="1">
      <c r="A154" s="174" t="s">
        <v>1205</v>
      </c>
      <c r="B154" s="175" t="s">
        <v>1050</v>
      </c>
      <c r="C154" s="175" t="s">
        <v>1044</v>
      </c>
      <c r="D154" s="175" t="s">
        <v>1045</v>
      </c>
      <c r="E154" s="175" t="s">
        <v>1049</v>
      </c>
      <c r="F154" s="175" t="s">
        <v>1047</v>
      </c>
      <c r="G154" s="175" t="s">
        <v>1043</v>
      </c>
      <c r="H154" s="175" t="s">
        <v>1067</v>
      </c>
      <c r="I154" s="175" t="s">
        <v>1065</v>
      </c>
    </row>
    <row r="155" ht="15.75" customHeight="1">
      <c r="A155" s="172" t="s">
        <v>1206</v>
      </c>
      <c r="B155" s="173" t="s">
        <v>1050</v>
      </c>
      <c r="C155" s="173" t="s">
        <v>1060</v>
      </c>
      <c r="D155" s="173" t="s">
        <v>1045</v>
      </c>
      <c r="E155" s="173" t="s">
        <v>1049</v>
      </c>
      <c r="F155" s="173" t="s">
        <v>1047</v>
      </c>
      <c r="G155" s="173" t="s">
        <v>1044</v>
      </c>
      <c r="H155" s="173" t="s">
        <v>1061</v>
      </c>
      <c r="I155" s="173" t="s">
        <v>1065</v>
      </c>
    </row>
    <row r="156" ht="15.75" customHeight="1">
      <c r="A156" s="174" t="s">
        <v>1207</v>
      </c>
      <c r="B156" s="175" t="s">
        <v>1050</v>
      </c>
      <c r="C156" s="175" t="s">
        <v>1060</v>
      </c>
      <c r="D156" s="175" t="s">
        <v>1045</v>
      </c>
      <c r="E156" s="175" t="s">
        <v>1049</v>
      </c>
      <c r="F156" s="175" t="s">
        <v>1047</v>
      </c>
      <c r="G156" s="175" t="s">
        <v>1044</v>
      </c>
      <c r="H156" s="175" t="s">
        <v>1067</v>
      </c>
      <c r="I156" s="175" t="s">
        <v>1061</v>
      </c>
    </row>
    <row r="157" ht="15.75" customHeight="1">
      <c r="A157" s="172" t="s">
        <v>1208</v>
      </c>
      <c r="B157" s="173" t="s">
        <v>1050</v>
      </c>
      <c r="C157" s="173" t="s">
        <v>1044</v>
      </c>
      <c r="D157" s="173" t="s">
        <v>1045</v>
      </c>
      <c r="E157" s="173" t="s">
        <v>1047</v>
      </c>
      <c r="F157" s="173" t="s">
        <v>1061</v>
      </c>
      <c r="G157" s="173" t="s">
        <v>1049</v>
      </c>
      <c r="H157" s="173" t="s">
        <v>1067</v>
      </c>
      <c r="I157" s="173" t="s">
        <v>1065</v>
      </c>
    </row>
    <row r="158" ht="15.75" customHeight="1">
      <c r="A158" s="174" t="s">
        <v>1209</v>
      </c>
      <c r="B158" s="175" t="s">
        <v>1050</v>
      </c>
      <c r="C158" s="175" t="s">
        <v>1060</v>
      </c>
      <c r="D158" s="175" t="s">
        <v>1045</v>
      </c>
      <c r="E158" s="175" t="s">
        <v>1049</v>
      </c>
      <c r="F158" s="175" t="s">
        <v>1047</v>
      </c>
      <c r="G158" s="175" t="s">
        <v>1044</v>
      </c>
      <c r="H158" s="175" t="s">
        <v>1067</v>
      </c>
      <c r="I158" s="175" t="s">
        <v>1065</v>
      </c>
    </row>
    <row r="159" ht="15.75" customHeight="1">
      <c r="A159" s="172" t="s">
        <v>1210</v>
      </c>
      <c r="B159" s="173" t="s">
        <v>1050</v>
      </c>
      <c r="C159" s="173" t="s">
        <v>1060</v>
      </c>
      <c r="D159" s="173" t="s">
        <v>1045</v>
      </c>
      <c r="E159" s="173" t="s">
        <v>1049</v>
      </c>
      <c r="F159" s="173" t="s">
        <v>1047</v>
      </c>
      <c r="G159" s="173" t="s">
        <v>1043</v>
      </c>
      <c r="H159" s="173" t="s">
        <v>1061</v>
      </c>
      <c r="I159" s="173" t="s">
        <v>1065</v>
      </c>
    </row>
    <row r="160" ht="15.75" customHeight="1">
      <c r="A160" s="174" t="s">
        <v>1211</v>
      </c>
      <c r="B160" s="175" t="s">
        <v>1050</v>
      </c>
      <c r="C160" s="175" t="s">
        <v>1060</v>
      </c>
      <c r="D160" s="175" t="s">
        <v>1045</v>
      </c>
      <c r="E160" s="175" t="s">
        <v>1047</v>
      </c>
      <c r="F160" s="175" t="s">
        <v>1061</v>
      </c>
      <c r="G160" s="175" t="s">
        <v>1049</v>
      </c>
      <c r="H160" s="175" t="s">
        <v>1067</v>
      </c>
      <c r="I160" s="175" t="s">
        <v>1065</v>
      </c>
    </row>
    <row r="161" ht="15.75" customHeight="1">
      <c r="A161" s="172" t="s">
        <v>1212</v>
      </c>
      <c r="B161" s="173" t="s">
        <v>1050</v>
      </c>
      <c r="C161" s="173" t="s">
        <v>1061</v>
      </c>
      <c r="D161" s="173" t="s">
        <v>1045</v>
      </c>
      <c r="E161" s="173" t="s">
        <v>1049</v>
      </c>
      <c r="F161" s="173" t="s">
        <v>1047</v>
      </c>
      <c r="G161" s="173" t="s">
        <v>1043</v>
      </c>
      <c r="H161" s="173" t="s">
        <v>1067</v>
      </c>
      <c r="I161" s="173" t="s">
        <v>1065</v>
      </c>
    </row>
    <row r="162" ht="15.75" customHeight="1">
      <c r="A162" s="174" t="s">
        <v>1213</v>
      </c>
      <c r="B162" s="175" t="s">
        <v>1050</v>
      </c>
      <c r="C162" s="175" t="s">
        <v>1060</v>
      </c>
      <c r="D162" s="175" t="s">
        <v>1045</v>
      </c>
      <c r="E162" s="175" t="s">
        <v>1049</v>
      </c>
      <c r="F162" s="175" t="s">
        <v>1047</v>
      </c>
      <c r="G162" s="175" t="s">
        <v>1043</v>
      </c>
      <c r="H162" s="175" t="s">
        <v>1067</v>
      </c>
      <c r="I162" s="175" t="s">
        <v>1065</v>
      </c>
    </row>
    <row r="163" ht="15.75" customHeight="1">
      <c r="A163" s="172" t="s">
        <v>1214</v>
      </c>
      <c r="B163" s="173" t="s">
        <v>1043</v>
      </c>
      <c r="C163" s="173" t="s">
        <v>1044</v>
      </c>
      <c r="D163" s="173" t="s">
        <v>1045</v>
      </c>
      <c r="E163" s="173" t="s">
        <v>1046</v>
      </c>
      <c r="F163" s="173" t="s">
        <v>1047</v>
      </c>
      <c r="G163" s="173" t="s">
        <v>1048</v>
      </c>
      <c r="H163" s="173" t="s">
        <v>1049</v>
      </c>
      <c r="I163" s="173" t="s">
        <v>1050</v>
      </c>
    </row>
    <row r="164" ht="15.75" customHeight="1">
      <c r="A164" s="174" t="s">
        <v>1215</v>
      </c>
      <c r="B164" s="175" t="s">
        <v>1043</v>
      </c>
      <c r="C164" s="175" t="s">
        <v>1044</v>
      </c>
      <c r="D164" s="175" t="s">
        <v>1045</v>
      </c>
      <c r="E164" s="175" t="s">
        <v>1049</v>
      </c>
      <c r="F164" s="175" t="s">
        <v>1047</v>
      </c>
      <c r="G164" s="175" t="s">
        <v>1048</v>
      </c>
      <c r="H164" s="175" t="s">
        <v>1061</v>
      </c>
      <c r="I164" s="175" t="s">
        <v>1060</v>
      </c>
    </row>
    <row r="165" ht="15.75" customHeight="1">
      <c r="A165" s="172" t="s">
        <v>1216</v>
      </c>
      <c r="B165" s="173" t="s">
        <v>1043</v>
      </c>
      <c r="C165" s="173" t="s">
        <v>1044</v>
      </c>
      <c r="D165" s="173" t="s">
        <v>1045</v>
      </c>
      <c r="E165" s="173" t="s">
        <v>1049</v>
      </c>
      <c r="F165" s="173" t="s">
        <v>1047</v>
      </c>
      <c r="G165" s="173" t="s">
        <v>1048</v>
      </c>
      <c r="H165" s="173" t="s">
        <v>1061</v>
      </c>
      <c r="I165" s="173" t="s">
        <v>1065</v>
      </c>
    </row>
    <row r="166" ht="15.75" customHeight="1">
      <c r="A166" s="174" t="s">
        <v>1217</v>
      </c>
      <c r="B166" s="175" t="s">
        <v>1043</v>
      </c>
      <c r="C166" s="175" t="s">
        <v>1044</v>
      </c>
      <c r="D166" s="175" t="s">
        <v>1045</v>
      </c>
      <c r="E166" s="175" t="s">
        <v>1049</v>
      </c>
      <c r="F166" s="175" t="s">
        <v>1047</v>
      </c>
      <c r="G166" s="175" t="s">
        <v>1048</v>
      </c>
      <c r="H166" s="175" t="s">
        <v>1067</v>
      </c>
      <c r="I166" s="175" t="s">
        <v>1061</v>
      </c>
    </row>
    <row r="167" ht="15.75" customHeight="1">
      <c r="A167" s="172" t="s">
        <v>1218</v>
      </c>
      <c r="B167" s="173" t="s">
        <v>1043</v>
      </c>
      <c r="C167" s="173" t="s">
        <v>1044</v>
      </c>
      <c r="D167" s="173" t="s">
        <v>1045</v>
      </c>
      <c r="E167" s="173" t="s">
        <v>1049</v>
      </c>
      <c r="F167" s="173" t="s">
        <v>1047</v>
      </c>
      <c r="G167" s="173" t="s">
        <v>1048</v>
      </c>
      <c r="H167" s="173" t="s">
        <v>1060</v>
      </c>
      <c r="I167" s="173" t="s">
        <v>1065</v>
      </c>
    </row>
    <row r="168" ht="15.75" customHeight="1">
      <c r="A168" s="174" t="s">
        <v>1219</v>
      </c>
      <c r="B168" s="175" t="s">
        <v>1043</v>
      </c>
      <c r="C168" s="175" t="s">
        <v>1044</v>
      </c>
      <c r="D168" s="175" t="s">
        <v>1045</v>
      </c>
      <c r="E168" s="175" t="s">
        <v>1049</v>
      </c>
      <c r="F168" s="175" t="s">
        <v>1047</v>
      </c>
      <c r="G168" s="175" t="s">
        <v>1048</v>
      </c>
      <c r="H168" s="175" t="s">
        <v>1067</v>
      </c>
      <c r="I168" s="175" t="s">
        <v>1060</v>
      </c>
    </row>
    <row r="169" ht="15.75" customHeight="1">
      <c r="A169" s="172" t="s">
        <v>1220</v>
      </c>
      <c r="B169" s="173" t="s">
        <v>1043</v>
      </c>
      <c r="C169" s="173" t="s">
        <v>1044</v>
      </c>
      <c r="D169" s="173" t="s">
        <v>1045</v>
      </c>
      <c r="E169" s="173" t="s">
        <v>1049</v>
      </c>
      <c r="F169" s="173" t="s">
        <v>1047</v>
      </c>
      <c r="G169" s="173" t="s">
        <v>1048</v>
      </c>
      <c r="H169" s="173" t="s">
        <v>1067</v>
      </c>
      <c r="I169" s="173" t="s">
        <v>1065</v>
      </c>
    </row>
    <row r="170" ht="15.75" customHeight="1">
      <c r="A170" s="174" t="s">
        <v>1221</v>
      </c>
      <c r="B170" s="175" t="s">
        <v>1048</v>
      </c>
      <c r="C170" s="175" t="s">
        <v>1060</v>
      </c>
      <c r="D170" s="175" t="s">
        <v>1045</v>
      </c>
      <c r="E170" s="175" t="s">
        <v>1049</v>
      </c>
      <c r="F170" s="175" t="s">
        <v>1047</v>
      </c>
      <c r="G170" s="175" t="s">
        <v>1044</v>
      </c>
      <c r="H170" s="175" t="s">
        <v>1061</v>
      </c>
      <c r="I170" s="175" t="s">
        <v>1065</v>
      </c>
    </row>
    <row r="171" ht="15.75" customHeight="1">
      <c r="A171" s="172" t="s">
        <v>1222</v>
      </c>
      <c r="B171" s="173" t="s">
        <v>1048</v>
      </c>
      <c r="C171" s="173" t="s">
        <v>1060</v>
      </c>
      <c r="D171" s="173" t="s">
        <v>1045</v>
      </c>
      <c r="E171" s="173" t="s">
        <v>1049</v>
      </c>
      <c r="F171" s="173" t="s">
        <v>1047</v>
      </c>
      <c r="G171" s="173" t="s">
        <v>1044</v>
      </c>
      <c r="H171" s="173" t="s">
        <v>1067</v>
      </c>
      <c r="I171" s="173" t="s">
        <v>1061</v>
      </c>
    </row>
    <row r="172" ht="15.75" customHeight="1">
      <c r="A172" s="174" t="s">
        <v>1223</v>
      </c>
      <c r="B172" s="175" t="s">
        <v>1061</v>
      </c>
      <c r="C172" s="175" t="s">
        <v>1044</v>
      </c>
      <c r="D172" s="175" t="s">
        <v>1045</v>
      </c>
      <c r="E172" s="175" t="s">
        <v>1049</v>
      </c>
      <c r="F172" s="175" t="s">
        <v>1047</v>
      </c>
      <c r="G172" s="175" t="s">
        <v>1048</v>
      </c>
      <c r="H172" s="175" t="s">
        <v>1067</v>
      </c>
      <c r="I172" s="175" t="s">
        <v>1065</v>
      </c>
    </row>
    <row r="173" ht="15.75" customHeight="1">
      <c r="A173" s="172" t="s">
        <v>1224</v>
      </c>
      <c r="B173" s="173" t="s">
        <v>1048</v>
      </c>
      <c r="C173" s="173" t="s">
        <v>1060</v>
      </c>
      <c r="D173" s="173" t="s">
        <v>1045</v>
      </c>
      <c r="E173" s="173" t="s">
        <v>1049</v>
      </c>
      <c r="F173" s="173" t="s">
        <v>1047</v>
      </c>
      <c r="G173" s="173" t="s">
        <v>1044</v>
      </c>
      <c r="H173" s="173" t="s">
        <v>1067</v>
      </c>
      <c r="I173" s="173" t="s">
        <v>1065</v>
      </c>
    </row>
    <row r="174" ht="15.75" customHeight="1">
      <c r="A174" s="174" t="s">
        <v>1225</v>
      </c>
      <c r="B174" s="175" t="s">
        <v>1043</v>
      </c>
      <c r="C174" s="175" t="s">
        <v>1060</v>
      </c>
      <c r="D174" s="175" t="s">
        <v>1045</v>
      </c>
      <c r="E174" s="175" t="s">
        <v>1049</v>
      </c>
      <c r="F174" s="175" t="s">
        <v>1047</v>
      </c>
      <c r="G174" s="175" t="s">
        <v>1048</v>
      </c>
      <c r="H174" s="175" t="s">
        <v>1061</v>
      </c>
      <c r="I174" s="175" t="s">
        <v>1065</v>
      </c>
    </row>
    <row r="175" ht="15.75" customHeight="1">
      <c r="A175" s="172" t="s">
        <v>1226</v>
      </c>
      <c r="B175" s="173" t="s">
        <v>1043</v>
      </c>
      <c r="C175" s="173" t="s">
        <v>1060</v>
      </c>
      <c r="D175" s="173" t="s">
        <v>1045</v>
      </c>
      <c r="E175" s="173" t="s">
        <v>1049</v>
      </c>
      <c r="F175" s="173" t="s">
        <v>1047</v>
      </c>
      <c r="G175" s="173" t="s">
        <v>1048</v>
      </c>
      <c r="H175" s="173" t="s">
        <v>1067</v>
      </c>
      <c r="I175" s="173" t="s">
        <v>1061</v>
      </c>
    </row>
    <row r="176" ht="15.75" customHeight="1">
      <c r="A176" s="174" t="s">
        <v>1227</v>
      </c>
      <c r="B176" s="175" t="s">
        <v>1043</v>
      </c>
      <c r="C176" s="175" t="s">
        <v>1061</v>
      </c>
      <c r="D176" s="175" t="s">
        <v>1045</v>
      </c>
      <c r="E176" s="175" t="s">
        <v>1049</v>
      </c>
      <c r="F176" s="175" t="s">
        <v>1047</v>
      </c>
      <c r="G176" s="175" t="s">
        <v>1048</v>
      </c>
      <c r="H176" s="175" t="s">
        <v>1067</v>
      </c>
      <c r="I176" s="175" t="s">
        <v>1065</v>
      </c>
    </row>
    <row r="177" ht="15.75" customHeight="1">
      <c r="A177" s="172" t="s">
        <v>1228</v>
      </c>
      <c r="B177" s="173" t="s">
        <v>1043</v>
      </c>
      <c r="C177" s="173" t="s">
        <v>1060</v>
      </c>
      <c r="D177" s="173" t="s">
        <v>1045</v>
      </c>
      <c r="E177" s="173" t="s">
        <v>1049</v>
      </c>
      <c r="F177" s="173" t="s">
        <v>1047</v>
      </c>
      <c r="G177" s="173" t="s">
        <v>1048</v>
      </c>
      <c r="H177" s="173" t="s">
        <v>1067</v>
      </c>
      <c r="I177" s="173" t="s">
        <v>1065</v>
      </c>
    </row>
    <row r="178" ht="15.75" customHeight="1">
      <c r="A178" s="174" t="s">
        <v>1229</v>
      </c>
      <c r="B178" s="175" t="s">
        <v>1061</v>
      </c>
      <c r="C178" s="175" t="s">
        <v>1060</v>
      </c>
      <c r="D178" s="175" t="s">
        <v>1045</v>
      </c>
      <c r="E178" s="175" t="s">
        <v>1049</v>
      </c>
      <c r="F178" s="175" t="s">
        <v>1047</v>
      </c>
      <c r="G178" s="175" t="s">
        <v>1048</v>
      </c>
      <c r="H178" s="175" t="s">
        <v>1067</v>
      </c>
      <c r="I178" s="175" t="s">
        <v>1065</v>
      </c>
    </row>
    <row r="179" ht="15.75" customHeight="1">
      <c r="A179" s="172" t="s">
        <v>1230</v>
      </c>
      <c r="B179" s="173" t="s">
        <v>1043</v>
      </c>
      <c r="C179" s="173" t="s">
        <v>1060</v>
      </c>
      <c r="D179" s="173" t="s">
        <v>1045</v>
      </c>
      <c r="E179" s="173" t="s">
        <v>1049</v>
      </c>
      <c r="F179" s="173" t="s">
        <v>1047</v>
      </c>
      <c r="G179" s="173" t="s">
        <v>1044</v>
      </c>
      <c r="H179" s="173" t="s">
        <v>1061</v>
      </c>
      <c r="I179" s="173" t="s">
        <v>1065</v>
      </c>
    </row>
    <row r="180" ht="15.75" customHeight="1">
      <c r="A180" s="174" t="s">
        <v>1231</v>
      </c>
      <c r="B180" s="175" t="s">
        <v>1061</v>
      </c>
      <c r="C180" s="175" t="s">
        <v>1060</v>
      </c>
      <c r="D180" s="175" t="s">
        <v>1045</v>
      </c>
      <c r="E180" s="175" t="s">
        <v>1049</v>
      </c>
      <c r="F180" s="175" t="s">
        <v>1047</v>
      </c>
      <c r="G180" s="175" t="s">
        <v>1044</v>
      </c>
      <c r="H180" s="175" t="s">
        <v>1067</v>
      </c>
      <c r="I180" s="175" t="s">
        <v>1065</v>
      </c>
    </row>
    <row r="181" ht="15.75" customHeight="1">
      <c r="A181" s="172" t="s">
        <v>1232</v>
      </c>
      <c r="B181" s="173" t="s">
        <v>1061</v>
      </c>
      <c r="C181" s="173" t="s">
        <v>1044</v>
      </c>
      <c r="D181" s="173" t="s">
        <v>1045</v>
      </c>
      <c r="E181" s="173" t="s">
        <v>1049</v>
      </c>
      <c r="F181" s="173" t="s">
        <v>1047</v>
      </c>
      <c r="G181" s="173" t="s">
        <v>1043</v>
      </c>
      <c r="H181" s="173" t="s">
        <v>1067</v>
      </c>
      <c r="I181" s="173" t="s">
        <v>1065</v>
      </c>
    </row>
    <row r="182" ht="15.75" customHeight="1">
      <c r="A182" s="174" t="s">
        <v>1233</v>
      </c>
      <c r="B182" s="175" t="s">
        <v>1043</v>
      </c>
      <c r="C182" s="175" t="s">
        <v>1060</v>
      </c>
      <c r="D182" s="175" t="s">
        <v>1045</v>
      </c>
      <c r="E182" s="175" t="s">
        <v>1049</v>
      </c>
      <c r="F182" s="175" t="s">
        <v>1047</v>
      </c>
      <c r="G182" s="175" t="s">
        <v>1044</v>
      </c>
      <c r="H182" s="175" t="s">
        <v>1067</v>
      </c>
      <c r="I182" s="175" t="s">
        <v>1065</v>
      </c>
    </row>
    <row r="183" ht="15.75" customHeight="1">
      <c r="A183" s="172" t="s">
        <v>1234</v>
      </c>
      <c r="B183" s="173" t="s">
        <v>1043</v>
      </c>
      <c r="C183" s="173" t="s">
        <v>1044</v>
      </c>
      <c r="D183" s="173" t="s">
        <v>1045</v>
      </c>
      <c r="E183" s="173" t="s">
        <v>1046</v>
      </c>
      <c r="F183" s="173" t="s">
        <v>1047</v>
      </c>
      <c r="G183" s="173" t="s">
        <v>1048</v>
      </c>
      <c r="H183" s="173" t="s">
        <v>1049</v>
      </c>
      <c r="I183" s="173" t="s">
        <v>1050</v>
      </c>
    </row>
    <row r="184" ht="15.75" customHeight="1">
      <c r="A184" s="174" t="s">
        <v>1235</v>
      </c>
      <c r="B184" s="175" t="s">
        <v>1061</v>
      </c>
      <c r="C184" s="175" t="s">
        <v>1060</v>
      </c>
      <c r="D184" s="175" t="s">
        <v>1045</v>
      </c>
      <c r="E184" s="175" t="s">
        <v>1049</v>
      </c>
      <c r="F184" s="175" t="s">
        <v>1047</v>
      </c>
      <c r="G184" s="175" t="s">
        <v>1043</v>
      </c>
      <c r="H184" s="175" t="s">
        <v>1067</v>
      </c>
      <c r="I184" s="175" t="s">
        <v>1065</v>
      </c>
    </row>
    <row r="185" ht="15.75" customHeight="1">
      <c r="A185" s="172" t="s">
        <v>1236</v>
      </c>
      <c r="B185" s="173" t="s">
        <v>1043</v>
      </c>
      <c r="C185" s="173" t="s">
        <v>1060</v>
      </c>
      <c r="D185" s="173" t="s">
        <v>1045</v>
      </c>
      <c r="E185" s="173" t="s">
        <v>1048</v>
      </c>
      <c r="F185" s="173" t="s">
        <v>1047</v>
      </c>
      <c r="G185" s="173" t="s">
        <v>1044</v>
      </c>
      <c r="H185" s="173" t="s">
        <v>1050</v>
      </c>
      <c r="I185" s="173" t="s">
        <v>1061</v>
      </c>
    </row>
    <row r="186" ht="15.75" customHeight="1">
      <c r="A186" s="174" t="s">
        <v>1237</v>
      </c>
      <c r="B186" s="175" t="s">
        <v>1050</v>
      </c>
      <c r="C186" s="175" t="s">
        <v>1044</v>
      </c>
      <c r="D186" s="175" t="s">
        <v>1045</v>
      </c>
      <c r="E186" s="175" t="s">
        <v>1048</v>
      </c>
      <c r="F186" s="175" t="s">
        <v>1047</v>
      </c>
      <c r="G186" s="175" t="s">
        <v>1043</v>
      </c>
      <c r="H186" s="175" t="s">
        <v>1061</v>
      </c>
      <c r="I186" s="175" t="s">
        <v>1065</v>
      </c>
    </row>
    <row r="187" ht="15.75" customHeight="1">
      <c r="A187" s="172" t="s">
        <v>1238</v>
      </c>
      <c r="B187" s="173" t="s">
        <v>1050</v>
      </c>
      <c r="C187" s="173" t="s">
        <v>1044</v>
      </c>
      <c r="D187" s="173" t="s">
        <v>1045</v>
      </c>
      <c r="E187" s="173" t="s">
        <v>1048</v>
      </c>
      <c r="F187" s="173" t="s">
        <v>1047</v>
      </c>
      <c r="G187" s="173" t="s">
        <v>1043</v>
      </c>
      <c r="H187" s="173" t="s">
        <v>1067</v>
      </c>
      <c r="I187" s="173" t="s">
        <v>1061</v>
      </c>
    </row>
    <row r="188" ht="15.75" customHeight="1">
      <c r="A188" s="174" t="s">
        <v>1239</v>
      </c>
      <c r="B188" s="175" t="s">
        <v>1043</v>
      </c>
      <c r="C188" s="175" t="s">
        <v>1060</v>
      </c>
      <c r="D188" s="175" t="s">
        <v>1045</v>
      </c>
      <c r="E188" s="175" t="s">
        <v>1048</v>
      </c>
      <c r="F188" s="175" t="s">
        <v>1047</v>
      </c>
      <c r="G188" s="175" t="s">
        <v>1044</v>
      </c>
      <c r="H188" s="175" t="s">
        <v>1050</v>
      </c>
      <c r="I188" s="175" t="s">
        <v>1065</v>
      </c>
    </row>
    <row r="189" ht="15.75" customHeight="1">
      <c r="A189" s="172" t="s">
        <v>1240</v>
      </c>
      <c r="B189" s="173" t="s">
        <v>1043</v>
      </c>
      <c r="C189" s="173" t="s">
        <v>1060</v>
      </c>
      <c r="D189" s="173" t="s">
        <v>1045</v>
      </c>
      <c r="E189" s="173" t="s">
        <v>1048</v>
      </c>
      <c r="F189" s="173" t="s">
        <v>1047</v>
      </c>
      <c r="G189" s="173" t="s">
        <v>1044</v>
      </c>
      <c r="H189" s="173" t="s">
        <v>1067</v>
      </c>
      <c r="I189" s="173" t="s">
        <v>1050</v>
      </c>
    </row>
    <row r="190" ht="15.75" customHeight="1">
      <c r="A190" s="174" t="s">
        <v>1241</v>
      </c>
      <c r="B190" s="175" t="s">
        <v>1050</v>
      </c>
      <c r="C190" s="175" t="s">
        <v>1044</v>
      </c>
      <c r="D190" s="175" t="s">
        <v>1045</v>
      </c>
      <c r="E190" s="175" t="s">
        <v>1048</v>
      </c>
      <c r="F190" s="175" t="s">
        <v>1047</v>
      </c>
      <c r="G190" s="175" t="s">
        <v>1043</v>
      </c>
      <c r="H190" s="175" t="s">
        <v>1067</v>
      </c>
      <c r="I190" s="175" t="s">
        <v>1065</v>
      </c>
    </row>
    <row r="191" ht="15.75" customHeight="1">
      <c r="A191" s="172" t="s">
        <v>1242</v>
      </c>
      <c r="B191" s="173" t="s">
        <v>1050</v>
      </c>
      <c r="C191" s="173" t="s">
        <v>1060</v>
      </c>
      <c r="D191" s="173" t="s">
        <v>1045</v>
      </c>
      <c r="E191" s="173" t="s">
        <v>1048</v>
      </c>
      <c r="F191" s="173" t="s">
        <v>1047</v>
      </c>
      <c r="G191" s="173" t="s">
        <v>1044</v>
      </c>
      <c r="H191" s="173" t="s">
        <v>1061</v>
      </c>
      <c r="I191" s="173" t="s">
        <v>1065</v>
      </c>
    </row>
    <row r="192" ht="15.75" customHeight="1">
      <c r="A192" s="174" t="s">
        <v>1243</v>
      </c>
      <c r="B192" s="175" t="s">
        <v>1050</v>
      </c>
      <c r="C192" s="175" t="s">
        <v>1060</v>
      </c>
      <c r="D192" s="175" t="s">
        <v>1045</v>
      </c>
      <c r="E192" s="175" t="s">
        <v>1048</v>
      </c>
      <c r="F192" s="175" t="s">
        <v>1047</v>
      </c>
      <c r="G192" s="175" t="s">
        <v>1044</v>
      </c>
      <c r="H192" s="175" t="s">
        <v>1067</v>
      </c>
      <c r="I192" s="175" t="s">
        <v>1061</v>
      </c>
    </row>
    <row r="193" ht="15.75" customHeight="1">
      <c r="A193" s="172" t="s">
        <v>1244</v>
      </c>
      <c r="B193" s="173" t="s">
        <v>1050</v>
      </c>
      <c r="C193" s="173" t="s">
        <v>1044</v>
      </c>
      <c r="D193" s="173" t="s">
        <v>1045</v>
      </c>
      <c r="E193" s="173" t="s">
        <v>1047</v>
      </c>
      <c r="F193" s="173" t="s">
        <v>1061</v>
      </c>
      <c r="G193" s="173" t="s">
        <v>1048</v>
      </c>
      <c r="H193" s="173" t="s">
        <v>1067</v>
      </c>
      <c r="I193" s="173" t="s">
        <v>1065</v>
      </c>
    </row>
    <row r="194" ht="15.75" customHeight="1">
      <c r="A194" s="174" t="s">
        <v>1245</v>
      </c>
      <c r="B194" s="175" t="s">
        <v>1050</v>
      </c>
      <c r="C194" s="175" t="s">
        <v>1060</v>
      </c>
      <c r="D194" s="175" t="s">
        <v>1045</v>
      </c>
      <c r="E194" s="175" t="s">
        <v>1048</v>
      </c>
      <c r="F194" s="175" t="s">
        <v>1047</v>
      </c>
      <c r="G194" s="175" t="s">
        <v>1044</v>
      </c>
      <c r="H194" s="175" t="s">
        <v>1067</v>
      </c>
      <c r="I194" s="175" t="s">
        <v>1065</v>
      </c>
    </row>
    <row r="195" ht="15.75" customHeight="1">
      <c r="A195" s="172" t="s">
        <v>1246</v>
      </c>
      <c r="B195" s="173" t="s">
        <v>1050</v>
      </c>
      <c r="C195" s="173" t="s">
        <v>1060</v>
      </c>
      <c r="D195" s="173" t="s">
        <v>1045</v>
      </c>
      <c r="E195" s="173" t="s">
        <v>1048</v>
      </c>
      <c r="F195" s="173" t="s">
        <v>1047</v>
      </c>
      <c r="G195" s="173" t="s">
        <v>1043</v>
      </c>
      <c r="H195" s="173" t="s">
        <v>1061</v>
      </c>
      <c r="I195" s="173" t="s">
        <v>1065</v>
      </c>
    </row>
    <row r="196" ht="15.75" customHeight="1">
      <c r="A196" s="174" t="s">
        <v>1247</v>
      </c>
      <c r="B196" s="175" t="s">
        <v>1050</v>
      </c>
      <c r="C196" s="175" t="s">
        <v>1060</v>
      </c>
      <c r="D196" s="175" t="s">
        <v>1045</v>
      </c>
      <c r="E196" s="175" t="s">
        <v>1048</v>
      </c>
      <c r="F196" s="175" t="s">
        <v>1047</v>
      </c>
      <c r="G196" s="175" t="s">
        <v>1043</v>
      </c>
      <c r="H196" s="175" t="s">
        <v>1067</v>
      </c>
      <c r="I196" s="175" t="s">
        <v>1061</v>
      </c>
    </row>
    <row r="197" ht="15.75" customHeight="1">
      <c r="A197" s="172" t="s">
        <v>1248</v>
      </c>
      <c r="B197" s="173" t="s">
        <v>1050</v>
      </c>
      <c r="C197" s="173" t="s">
        <v>1061</v>
      </c>
      <c r="D197" s="173" t="s">
        <v>1045</v>
      </c>
      <c r="E197" s="173" t="s">
        <v>1048</v>
      </c>
      <c r="F197" s="173" t="s">
        <v>1047</v>
      </c>
      <c r="G197" s="173" t="s">
        <v>1043</v>
      </c>
      <c r="H197" s="173" t="s">
        <v>1067</v>
      </c>
      <c r="I197" s="173" t="s">
        <v>1065</v>
      </c>
    </row>
    <row r="198" ht="15.75" customHeight="1">
      <c r="A198" s="174" t="s">
        <v>1249</v>
      </c>
      <c r="B198" s="175" t="s">
        <v>1050</v>
      </c>
      <c r="C198" s="175" t="s">
        <v>1060</v>
      </c>
      <c r="D198" s="175" t="s">
        <v>1045</v>
      </c>
      <c r="E198" s="175" t="s">
        <v>1048</v>
      </c>
      <c r="F198" s="175" t="s">
        <v>1047</v>
      </c>
      <c r="G198" s="175" t="s">
        <v>1043</v>
      </c>
      <c r="H198" s="175" t="s">
        <v>1067</v>
      </c>
      <c r="I198" s="175" t="s">
        <v>1065</v>
      </c>
    </row>
    <row r="199" ht="15.75" customHeight="1">
      <c r="A199" s="172" t="s">
        <v>1250</v>
      </c>
      <c r="B199" s="173" t="s">
        <v>1050</v>
      </c>
      <c r="C199" s="173" t="s">
        <v>1060</v>
      </c>
      <c r="D199" s="173" t="s">
        <v>1045</v>
      </c>
      <c r="E199" s="173" t="s">
        <v>1047</v>
      </c>
      <c r="F199" s="173" t="s">
        <v>1061</v>
      </c>
      <c r="G199" s="173" t="s">
        <v>1048</v>
      </c>
      <c r="H199" s="173" t="s">
        <v>1067</v>
      </c>
      <c r="I199" s="173" t="s">
        <v>1065</v>
      </c>
    </row>
    <row r="200" ht="15.75" customHeight="1">
      <c r="A200" s="174" t="s">
        <v>1251</v>
      </c>
      <c r="B200" s="175" t="s">
        <v>1050</v>
      </c>
      <c r="C200" s="175" t="s">
        <v>1060</v>
      </c>
      <c r="D200" s="175" t="s">
        <v>1045</v>
      </c>
      <c r="E200" s="175" t="s">
        <v>1047</v>
      </c>
      <c r="F200" s="175" t="s">
        <v>1043</v>
      </c>
      <c r="G200" s="175" t="s">
        <v>1044</v>
      </c>
      <c r="H200" s="175" t="s">
        <v>1061</v>
      </c>
      <c r="I200" s="175" t="s">
        <v>1065</v>
      </c>
    </row>
    <row r="201" ht="15.75" customHeight="1">
      <c r="A201" s="172" t="s">
        <v>1252</v>
      </c>
      <c r="B201" s="173" t="s">
        <v>1050</v>
      </c>
      <c r="C201" s="173" t="s">
        <v>1060</v>
      </c>
      <c r="D201" s="173" t="s">
        <v>1045</v>
      </c>
      <c r="E201" s="173" t="s">
        <v>1047</v>
      </c>
      <c r="F201" s="173" t="s">
        <v>1061</v>
      </c>
      <c r="G201" s="173" t="s">
        <v>1044</v>
      </c>
      <c r="H201" s="173" t="s">
        <v>1067</v>
      </c>
      <c r="I201" s="173" t="s">
        <v>1065</v>
      </c>
    </row>
    <row r="202" ht="15.75" customHeight="1">
      <c r="A202" s="174" t="s">
        <v>1253</v>
      </c>
      <c r="B202" s="175" t="s">
        <v>1050</v>
      </c>
      <c r="C202" s="175" t="s">
        <v>1044</v>
      </c>
      <c r="D202" s="175" t="s">
        <v>1045</v>
      </c>
      <c r="E202" s="175" t="s">
        <v>1047</v>
      </c>
      <c r="F202" s="175" t="s">
        <v>1061</v>
      </c>
      <c r="G202" s="175" t="s">
        <v>1043</v>
      </c>
      <c r="H202" s="175" t="s">
        <v>1067</v>
      </c>
      <c r="I202" s="175" t="s">
        <v>1065</v>
      </c>
    </row>
    <row r="203" ht="15.75" customHeight="1">
      <c r="A203" s="172" t="s">
        <v>1254</v>
      </c>
      <c r="B203" s="173" t="s">
        <v>1050</v>
      </c>
      <c r="C203" s="173" t="s">
        <v>1060</v>
      </c>
      <c r="D203" s="173" t="s">
        <v>1045</v>
      </c>
      <c r="E203" s="173" t="s">
        <v>1047</v>
      </c>
      <c r="F203" s="173" t="s">
        <v>1043</v>
      </c>
      <c r="G203" s="173" t="s">
        <v>1044</v>
      </c>
      <c r="H203" s="173" t="s">
        <v>1067</v>
      </c>
      <c r="I203" s="173" t="s">
        <v>1065</v>
      </c>
    </row>
    <row r="204" ht="15.75" customHeight="1">
      <c r="A204" s="174" t="s">
        <v>1255</v>
      </c>
      <c r="B204" s="175" t="s">
        <v>1043</v>
      </c>
      <c r="C204" s="175" t="s">
        <v>1044</v>
      </c>
      <c r="D204" s="175" t="s">
        <v>1045</v>
      </c>
      <c r="E204" s="175" t="s">
        <v>1046</v>
      </c>
      <c r="F204" s="175" t="s">
        <v>1047</v>
      </c>
      <c r="G204" s="175" t="s">
        <v>1048</v>
      </c>
      <c r="H204" s="175" t="s">
        <v>1049</v>
      </c>
      <c r="I204" s="175" t="s">
        <v>1050</v>
      </c>
    </row>
    <row r="205" ht="15.75" customHeight="1">
      <c r="A205" s="172" t="s">
        <v>1256</v>
      </c>
      <c r="B205" s="173" t="s">
        <v>1050</v>
      </c>
      <c r="C205" s="173" t="s">
        <v>1060</v>
      </c>
      <c r="D205" s="173" t="s">
        <v>1045</v>
      </c>
      <c r="E205" s="173" t="s">
        <v>1047</v>
      </c>
      <c r="F205" s="173" t="s">
        <v>1061</v>
      </c>
      <c r="G205" s="173" t="s">
        <v>1043</v>
      </c>
      <c r="H205" s="173" t="s">
        <v>1067</v>
      </c>
      <c r="I205" s="173" t="s">
        <v>1065</v>
      </c>
    </row>
    <row r="206" ht="15.75" customHeight="1">
      <c r="A206" s="174" t="s">
        <v>1257</v>
      </c>
      <c r="B206" s="175" t="s">
        <v>1043</v>
      </c>
      <c r="C206" s="175" t="s">
        <v>1060</v>
      </c>
      <c r="D206" s="175" t="s">
        <v>1045</v>
      </c>
      <c r="E206" s="175" t="s">
        <v>1048</v>
      </c>
      <c r="F206" s="175" t="s">
        <v>1047</v>
      </c>
      <c r="G206" s="175" t="s">
        <v>1044</v>
      </c>
      <c r="H206" s="175" t="s">
        <v>1061</v>
      </c>
      <c r="I206" s="175" t="s">
        <v>1065</v>
      </c>
    </row>
    <row r="207" ht="15.75" customHeight="1">
      <c r="A207" s="172" t="s">
        <v>1258</v>
      </c>
      <c r="B207" s="173" t="s">
        <v>1043</v>
      </c>
      <c r="C207" s="173" t="s">
        <v>1060</v>
      </c>
      <c r="D207" s="173" t="s">
        <v>1045</v>
      </c>
      <c r="E207" s="173" t="s">
        <v>1048</v>
      </c>
      <c r="F207" s="173" t="s">
        <v>1047</v>
      </c>
      <c r="G207" s="173" t="s">
        <v>1044</v>
      </c>
      <c r="H207" s="173" t="s">
        <v>1067</v>
      </c>
      <c r="I207" s="173" t="s">
        <v>1061</v>
      </c>
    </row>
    <row r="208" ht="15.75" customHeight="1">
      <c r="A208" s="174" t="s">
        <v>1259</v>
      </c>
      <c r="B208" s="175" t="s">
        <v>1043</v>
      </c>
      <c r="C208" s="175" t="s">
        <v>1044</v>
      </c>
      <c r="D208" s="175" t="s">
        <v>1045</v>
      </c>
      <c r="E208" s="175" t="s">
        <v>1047</v>
      </c>
      <c r="F208" s="175" t="s">
        <v>1061</v>
      </c>
      <c r="G208" s="175" t="s">
        <v>1048</v>
      </c>
      <c r="H208" s="175" t="s">
        <v>1067</v>
      </c>
      <c r="I208" s="175" t="s">
        <v>1065</v>
      </c>
    </row>
    <row r="209" ht="15.75" customHeight="1">
      <c r="A209" s="172" t="s">
        <v>1260</v>
      </c>
      <c r="B209" s="173" t="s">
        <v>1043</v>
      </c>
      <c r="C209" s="173" t="s">
        <v>1060</v>
      </c>
      <c r="D209" s="173" t="s">
        <v>1045</v>
      </c>
      <c r="E209" s="173" t="s">
        <v>1048</v>
      </c>
      <c r="F209" s="173" t="s">
        <v>1047</v>
      </c>
      <c r="G209" s="173" t="s">
        <v>1044</v>
      </c>
      <c r="H209" s="173" t="s">
        <v>1067</v>
      </c>
      <c r="I209" s="173" t="s">
        <v>1065</v>
      </c>
    </row>
    <row r="210" ht="15.75" customHeight="1">
      <c r="A210" s="174" t="s">
        <v>1261</v>
      </c>
      <c r="B210" s="175" t="s">
        <v>1061</v>
      </c>
      <c r="C210" s="175" t="s">
        <v>1060</v>
      </c>
      <c r="D210" s="175" t="s">
        <v>1045</v>
      </c>
      <c r="E210" s="175" t="s">
        <v>1048</v>
      </c>
      <c r="F210" s="175" t="s">
        <v>1047</v>
      </c>
      <c r="G210" s="175" t="s">
        <v>1044</v>
      </c>
      <c r="H210" s="175" t="s">
        <v>1067</v>
      </c>
      <c r="I210" s="175" t="s">
        <v>1065</v>
      </c>
    </row>
    <row r="211" ht="15.75" customHeight="1">
      <c r="A211" s="172" t="s">
        <v>1262</v>
      </c>
      <c r="B211" s="173" t="s">
        <v>1043</v>
      </c>
      <c r="C211" s="173" t="s">
        <v>1060</v>
      </c>
      <c r="D211" s="173" t="s">
        <v>1045</v>
      </c>
      <c r="E211" s="173" t="s">
        <v>1047</v>
      </c>
      <c r="F211" s="173" t="s">
        <v>1061</v>
      </c>
      <c r="G211" s="173" t="s">
        <v>1048</v>
      </c>
      <c r="H211" s="173" t="s">
        <v>1067</v>
      </c>
      <c r="I211" s="173" t="s">
        <v>1065</v>
      </c>
    </row>
    <row r="212" ht="15.75" customHeight="1">
      <c r="A212" s="174" t="s">
        <v>1263</v>
      </c>
      <c r="B212" s="175" t="s">
        <v>1043</v>
      </c>
      <c r="C212" s="175" t="s">
        <v>1060</v>
      </c>
      <c r="D212" s="175" t="s">
        <v>1045</v>
      </c>
      <c r="E212" s="175" t="s">
        <v>1047</v>
      </c>
      <c r="F212" s="175" t="s">
        <v>1061</v>
      </c>
      <c r="G212" s="175" t="s">
        <v>1044</v>
      </c>
      <c r="H212" s="175" t="s">
        <v>1067</v>
      </c>
      <c r="I212" s="175" t="s">
        <v>1065</v>
      </c>
    </row>
    <row r="213" ht="15.75" customHeight="1">
      <c r="A213" s="172" t="s">
        <v>1264</v>
      </c>
      <c r="B213" s="173" t="s">
        <v>1043</v>
      </c>
      <c r="C213" s="173" t="s">
        <v>1044</v>
      </c>
      <c r="D213" s="173" t="s">
        <v>1050</v>
      </c>
      <c r="E213" s="173" t="s">
        <v>1046</v>
      </c>
      <c r="F213" s="173" t="s">
        <v>1047</v>
      </c>
      <c r="G213" s="173" t="s">
        <v>1048</v>
      </c>
      <c r="H213" s="173" t="s">
        <v>1049</v>
      </c>
      <c r="I213" s="173" t="s">
        <v>1061</v>
      </c>
    </row>
    <row r="214" ht="15.75" customHeight="1">
      <c r="A214" s="174" t="s">
        <v>1265</v>
      </c>
      <c r="B214" s="175" t="s">
        <v>1043</v>
      </c>
      <c r="C214" s="175" t="s">
        <v>1044</v>
      </c>
      <c r="D214" s="175" t="s">
        <v>1060</v>
      </c>
      <c r="E214" s="175" t="s">
        <v>1046</v>
      </c>
      <c r="F214" s="175" t="s">
        <v>1047</v>
      </c>
      <c r="G214" s="175" t="s">
        <v>1048</v>
      </c>
      <c r="H214" s="175" t="s">
        <v>1049</v>
      </c>
      <c r="I214" s="175" t="s">
        <v>1050</v>
      </c>
    </row>
    <row r="215" ht="15.75" customHeight="1">
      <c r="A215" s="172" t="s">
        <v>1266</v>
      </c>
      <c r="B215" s="173" t="s">
        <v>1043</v>
      </c>
      <c r="C215" s="173" t="s">
        <v>1044</v>
      </c>
      <c r="D215" s="173" t="s">
        <v>1050</v>
      </c>
      <c r="E215" s="173" t="s">
        <v>1046</v>
      </c>
      <c r="F215" s="173" t="s">
        <v>1047</v>
      </c>
      <c r="G215" s="173" t="s">
        <v>1048</v>
      </c>
      <c r="H215" s="173" t="s">
        <v>1049</v>
      </c>
      <c r="I215" s="173" t="s">
        <v>1065</v>
      </c>
    </row>
    <row r="216" ht="15.75" customHeight="1">
      <c r="A216" s="174" t="s">
        <v>1267</v>
      </c>
      <c r="B216" s="175" t="s">
        <v>1043</v>
      </c>
      <c r="C216" s="175" t="s">
        <v>1044</v>
      </c>
      <c r="D216" s="175" t="s">
        <v>1048</v>
      </c>
      <c r="E216" s="175" t="s">
        <v>1046</v>
      </c>
      <c r="F216" s="175" t="s">
        <v>1047</v>
      </c>
      <c r="G216" s="175" t="s">
        <v>1049</v>
      </c>
      <c r="H216" s="175" t="s">
        <v>1067</v>
      </c>
      <c r="I216" s="175" t="s">
        <v>1050</v>
      </c>
    </row>
    <row r="217" ht="15.75" customHeight="1">
      <c r="A217" s="172" t="s">
        <v>1268</v>
      </c>
      <c r="B217" s="173" t="s">
        <v>1046</v>
      </c>
      <c r="C217" s="173" t="s">
        <v>1044</v>
      </c>
      <c r="D217" s="173" t="s">
        <v>1060</v>
      </c>
      <c r="E217" s="173" t="s">
        <v>1049</v>
      </c>
      <c r="F217" s="173" t="s">
        <v>1047</v>
      </c>
      <c r="G217" s="173" t="s">
        <v>1048</v>
      </c>
      <c r="H217" s="173" t="s">
        <v>1050</v>
      </c>
      <c r="I217" s="173" t="s">
        <v>1061</v>
      </c>
    </row>
    <row r="218" ht="15.75" customHeight="1">
      <c r="A218" s="174" t="s">
        <v>1269</v>
      </c>
      <c r="B218" s="175" t="s">
        <v>1046</v>
      </c>
      <c r="C218" s="175" t="s">
        <v>1044</v>
      </c>
      <c r="D218" s="175" t="s">
        <v>1050</v>
      </c>
      <c r="E218" s="175" t="s">
        <v>1049</v>
      </c>
      <c r="F218" s="175" t="s">
        <v>1047</v>
      </c>
      <c r="G218" s="175" t="s">
        <v>1048</v>
      </c>
      <c r="H218" s="175" t="s">
        <v>1061</v>
      </c>
      <c r="I218" s="175" t="s">
        <v>1065</v>
      </c>
    </row>
    <row r="219" ht="15.75" customHeight="1">
      <c r="A219" s="172" t="s">
        <v>1270</v>
      </c>
      <c r="B219" s="173" t="s">
        <v>1046</v>
      </c>
      <c r="C219" s="173" t="s">
        <v>1044</v>
      </c>
      <c r="D219" s="173" t="s">
        <v>1050</v>
      </c>
      <c r="E219" s="173" t="s">
        <v>1049</v>
      </c>
      <c r="F219" s="173" t="s">
        <v>1047</v>
      </c>
      <c r="G219" s="173" t="s">
        <v>1048</v>
      </c>
      <c r="H219" s="173" t="s">
        <v>1067</v>
      </c>
      <c r="I219" s="173" t="s">
        <v>1061</v>
      </c>
    </row>
    <row r="220" ht="15.75" customHeight="1">
      <c r="A220" s="174" t="s">
        <v>1271</v>
      </c>
      <c r="B220" s="175" t="s">
        <v>1046</v>
      </c>
      <c r="C220" s="175" t="s">
        <v>1044</v>
      </c>
      <c r="D220" s="175" t="s">
        <v>1060</v>
      </c>
      <c r="E220" s="175" t="s">
        <v>1049</v>
      </c>
      <c r="F220" s="175" t="s">
        <v>1047</v>
      </c>
      <c r="G220" s="175" t="s">
        <v>1048</v>
      </c>
      <c r="H220" s="175" t="s">
        <v>1050</v>
      </c>
      <c r="I220" s="175" t="s">
        <v>1065</v>
      </c>
    </row>
    <row r="221" ht="15.75" customHeight="1">
      <c r="A221" s="172" t="s">
        <v>1272</v>
      </c>
      <c r="B221" s="173" t="s">
        <v>1046</v>
      </c>
      <c r="C221" s="173" t="s">
        <v>1044</v>
      </c>
      <c r="D221" s="173" t="s">
        <v>1060</v>
      </c>
      <c r="E221" s="173" t="s">
        <v>1049</v>
      </c>
      <c r="F221" s="173" t="s">
        <v>1047</v>
      </c>
      <c r="G221" s="173" t="s">
        <v>1048</v>
      </c>
      <c r="H221" s="173" t="s">
        <v>1067</v>
      </c>
      <c r="I221" s="173" t="s">
        <v>1050</v>
      </c>
    </row>
    <row r="222" ht="15.75" customHeight="1">
      <c r="A222" s="174" t="s">
        <v>1273</v>
      </c>
      <c r="B222" s="175" t="s">
        <v>1046</v>
      </c>
      <c r="C222" s="175" t="s">
        <v>1044</v>
      </c>
      <c r="D222" s="175" t="s">
        <v>1050</v>
      </c>
      <c r="E222" s="175" t="s">
        <v>1049</v>
      </c>
      <c r="F222" s="175" t="s">
        <v>1047</v>
      </c>
      <c r="G222" s="175" t="s">
        <v>1048</v>
      </c>
      <c r="H222" s="175" t="s">
        <v>1067</v>
      </c>
      <c r="I222" s="175" t="s">
        <v>1065</v>
      </c>
    </row>
    <row r="223" ht="15.75" customHeight="1">
      <c r="A223" s="172" t="s">
        <v>1274</v>
      </c>
      <c r="B223" s="173" t="s">
        <v>1043</v>
      </c>
      <c r="C223" s="173" t="s">
        <v>1060</v>
      </c>
      <c r="D223" s="173" t="s">
        <v>1050</v>
      </c>
      <c r="E223" s="173" t="s">
        <v>1046</v>
      </c>
      <c r="F223" s="173" t="s">
        <v>1047</v>
      </c>
      <c r="G223" s="173" t="s">
        <v>1048</v>
      </c>
      <c r="H223" s="173" t="s">
        <v>1049</v>
      </c>
      <c r="I223" s="173" t="s">
        <v>1061</v>
      </c>
    </row>
    <row r="224" ht="15.75" customHeight="1">
      <c r="A224" s="174" t="s">
        <v>1275</v>
      </c>
      <c r="B224" s="175" t="s">
        <v>1043</v>
      </c>
      <c r="C224" s="175" t="s">
        <v>1050</v>
      </c>
      <c r="D224" s="175" t="s">
        <v>1048</v>
      </c>
      <c r="E224" s="175" t="s">
        <v>1046</v>
      </c>
      <c r="F224" s="175" t="s">
        <v>1047</v>
      </c>
      <c r="G224" s="175" t="s">
        <v>1049</v>
      </c>
      <c r="H224" s="175" t="s">
        <v>1061</v>
      </c>
      <c r="I224" s="175" t="s">
        <v>1065</v>
      </c>
    </row>
    <row r="225" ht="15.75" customHeight="1">
      <c r="A225" s="172" t="s">
        <v>1276</v>
      </c>
      <c r="B225" s="173" t="s">
        <v>1043</v>
      </c>
      <c r="C225" s="173" t="s">
        <v>1050</v>
      </c>
      <c r="D225" s="173" t="s">
        <v>1048</v>
      </c>
      <c r="E225" s="173" t="s">
        <v>1046</v>
      </c>
      <c r="F225" s="173" t="s">
        <v>1047</v>
      </c>
      <c r="G225" s="173" t="s">
        <v>1049</v>
      </c>
      <c r="H225" s="173" t="s">
        <v>1067</v>
      </c>
      <c r="I225" s="173" t="s">
        <v>1061</v>
      </c>
    </row>
    <row r="226" ht="15.75" customHeight="1">
      <c r="A226" s="174" t="s">
        <v>1277</v>
      </c>
      <c r="B226" s="175" t="s">
        <v>1043</v>
      </c>
      <c r="C226" s="175" t="s">
        <v>1060</v>
      </c>
      <c r="D226" s="175" t="s">
        <v>1050</v>
      </c>
      <c r="E226" s="175" t="s">
        <v>1046</v>
      </c>
      <c r="F226" s="175" t="s">
        <v>1047</v>
      </c>
      <c r="G226" s="175" t="s">
        <v>1048</v>
      </c>
      <c r="H226" s="175" t="s">
        <v>1049</v>
      </c>
      <c r="I226" s="175" t="s">
        <v>1065</v>
      </c>
    </row>
    <row r="227" ht="15.75" customHeight="1">
      <c r="A227" s="172" t="s">
        <v>1278</v>
      </c>
      <c r="B227" s="173" t="s">
        <v>1043</v>
      </c>
      <c r="C227" s="173" t="s">
        <v>1060</v>
      </c>
      <c r="D227" s="173" t="s">
        <v>1048</v>
      </c>
      <c r="E227" s="173" t="s">
        <v>1046</v>
      </c>
      <c r="F227" s="173" t="s">
        <v>1047</v>
      </c>
      <c r="G227" s="173" t="s">
        <v>1049</v>
      </c>
      <c r="H227" s="173" t="s">
        <v>1067</v>
      </c>
      <c r="I227" s="173" t="s">
        <v>1050</v>
      </c>
    </row>
    <row r="228" ht="15.75" customHeight="1">
      <c r="A228" s="174" t="s">
        <v>1279</v>
      </c>
      <c r="B228" s="175" t="s">
        <v>1043</v>
      </c>
      <c r="C228" s="175" t="s">
        <v>1050</v>
      </c>
      <c r="D228" s="175" t="s">
        <v>1048</v>
      </c>
      <c r="E228" s="175" t="s">
        <v>1046</v>
      </c>
      <c r="F228" s="175" t="s">
        <v>1047</v>
      </c>
      <c r="G228" s="175" t="s">
        <v>1049</v>
      </c>
      <c r="H228" s="175" t="s">
        <v>1067</v>
      </c>
      <c r="I228" s="175" t="s">
        <v>1065</v>
      </c>
    </row>
    <row r="229" ht="15.75" customHeight="1">
      <c r="A229" s="172" t="s">
        <v>1280</v>
      </c>
      <c r="B229" s="173" t="s">
        <v>1046</v>
      </c>
      <c r="C229" s="173" t="s">
        <v>1060</v>
      </c>
      <c r="D229" s="173" t="s">
        <v>1050</v>
      </c>
      <c r="E229" s="173" t="s">
        <v>1049</v>
      </c>
      <c r="F229" s="173" t="s">
        <v>1047</v>
      </c>
      <c r="G229" s="173" t="s">
        <v>1048</v>
      </c>
      <c r="H229" s="173" t="s">
        <v>1061</v>
      </c>
      <c r="I229" s="173" t="s">
        <v>1065</v>
      </c>
    </row>
    <row r="230" ht="15.75" customHeight="1">
      <c r="A230" s="174" t="s">
        <v>1281</v>
      </c>
      <c r="B230" s="175" t="s">
        <v>1046</v>
      </c>
      <c r="C230" s="175" t="s">
        <v>1060</v>
      </c>
      <c r="D230" s="175" t="s">
        <v>1050</v>
      </c>
      <c r="E230" s="175" t="s">
        <v>1049</v>
      </c>
      <c r="F230" s="175" t="s">
        <v>1047</v>
      </c>
      <c r="G230" s="175" t="s">
        <v>1048</v>
      </c>
      <c r="H230" s="175" t="s">
        <v>1067</v>
      </c>
      <c r="I230" s="175" t="s">
        <v>1061</v>
      </c>
    </row>
    <row r="231" ht="15.75" customHeight="1">
      <c r="A231" s="172" t="s">
        <v>1282</v>
      </c>
      <c r="B231" s="173" t="s">
        <v>1043</v>
      </c>
      <c r="C231" s="173" t="s">
        <v>1044</v>
      </c>
      <c r="D231" s="173" t="s">
        <v>1045</v>
      </c>
      <c r="E231" s="173" t="s">
        <v>1046</v>
      </c>
      <c r="F231" s="173" t="s">
        <v>1047</v>
      </c>
      <c r="G231" s="173" t="s">
        <v>1048</v>
      </c>
      <c r="H231" s="173" t="s">
        <v>1049</v>
      </c>
      <c r="I231" s="173" t="s">
        <v>1050</v>
      </c>
    </row>
    <row r="232" ht="15.75" customHeight="1">
      <c r="A232" s="174" t="s">
        <v>1283</v>
      </c>
      <c r="B232" s="175" t="s">
        <v>1046</v>
      </c>
      <c r="C232" s="175" t="s">
        <v>1060</v>
      </c>
      <c r="D232" s="175" t="s">
        <v>1050</v>
      </c>
      <c r="E232" s="175" t="s">
        <v>1049</v>
      </c>
      <c r="F232" s="175" t="s">
        <v>1047</v>
      </c>
      <c r="G232" s="175" t="s">
        <v>1048</v>
      </c>
      <c r="H232" s="175" t="s">
        <v>1067</v>
      </c>
      <c r="I232" s="175" t="s">
        <v>1065</v>
      </c>
    </row>
    <row r="233" ht="15.75" customHeight="1">
      <c r="A233" s="172" t="s">
        <v>1284</v>
      </c>
      <c r="B233" s="173" t="s">
        <v>1043</v>
      </c>
      <c r="C233" s="173" t="s">
        <v>1044</v>
      </c>
      <c r="D233" s="173" t="s">
        <v>1060</v>
      </c>
      <c r="E233" s="173" t="s">
        <v>1046</v>
      </c>
      <c r="F233" s="173" t="s">
        <v>1047</v>
      </c>
      <c r="G233" s="173" t="s">
        <v>1049</v>
      </c>
      <c r="H233" s="173" t="s">
        <v>1050</v>
      </c>
      <c r="I233" s="173" t="s">
        <v>1061</v>
      </c>
    </row>
    <row r="234" ht="15.75" customHeight="1">
      <c r="A234" s="174" t="s">
        <v>1285</v>
      </c>
      <c r="B234" s="175" t="s">
        <v>1043</v>
      </c>
      <c r="C234" s="175" t="s">
        <v>1044</v>
      </c>
      <c r="D234" s="175" t="s">
        <v>1050</v>
      </c>
      <c r="E234" s="175" t="s">
        <v>1046</v>
      </c>
      <c r="F234" s="175" t="s">
        <v>1047</v>
      </c>
      <c r="G234" s="175" t="s">
        <v>1049</v>
      </c>
      <c r="H234" s="175" t="s">
        <v>1061</v>
      </c>
      <c r="I234" s="175" t="s">
        <v>1065</v>
      </c>
    </row>
    <row r="235" ht="15.75" customHeight="1">
      <c r="A235" s="172" t="s">
        <v>1286</v>
      </c>
      <c r="B235" s="173" t="s">
        <v>1043</v>
      </c>
      <c r="C235" s="173" t="s">
        <v>1044</v>
      </c>
      <c r="D235" s="173" t="s">
        <v>1050</v>
      </c>
      <c r="E235" s="173" t="s">
        <v>1046</v>
      </c>
      <c r="F235" s="173" t="s">
        <v>1047</v>
      </c>
      <c r="G235" s="173" t="s">
        <v>1049</v>
      </c>
      <c r="H235" s="173" t="s">
        <v>1067</v>
      </c>
      <c r="I235" s="173" t="s">
        <v>1061</v>
      </c>
    </row>
    <row r="236" ht="15.75" customHeight="1">
      <c r="A236" s="174" t="s">
        <v>1287</v>
      </c>
      <c r="B236" s="175" t="s">
        <v>1043</v>
      </c>
      <c r="C236" s="175" t="s">
        <v>1044</v>
      </c>
      <c r="D236" s="175" t="s">
        <v>1060</v>
      </c>
      <c r="E236" s="175" t="s">
        <v>1046</v>
      </c>
      <c r="F236" s="175" t="s">
        <v>1047</v>
      </c>
      <c r="G236" s="175" t="s">
        <v>1049</v>
      </c>
      <c r="H236" s="175" t="s">
        <v>1050</v>
      </c>
      <c r="I236" s="175" t="s">
        <v>1065</v>
      </c>
    </row>
    <row r="237" ht="15.75" customHeight="1">
      <c r="A237" s="172" t="s">
        <v>1288</v>
      </c>
      <c r="B237" s="173" t="s">
        <v>1043</v>
      </c>
      <c r="C237" s="173" t="s">
        <v>1044</v>
      </c>
      <c r="D237" s="173" t="s">
        <v>1060</v>
      </c>
      <c r="E237" s="173" t="s">
        <v>1046</v>
      </c>
      <c r="F237" s="173" t="s">
        <v>1047</v>
      </c>
      <c r="G237" s="173" t="s">
        <v>1049</v>
      </c>
      <c r="H237" s="173" t="s">
        <v>1067</v>
      </c>
      <c r="I237" s="173" t="s">
        <v>1050</v>
      </c>
    </row>
    <row r="238" ht="15.75" customHeight="1">
      <c r="A238" s="174" t="s">
        <v>1289</v>
      </c>
      <c r="B238" s="175" t="s">
        <v>1043</v>
      </c>
      <c r="C238" s="175" t="s">
        <v>1044</v>
      </c>
      <c r="D238" s="175" t="s">
        <v>1050</v>
      </c>
      <c r="E238" s="175" t="s">
        <v>1046</v>
      </c>
      <c r="F238" s="175" t="s">
        <v>1047</v>
      </c>
      <c r="G238" s="175" t="s">
        <v>1049</v>
      </c>
      <c r="H238" s="175" t="s">
        <v>1067</v>
      </c>
      <c r="I238" s="175" t="s">
        <v>1065</v>
      </c>
    </row>
    <row r="239" ht="15.75" customHeight="1">
      <c r="A239" s="172" t="s">
        <v>1290</v>
      </c>
      <c r="B239" s="173" t="s">
        <v>1050</v>
      </c>
      <c r="C239" s="173" t="s">
        <v>1044</v>
      </c>
      <c r="D239" s="173" t="s">
        <v>1060</v>
      </c>
      <c r="E239" s="173" t="s">
        <v>1046</v>
      </c>
      <c r="F239" s="173" t="s">
        <v>1047</v>
      </c>
      <c r="G239" s="173" t="s">
        <v>1049</v>
      </c>
      <c r="H239" s="173" t="s">
        <v>1061</v>
      </c>
      <c r="I239" s="173" t="s">
        <v>1065</v>
      </c>
    </row>
    <row r="240" ht="15.75" customHeight="1">
      <c r="A240" s="174" t="s">
        <v>1291</v>
      </c>
      <c r="B240" s="175" t="s">
        <v>1050</v>
      </c>
      <c r="C240" s="175" t="s">
        <v>1044</v>
      </c>
      <c r="D240" s="175" t="s">
        <v>1060</v>
      </c>
      <c r="E240" s="175" t="s">
        <v>1046</v>
      </c>
      <c r="F240" s="175" t="s">
        <v>1047</v>
      </c>
      <c r="G240" s="175" t="s">
        <v>1049</v>
      </c>
      <c r="H240" s="175" t="s">
        <v>1067</v>
      </c>
      <c r="I240" s="175" t="s">
        <v>1061</v>
      </c>
    </row>
    <row r="241" ht="15.75" customHeight="1">
      <c r="A241" s="172" t="s">
        <v>1292</v>
      </c>
      <c r="B241" s="173" t="s">
        <v>1050</v>
      </c>
      <c r="C241" s="173" t="s">
        <v>1044</v>
      </c>
      <c r="D241" s="173" t="s">
        <v>1061</v>
      </c>
      <c r="E241" s="173" t="s">
        <v>1046</v>
      </c>
      <c r="F241" s="173" t="s">
        <v>1047</v>
      </c>
      <c r="G241" s="173" t="s">
        <v>1049</v>
      </c>
      <c r="H241" s="173" t="s">
        <v>1067</v>
      </c>
      <c r="I241" s="173" t="s">
        <v>1065</v>
      </c>
    </row>
    <row r="242" ht="15.75" customHeight="1">
      <c r="A242" s="174" t="s">
        <v>1293</v>
      </c>
      <c r="B242" s="175" t="s">
        <v>1050</v>
      </c>
      <c r="C242" s="175" t="s">
        <v>1044</v>
      </c>
      <c r="D242" s="175" t="s">
        <v>1060</v>
      </c>
      <c r="E242" s="175" t="s">
        <v>1046</v>
      </c>
      <c r="F242" s="175" t="s">
        <v>1047</v>
      </c>
      <c r="G242" s="175" t="s">
        <v>1049</v>
      </c>
      <c r="H242" s="175" t="s">
        <v>1067</v>
      </c>
      <c r="I242" s="175" t="s">
        <v>1065</v>
      </c>
    </row>
    <row r="243" ht="15.75" customHeight="1">
      <c r="A243" s="172" t="s">
        <v>1294</v>
      </c>
      <c r="B243" s="173" t="s">
        <v>1043</v>
      </c>
      <c r="C243" s="173" t="s">
        <v>1060</v>
      </c>
      <c r="D243" s="173" t="s">
        <v>1050</v>
      </c>
      <c r="E243" s="173" t="s">
        <v>1046</v>
      </c>
      <c r="F243" s="173" t="s">
        <v>1047</v>
      </c>
      <c r="G243" s="173" t="s">
        <v>1049</v>
      </c>
      <c r="H243" s="173" t="s">
        <v>1061</v>
      </c>
      <c r="I243" s="173" t="s">
        <v>1065</v>
      </c>
    </row>
    <row r="244" ht="15.75" customHeight="1">
      <c r="A244" s="174" t="s">
        <v>1295</v>
      </c>
      <c r="B244" s="175" t="s">
        <v>1050</v>
      </c>
      <c r="C244" s="175" t="s">
        <v>1060</v>
      </c>
      <c r="D244" s="175" t="s">
        <v>1061</v>
      </c>
      <c r="E244" s="175" t="s">
        <v>1046</v>
      </c>
      <c r="F244" s="175" t="s">
        <v>1047</v>
      </c>
      <c r="G244" s="175" t="s">
        <v>1049</v>
      </c>
      <c r="H244" s="175" t="s">
        <v>1067</v>
      </c>
      <c r="I244" s="175" t="s">
        <v>1065</v>
      </c>
    </row>
    <row r="245" ht="15.75" customHeight="1">
      <c r="A245" s="172" t="s">
        <v>1296</v>
      </c>
      <c r="B245" s="173" t="s">
        <v>1043</v>
      </c>
      <c r="C245" s="173" t="s">
        <v>1050</v>
      </c>
      <c r="D245" s="173" t="s">
        <v>1061</v>
      </c>
      <c r="E245" s="173" t="s">
        <v>1046</v>
      </c>
      <c r="F245" s="173" t="s">
        <v>1047</v>
      </c>
      <c r="G245" s="173" t="s">
        <v>1049</v>
      </c>
      <c r="H245" s="173" t="s">
        <v>1067</v>
      </c>
      <c r="I245" s="173" t="s">
        <v>1065</v>
      </c>
    </row>
    <row r="246" ht="15.75" customHeight="1">
      <c r="A246" s="174" t="s">
        <v>1297</v>
      </c>
      <c r="B246" s="175" t="s">
        <v>1043</v>
      </c>
      <c r="C246" s="175" t="s">
        <v>1060</v>
      </c>
      <c r="D246" s="175" t="s">
        <v>1050</v>
      </c>
      <c r="E246" s="175" t="s">
        <v>1046</v>
      </c>
      <c r="F246" s="175" t="s">
        <v>1047</v>
      </c>
      <c r="G246" s="175" t="s">
        <v>1049</v>
      </c>
      <c r="H246" s="175" t="s">
        <v>1067</v>
      </c>
      <c r="I246" s="175" t="s">
        <v>1065</v>
      </c>
    </row>
    <row r="247" ht="15.75" customHeight="1">
      <c r="A247" s="172" t="s">
        <v>1298</v>
      </c>
      <c r="B247" s="173" t="s">
        <v>1043</v>
      </c>
      <c r="C247" s="173" t="s">
        <v>1044</v>
      </c>
      <c r="D247" s="173" t="s">
        <v>1045</v>
      </c>
      <c r="E247" s="173" t="s">
        <v>1046</v>
      </c>
      <c r="F247" s="173" t="s">
        <v>1047</v>
      </c>
      <c r="G247" s="173" t="s">
        <v>1048</v>
      </c>
      <c r="H247" s="173" t="s">
        <v>1049</v>
      </c>
      <c r="I247" s="173" t="s">
        <v>1050</v>
      </c>
    </row>
    <row r="248" ht="15.75" customHeight="1">
      <c r="A248" s="174" t="s">
        <v>1299</v>
      </c>
      <c r="B248" s="175" t="s">
        <v>1043</v>
      </c>
      <c r="C248" s="175" t="s">
        <v>1044</v>
      </c>
      <c r="D248" s="175" t="s">
        <v>1060</v>
      </c>
      <c r="E248" s="175" t="s">
        <v>1046</v>
      </c>
      <c r="F248" s="175" t="s">
        <v>1047</v>
      </c>
      <c r="G248" s="175" t="s">
        <v>1048</v>
      </c>
      <c r="H248" s="175" t="s">
        <v>1049</v>
      </c>
      <c r="I248" s="175" t="s">
        <v>1061</v>
      </c>
    </row>
    <row r="249" ht="15.75" customHeight="1">
      <c r="A249" s="172" t="s">
        <v>1300</v>
      </c>
      <c r="B249" s="173" t="s">
        <v>1043</v>
      </c>
      <c r="C249" s="173" t="s">
        <v>1044</v>
      </c>
      <c r="D249" s="173" t="s">
        <v>1048</v>
      </c>
      <c r="E249" s="173" t="s">
        <v>1046</v>
      </c>
      <c r="F249" s="173" t="s">
        <v>1047</v>
      </c>
      <c r="G249" s="173" t="s">
        <v>1049</v>
      </c>
      <c r="H249" s="173" t="s">
        <v>1061</v>
      </c>
      <c r="I249" s="173" t="s">
        <v>1065</v>
      </c>
    </row>
    <row r="250" ht="15.75" customHeight="1">
      <c r="A250" s="174" t="s">
        <v>1301</v>
      </c>
      <c r="B250" s="175" t="s">
        <v>1043</v>
      </c>
      <c r="C250" s="175" t="s">
        <v>1044</v>
      </c>
      <c r="D250" s="175" t="s">
        <v>1048</v>
      </c>
      <c r="E250" s="175" t="s">
        <v>1046</v>
      </c>
      <c r="F250" s="175" t="s">
        <v>1047</v>
      </c>
      <c r="G250" s="175" t="s">
        <v>1049</v>
      </c>
      <c r="H250" s="175" t="s">
        <v>1067</v>
      </c>
      <c r="I250" s="175" t="s">
        <v>1061</v>
      </c>
    </row>
    <row r="251" ht="15.75" customHeight="1">
      <c r="A251" s="172" t="s">
        <v>1302</v>
      </c>
      <c r="B251" s="173" t="s">
        <v>1043</v>
      </c>
      <c r="C251" s="173" t="s">
        <v>1044</v>
      </c>
      <c r="D251" s="173" t="s">
        <v>1060</v>
      </c>
      <c r="E251" s="173" t="s">
        <v>1046</v>
      </c>
      <c r="F251" s="173" t="s">
        <v>1047</v>
      </c>
      <c r="G251" s="173" t="s">
        <v>1048</v>
      </c>
      <c r="H251" s="173" t="s">
        <v>1049</v>
      </c>
      <c r="I251" s="173" t="s">
        <v>1065</v>
      </c>
    </row>
    <row r="252" ht="15.75" customHeight="1">
      <c r="A252" s="174" t="s">
        <v>1303</v>
      </c>
      <c r="B252" s="175" t="s">
        <v>1046</v>
      </c>
      <c r="C252" s="175" t="s">
        <v>1044</v>
      </c>
      <c r="D252" s="175" t="s">
        <v>1060</v>
      </c>
      <c r="E252" s="175" t="s">
        <v>1049</v>
      </c>
      <c r="F252" s="175" t="s">
        <v>1047</v>
      </c>
      <c r="G252" s="175" t="s">
        <v>1048</v>
      </c>
      <c r="H252" s="175" t="s">
        <v>1067</v>
      </c>
      <c r="I252" s="175" t="s">
        <v>1043</v>
      </c>
    </row>
    <row r="253" ht="15.75" customHeight="1">
      <c r="A253" s="172" t="s">
        <v>1304</v>
      </c>
      <c r="B253" s="173" t="s">
        <v>1043</v>
      </c>
      <c r="C253" s="173" t="s">
        <v>1044</v>
      </c>
      <c r="D253" s="173" t="s">
        <v>1048</v>
      </c>
      <c r="E253" s="173" t="s">
        <v>1046</v>
      </c>
      <c r="F253" s="173" t="s">
        <v>1047</v>
      </c>
      <c r="G253" s="173" t="s">
        <v>1049</v>
      </c>
      <c r="H253" s="173" t="s">
        <v>1067</v>
      </c>
      <c r="I253" s="173" t="s">
        <v>1065</v>
      </c>
    </row>
    <row r="254" ht="15.75" customHeight="1">
      <c r="A254" s="174" t="s">
        <v>1305</v>
      </c>
      <c r="B254" s="175" t="s">
        <v>1046</v>
      </c>
      <c r="C254" s="175" t="s">
        <v>1044</v>
      </c>
      <c r="D254" s="175" t="s">
        <v>1060</v>
      </c>
      <c r="E254" s="175" t="s">
        <v>1049</v>
      </c>
      <c r="F254" s="175" t="s">
        <v>1047</v>
      </c>
      <c r="G254" s="175" t="s">
        <v>1048</v>
      </c>
      <c r="H254" s="175" t="s">
        <v>1061</v>
      </c>
      <c r="I254" s="175" t="s">
        <v>1065</v>
      </c>
    </row>
    <row r="255" ht="15.75" customHeight="1">
      <c r="A255" s="172" t="s">
        <v>1306</v>
      </c>
      <c r="B255" s="173" t="s">
        <v>1046</v>
      </c>
      <c r="C255" s="173" t="s">
        <v>1044</v>
      </c>
      <c r="D255" s="173" t="s">
        <v>1060</v>
      </c>
      <c r="E255" s="173" t="s">
        <v>1049</v>
      </c>
      <c r="F255" s="173" t="s">
        <v>1047</v>
      </c>
      <c r="G255" s="173" t="s">
        <v>1048</v>
      </c>
      <c r="H255" s="173" t="s">
        <v>1067</v>
      </c>
      <c r="I255" s="173" t="s">
        <v>1061</v>
      </c>
    </row>
    <row r="256" ht="15.75" customHeight="1">
      <c r="A256" s="174" t="s">
        <v>1307</v>
      </c>
      <c r="B256" s="175" t="s">
        <v>1046</v>
      </c>
      <c r="C256" s="175" t="s">
        <v>1044</v>
      </c>
      <c r="D256" s="175" t="s">
        <v>1061</v>
      </c>
      <c r="E256" s="175" t="s">
        <v>1049</v>
      </c>
      <c r="F256" s="175" t="s">
        <v>1047</v>
      </c>
      <c r="G256" s="175" t="s">
        <v>1048</v>
      </c>
      <c r="H256" s="175" t="s">
        <v>1067</v>
      </c>
      <c r="I256" s="175" t="s">
        <v>1065</v>
      </c>
    </row>
    <row r="257" ht="15.75" customHeight="1">
      <c r="A257" s="172" t="s">
        <v>1308</v>
      </c>
      <c r="B257" s="173" t="s">
        <v>1046</v>
      </c>
      <c r="C257" s="173" t="s">
        <v>1044</v>
      </c>
      <c r="D257" s="173" t="s">
        <v>1060</v>
      </c>
      <c r="E257" s="173" t="s">
        <v>1049</v>
      </c>
      <c r="F257" s="173" t="s">
        <v>1047</v>
      </c>
      <c r="G257" s="173" t="s">
        <v>1048</v>
      </c>
      <c r="H257" s="173" t="s">
        <v>1067</v>
      </c>
      <c r="I257" s="173" t="s">
        <v>1065</v>
      </c>
    </row>
    <row r="258" ht="15.75" customHeight="1">
      <c r="A258" s="174" t="s">
        <v>1309</v>
      </c>
      <c r="B258" s="175" t="s">
        <v>1043</v>
      </c>
      <c r="C258" s="175" t="s">
        <v>1060</v>
      </c>
      <c r="D258" s="175" t="s">
        <v>1048</v>
      </c>
      <c r="E258" s="175" t="s">
        <v>1046</v>
      </c>
      <c r="F258" s="175" t="s">
        <v>1047</v>
      </c>
      <c r="G258" s="175" t="s">
        <v>1049</v>
      </c>
      <c r="H258" s="175" t="s">
        <v>1061</v>
      </c>
      <c r="I258" s="175" t="s">
        <v>1065</v>
      </c>
    </row>
    <row r="259" ht="15.75" customHeight="1">
      <c r="A259" s="172" t="s">
        <v>1310</v>
      </c>
      <c r="B259" s="173" t="s">
        <v>1043</v>
      </c>
      <c r="C259" s="173" t="s">
        <v>1060</v>
      </c>
      <c r="D259" s="173" t="s">
        <v>1048</v>
      </c>
      <c r="E259" s="173" t="s">
        <v>1046</v>
      </c>
      <c r="F259" s="173" t="s">
        <v>1047</v>
      </c>
      <c r="G259" s="173" t="s">
        <v>1049</v>
      </c>
      <c r="H259" s="173" t="s">
        <v>1067</v>
      </c>
      <c r="I259" s="173" t="s">
        <v>1061</v>
      </c>
    </row>
    <row r="260" ht="15.75" customHeight="1">
      <c r="A260" s="174" t="s">
        <v>1311</v>
      </c>
      <c r="B260" s="175" t="s">
        <v>1043</v>
      </c>
      <c r="C260" s="175" t="s">
        <v>1048</v>
      </c>
      <c r="D260" s="175" t="s">
        <v>1061</v>
      </c>
      <c r="E260" s="175" t="s">
        <v>1046</v>
      </c>
      <c r="F260" s="175" t="s">
        <v>1047</v>
      </c>
      <c r="G260" s="175" t="s">
        <v>1049</v>
      </c>
      <c r="H260" s="175" t="s">
        <v>1067</v>
      </c>
      <c r="I260" s="175" t="s">
        <v>1065</v>
      </c>
    </row>
    <row r="261" ht="15.75" customHeight="1">
      <c r="A261" s="172" t="s">
        <v>1312</v>
      </c>
      <c r="B261" s="173" t="s">
        <v>1043</v>
      </c>
      <c r="C261" s="173" t="s">
        <v>1060</v>
      </c>
      <c r="D261" s="173" t="s">
        <v>1048</v>
      </c>
      <c r="E261" s="173" t="s">
        <v>1046</v>
      </c>
      <c r="F261" s="173" t="s">
        <v>1047</v>
      </c>
      <c r="G261" s="173" t="s">
        <v>1049</v>
      </c>
      <c r="H261" s="173" t="s">
        <v>1067</v>
      </c>
      <c r="I261" s="173" t="s">
        <v>1065</v>
      </c>
    </row>
    <row r="262" ht="15.75" customHeight="1">
      <c r="A262" s="174" t="s">
        <v>1313</v>
      </c>
      <c r="B262" s="175" t="s">
        <v>1046</v>
      </c>
      <c r="C262" s="175" t="s">
        <v>1060</v>
      </c>
      <c r="D262" s="175" t="s">
        <v>1061</v>
      </c>
      <c r="E262" s="175" t="s">
        <v>1049</v>
      </c>
      <c r="F262" s="175" t="s">
        <v>1047</v>
      </c>
      <c r="G262" s="175" t="s">
        <v>1048</v>
      </c>
      <c r="H262" s="175" t="s">
        <v>1067</v>
      </c>
      <c r="I262" s="175" t="s">
        <v>1065</v>
      </c>
    </row>
    <row r="263" ht="15.75" customHeight="1">
      <c r="A263" s="172" t="s">
        <v>1314</v>
      </c>
      <c r="B263" s="173" t="s">
        <v>1043</v>
      </c>
      <c r="C263" s="173" t="s">
        <v>1044</v>
      </c>
      <c r="D263" s="173" t="s">
        <v>1060</v>
      </c>
      <c r="E263" s="173" t="s">
        <v>1046</v>
      </c>
      <c r="F263" s="173" t="s">
        <v>1047</v>
      </c>
      <c r="G263" s="173" t="s">
        <v>1049</v>
      </c>
      <c r="H263" s="173" t="s">
        <v>1061</v>
      </c>
      <c r="I263" s="173" t="s">
        <v>1065</v>
      </c>
    </row>
    <row r="264" ht="15.75" customHeight="1">
      <c r="A264" s="174" t="s">
        <v>1315</v>
      </c>
      <c r="B264" s="175" t="s">
        <v>1061</v>
      </c>
      <c r="C264" s="175" t="s">
        <v>1044</v>
      </c>
      <c r="D264" s="175" t="s">
        <v>1060</v>
      </c>
      <c r="E264" s="175" t="s">
        <v>1046</v>
      </c>
      <c r="F264" s="175" t="s">
        <v>1047</v>
      </c>
      <c r="G264" s="175" t="s">
        <v>1049</v>
      </c>
      <c r="H264" s="175" t="s">
        <v>1067</v>
      </c>
      <c r="I264" s="175" t="s">
        <v>1065</v>
      </c>
    </row>
    <row r="265" ht="15.75" customHeight="1">
      <c r="A265" s="172" t="s">
        <v>1316</v>
      </c>
      <c r="B265" s="173" t="s">
        <v>1043</v>
      </c>
      <c r="C265" s="173" t="s">
        <v>1044</v>
      </c>
      <c r="D265" s="173" t="s">
        <v>1061</v>
      </c>
      <c r="E265" s="173" t="s">
        <v>1046</v>
      </c>
      <c r="F265" s="173" t="s">
        <v>1047</v>
      </c>
      <c r="G265" s="173" t="s">
        <v>1049</v>
      </c>
      <c r="H265" s="173" t="s">
        <v>1067</v>
      </c>
      <c r="I265" s="173" t="s">
        <v>1065</v>
      </c>
    </row>
    <row r="266" ht="15.75" customHeight="1">
      <c r="A266" s="174" t="s">
        <v>1317</v>
      </c>
      <c r="B266" s="175" t="s">
        <v>1043</v>
      </c>
      <c r="C266" s="175" t="s">
        <v>1044</v>
      </c>
      <c r="D266" s="175" t="s">
        <v>1060</v>
      </c>
      <c r="E266" s="175" t="s">
        <v>1046</v>
      </c>
      <c r="F266" s="175" t="s">
        <v>1047</v>
      </c>
      <c r="G266" s="175" t="s">
        <v>1049</v>
      </c>
      <c r="H266" s="175" t="s">
        <v>1067</v>
      </c>
      <c r="I266" s="175" t="s">
        <v>1065</v>
      </c>
    </row>
    <row r="267" ht="15.75" customHeight="1">
      <c r="A267" s="172" t="s">
        <v>1318</v>
      </c>
      <c r="B267" s="173" t="s">
        <v>1043</v>
      </c>
      <c r="C267" s="173" t="s">
        <v>1044</v>
      </c>
      <c r="D267" s="173" t="s">
        <v>1045</v>
      </c>
      <c r="E267" s="173" t="s">
        <v>1046</v>
      </c>
      <c r="F267" s="173" t="s">
        <v>1047</v>
      </c>
      <c r="G267" s="173" t="s">
        <v>1048</v>
      </c>
      <c r="H267" s="173" t="s">
        <v>1049</v>
      </c>
      <c r="I267" s="173" t="s">
        <v>1050</v>
      </c>
    </row>
    <row r="268" ht="15.75" customHeight="1">
      <c r="A268" s="174" t="s">
        <v>1319</v>
      </c>
      <c r="B268" s="175" t="s">
        <v>1043</v>
      </c>
      <c r="C268" s="175" t="s">
        <v>1060</v>
      </c>
      <c r="D268" s="175" t="s">
        <v>1061</v>
      </c>
      <c r="E268" s="175" t="s">
        <v>1046</v>
      </c>
      <c r="F268" s="175" t="s">
        <v>1047</v>
      </c>
      <c r="G268" s="175" t="s">
        <v>1049</v>
      </c>
      <c r="H268" s="175" t="s">
        <v>1067</v>
      </c>
      <c r="I268" s="175" t="s">
        <v>1065</v>
      </c>
    </row>
    <row r="269" ht="15.75" customHeight="1">
      <c r="A269" s="172" t="s">
        <v>1320</v>
      </c>
      <c r="B269" s="173" t="s">
        <v>1043</v>
      </c>
      <c r="C269" s="173" t="s">
        <v>1044</v>
      </c>
      <c r="D269" s="173" t="s">
        <v>1060</v>
      </c>
      <c r="E269" s="173" t="s">
        <v>1046</v>
      </c>
      <c r="F269" s="173" t="s">
        <v>1047</v>
      </c>
      <c r="G269" s="173" t="s">
        <v>1048</v>
      </c>
      <c r="H269" s="173" t="s">
        <v>1050</v>
      </c>
      <c r="I269" s="173" t="s">
        <v>1061</v>
      </c>
    </row>
    <row r="270" ht="15.75" customHeight="1">
      <c r="A270" s="174" t="s">
        <v>1321</v>
      </c>
      <c r="B270" s="175" t="s">
        <v>1043</v>
      </c>
      <c r="C270" s="175" t="s">
        <v>1044</v>
      </c>
      <c r="D270" s="175" t="s">
        <v>1050</v>
      </c>
      <c r="E270" s="175" t="s">
        <v>1046</v>
      </c>
      <c r="F270" s="175" t="s">
        <v>1047</v>
      </c>
      <c r="G270" s="175" t="s">
        <v>1048</v>
      </c>
      <c r="H270" s="175" t="s">
        <v>1061</v>
      </c>
      <c r="I270" s="175" t="s">
        <v>1065</v>
      </c>
    </row>
    <row r="271" ht="15.75" customHeight="1">
      <c r="A271" s="172" t="s">
        <v>1322</v>
      </c>
      <c r="B271" s="173" t="s">
        <v>1043</v>
      </c>
      <c r="C271" s="173" t="s">
        <v>1044</v>
      </c>
      <c r="D271" s="173" t="s">
        <v>1050</v>
      </c>
      <c r="E271" s="173" t="s">
        <v>1046</v>
      </c>
      <c r="F271" s="173" t="s">
        <v>1047</v>
      </c>
      <c r="G271" s="173" t="s">
        <v>1048</v>
      </c>
      <c r="H271" s="173" t="s">
        <v>1067</v>
      </c>
      <c r="I271" s="173" t="s">
        <v>1061</v>
      </c>
    </row>
    <row r="272" ht="15.75" customHeight="1">
      <c r="A272" s="174" t="s">
        <v>1323</v>
      </c>
      <c r="B272" s="175" t="s">
        <v>1043</v>
      </c>
      <c r="C272" s="175" t="s">
        <v>1044</v>
      </c>
      <c r="D272" s="175" t="s">
        <v>1060</v>
      </c>
      <c r="E272" s="175" t="s">
        <v>1046</v>
      </c>
      <c r="F272" s="175" t="s">
        <v>1047</v>
      </c>
      <c r="G272" s="175" t="s">
        <v>1048</v>
      </c>
      <c r="H272" s="175" t="s">
        <v>1050</v>
      </c>
      <c r="I272" s="175" t="s">
        <v>1065</v>
      </c>
    </row>
    <row r="273" ht="15.75" customHeight="1">
      <c r="A273" s="172" t="s">
        <v>1324</v>
      </c>
      <c r="B273" s="173" t="s">
        <v>1043</v>
      </c>
      <c r="C273" s="173" t="s">
        <v>1044</v>
      </c>
      <c r="D273" s="173" t="s">
        <v>1060</v>
      </c>
      <c r="E273" s="173" t="s">
        <v>1046</v>
      </c>
      <c r="F273" s="173" t="s">
        <v>1047</v>
      </c>
      <c r="G273" s="173" t="s">
        <v>1048</v>
      </c>
      <c r="H273" s="173" t="s">
        <v>1067</v>
      </c>
      <c r="I273" s="173" t="s">
        <v>1050</v>
      </c>
    </row>
    <row r="274" ht="15.75" customHeight="1">
      <c r="A274" s="174" t="s">
        <v>1325</v>
      </c>
      <c r="B274" s="175" t="s">
        <v>1043</v>
      </c>
      <c r="C274" s="175" t="s">
        <v>1044</v>
      </c>
      <c r="D274" s="175" t="s">
        <v>1050</v>
      </c>
      <c r="E274" s="175" t="s">
        <v>1046</v>
      </c>
      <c r="F274" s="175" t="s">
        <v>1047</v>
      </c>
      <c r="G274" s="175" t="s">
        <v>1048</v>
      </c>
      <c r="H274" s="175" t="s">
        <v>1067</v>
      </c>
      <c r="I274" s="175" t="s">
        <v>1065</v>
      </c>
    </row>
    <row r="275" ht="15.75" customHeight="1">
      <c r="A275" s="172" t="s">
        <v>1326</v>
      </c>
      <c r="B275" s="173" t="s">
        <v>1050</v>
      </c>
      <c r="C275" s="173" t="s">
        <v>1044</v>
      </c>
      <c r="D275" s="173" t="s">
        <v>1060</v>
      </c>
      <c r="E275" s="173" t="s">
        <v>1046</v>
      </c>
      <c r="F275" s="173" t="s">
        <v>1047</v>
      </c>
      <c r="G275" s="173" t="s">
        <v>1048</v>
      </c>
      <c r="H275" s="173" t="s">
        <v>1061</v>
      </c>
      <c r="I275" s="173" t="s">
        <v>1065</v>
      </c>
    </row>
    <row r="276" ht="15.75" customHeight="1">
      <c r="A276" s="174" t="s">
        <v>1327</v>
      </c>
      <c r="B276" s="175" t="s">
        <v>1050</v>
      </c>
      <c r="C276" s="175" t="s">
        <v>1044</v>
      </c>
      <c r="D276" s="175" t="s">
        <v>1060</v>
      </c>
      <c r="E276" s="175" t="s">
        <v>1046</v>
      </c>
      <c r="F276" s="175" t="s">
        <v>1047</v>
      </c>
      <c r="G276" s="175" t="s">
        <v>1048</v>
      </c>
      <c r="H276" s="175" t="s">
        <v>1067</v>
      </c>
      <c r="I276" s="175" t="s">
        <v>1061</v>
      </c>
    </row>
    <row r="277" ht="15.75" customHeight="1">
      <c r="A277" s="172" t="s">
        <v>1328</v>
      </c>
      <c r="B277" s="173" t="s">
        <v>1050</v>
      </c>
      <c r="C277" s="173" t="s">
        <v>1044</v>
      </c>
      <c r="D277" s="173" t="s">
        <v>1061</v>
      </c>
      <c r="E277" s="173" t="s">
        <v>1046</v>
      </c>
      <c r="F277" s="173" t="s">
        <v>1047</v>
      </c>
      <c r="G277" s="173" t="s">
        <v>1048</v>
      </c>
      <c r="H277" s="173" t="s">
        <v>1067</v>
      </c>
      <c r="I277" s="173" t="s">
        <v>1065</v>
      </c>
    </row>
    <row r="278" ht="15.75" customHeight="1">
      <c r="A278" s="174" t="s">
        <v>1329</v>
      </c>
      <c r="B278" s="175" t="s">
        <v>1050</v>
      </c>
      <c r="C278" s="175" t="s">
        <v>1044</v>
      </c>
      <c r="D278" s="175" t="s">
        <v>1060</v>
      </c>
      <c r="E278" s="175" t="s">
        <v>1046</v>
      </c>
      <c r="F278" s="175" t="s">
        <v>1047</v>
      </c>
      <c r="G278" s="175" t="s">
        <v>1048</v>
      </c>
      <c r="H278" s="175" t="s">
        <v>1067</v>
      </c>
      <c r="I278" s="175" t="s">
        <v>1065</v>
      </c>
    </row>
    <row r="279" ht="15.75" customHeight="1">
      <c r="A279" s="172" t="s">
        <v>1330</v>
      </c>
      <c r="B279" s="173" t="s">
        <v>1043</v>
      </c>
      <c r="C279" s="173" t="s">
        <v>1060</v>
      </c>
      <c r="D279" s="173" t="s">
        <v>1050</v>
      </c>
      <c r="E279" s="173" t="s">
        <v>1046</v>
      </c>
      <c r="F279" s="173" t="s">
        <v>1047</v>
      </c>
      <c r="G279" s="173" t="s">
        <v>1048</v>
      </c>
      <c r="H279" s="173" t="s">
        <v>1061</v>
      </c>
      <c r="I279" s="173" t="s">
        <v>1065</v>
      </c>
    </row>
    <row r="280" ht="15.75" customHeight="1">
      <c r="A280" s="174" t="s">
        <v>1331</v>
      </c>
      <c r="B280" s="175" t="s">
        <v>1043</v>
      </c>
      <c r="C280" s="175" t="s">
        <v>1060</v>
      </c>
      <c r="D280" s="175" t="s">
        <v>1050</v>
      </c>
      <c r="E280" s="175" t="s">
        <v>1046</v>
      </c>
      <c r="F280" s="175" t="s">
        <v>1047</v>
      </c>
      <c r="G280" s="175" t="s">
        <v>1048</v>
      </c>
      <c r="H280" s="175" t="s">
        <v>1067</v>
      </c>
      <c r="I280" s="175" t="s">
        <v>1061</v>
      </c>
    </row>
    <row r="281" ht="15.75" customHeight="1">
      <c r="A281" s="172" t="s">
        <v>1332</v>
      </c>
      <c r="B281" s="173" t="s">
        <v>1043</v>
      </c>
      <c r="C281" s="173" t="s">
        <v>1050</v>
      </c>
      <c r="D281" s="173" t="s">
        <v>1061</v>
      </c>
      <c r="E281" s="173" t="s">
        <v>1046</v>
      </c>
      <c r="F281" s="173" t="s">
        <v>1047</v>
      </c>
      <c r="G281" s="173" t="s">
        <v>1048</v>
      </c>
      <c r="H281" s="173" t="s">
        <v>1067</v>
      </c>
      <c r="I281" s="173" t="s">
        <v>1065</v>
      </c>
    </row>
    <row r="282" ht="15.75" customHeight="1">
      <c r="A282" s="174" t="s">
        <v>1333</v>
      </c>
      <c r="B282" s="175" t="s">
        <v>1043</v>
      </c>
      <c r="C282" s="175" t="s">
        <v>1060</v>
      </c>
      <c r="D282" s="175" t="s">
        <v>1050</v>
      </c>
      <c r="E282" s="175" t="s">
        <v>1046</v>
      </c>
      <c r="F282" s="175" t="s">
        <v>1047</v>
      </c>
      <c r="G282" s="175" t="s">
        <v>1048</v>
      </c>
      <c r="H282" s="175" t="s">
        <v>1067</v>
      </c>
      <c r="I282" s="175" t="s">
        <v>1065</v>
      </c>
    </row>
    <row r="283" ht="15.75" customHeight="1">
      <c r="A283" s="172" t="s">
        <v>1334</v>
      </c>
      <c r="B283" s="173" t="s">
        <v>1050</v>
      </c>
      <c r="C283" s="173" t="s">
        <v>1060</v>
      </c>
      <c r="D283" s="173" t="s">
        <v>1061</v>
      </c>
      <c r="E283" s="173" t="s">
        <v>1046</v>
      </c>
      <c r="F283" s="173" t="s">
        <v>1047</v>
      </c>
      <c r="G283" s="173" t="s">
        <v>1048</v>
      </c>
      <c r="H283" s="173" t="s">
        <v>1067</v>
      </c>
      <c r="I283" s="173" t="s">
        <v>1065</v>
      </c>
    </row>
    <row r="284" ht="15.75" customHeight="1">
      <c r="A284" s="174" t="s">
        <v>1335</v>
      </c>
      <c r="B284" s="175" t="s">
        <v>1050</v>
      </c>
      <c r="C284" s="175" t="s">
        <v>1044</v>
      </c>
      <c r="D284" s="175" t="s">
        <v>1060</v>
      </c>
      <c r="E284" s="175" t="s">
        <v>1046</v>
      </c>
      <c r="F284" s="175" t="s">
        <v>1047</v>
      </c>
      <c r="G284" s="175" t="s">
        <v>1043</v>
      </c>
      <c r="H284" s="175" t="s">
        <v>1061</v>
      </c>
      <c r="I284" s="175" t="s">
        <v>1065</v>
      </c>
    </row>
    <row r="285" ht="15.75" customHeight="1">
      <c r="A285" s="172" t="s">
        <v>1336</v>
      </c>
      <c r="B285" s="173" t="s">
        <v>1050</v>
      </c>
      <c r="C285" s="173" t="s">
        <v>1060</v>
      </c>
      <c r="D285" s="173" t="s">
        <v>1061</v>
      </c>
      <c r="E285" s="173" t="s">
        <v>1046</v>
      </c>
      <c r="F285" s="173" t="s">
        <v>1047</v>
      </c>
      <c r="G285" s="173" t="s">
        <v>1044</v>
      </c>
      <c r="H285" s="173" t="s">
        <v>1067</v>
      </c>
      <c r="I285" s="173" t="s">
        <v>1065</v>
      </c>
    </row>
    <row r="286" ht="15.75" customHeight="1">
      <c r="A286" s="174" t="s">
        <v>1337</v>
      </c>
      <c r="B286" s="175" t="s">
        <v>1050</v>
      </c>
      <c r="C286" s="175" t="s">
        <v>1044</v>
      </c>
      <c r="D286" s="175" t="s">
        <v>1061</v>
      </c>
      <c r="E286" s="175" t="s">
        <v>1046</v>
      </c>
      <c r="F286" s="175" t="s">
        <v>1047</v>
      </c>
      <c r="G286" s="175" t="s">
        <v>1043</v>
      </c>
      <c r="H286" s="175" t="s">
        <v>1067</v>
      </c>
      <c r="I286" s="175" t="s">
        <v>1065</v>
      </c>
    </row>
    <row r="287" ht="15.75" customHeight="1">
      <c r="A287" s="172" t="s">
        <v>1338</v>
      </c>
      <c r="B287" s="173" t="s">
        <v>1050</v>
      </c>
      <c r="C287" s="173" t="s">
        <v>1044</v>
      </c>
      <c r="D287" s="173" t="s">
        <v>1060</v>
      </c>
      <c r="E287" s="173" t="s">
        <v>1046</v>
      </c>
      <c r="F287" s="173" t="s">
        <v>1047</v>
      </c>
      <c r="G287" s="173" t="s">
        <v>1043</v>
      </c>
      <c r="H287" s="173" t="s">
        <v>1067</v>
      </c>
      <c r="I287" s="173" t="s">
        <v>1065</v>
      </c>
    </row>
    <row r="288" ht="15.75" customHeight="1">
      <c r="A288" s="174" t="s">
        <v>1339</v>
      </c>
      <c r="B288" s="175" t="s">
        <v>1043</v>
      </c>
      <c r="C288" s="175" t="s">
        <v>1044</v>
      </c>
      <c r="D288" s="175" t="s">
        <v>1045</v>
      </c>
      <c r="E288" s="175" t="s">
        <v>1046</v>
      </c>
      <c r="F288" s="175" t="s">
        <v>1047</v>
      </c>
      <c r="G288" s="175" t="s">
        <v>1048</v>
      </c>
      <c r="H288" s="175" t="s">
        <v>1049</v>
      </c>
      <c r="I288" s="175" t="s">
        <v>1050</v>
      </c>
    </row>
    <row r="289" ht="15.75" customHeight="1">
      <c r="A289" s="172" t="s">
        <v>1340</v>
      </c>
      <c r="B289" s="173" t="s">
        <v>1050</v>
      </c>
      <c r="C289" s="173" t="s">
        <v>1060</v>
      </c>
      <c r="D289" s="173" t="s">
        <v>1061</v>
      </c>
      <c r="E289" s="173" t="s">
        <v>1046</v>
      </c>
      <c r="F289" s="173" t="s">
        <v>1047</v>
      </c>
      <c r="G289" s="173" t="s">
        <v>1043</v>
      </c>
      <c r="H289" s="173" t="s">
        <v>1067</v>
      </c>
      <c r="I289" s="173" t="s">
        <v>1065</v>
      </c>
    </row>
    <row r="290" ht="15.75" customHeight="1">
      <c r="A290" s="174" t="s">
        <v>1341</v>
      </c>
      <c r="B290" s="175" t="s">
        <v>1043</v>
      </c>
      <c r="C290" s="175" t="s">
        <v>1044</v>
      </c>
      <c r="D290" s="175" t="s">
        <v>1060</v>
      </c>
      <c r="E290" s="175" t="s">
        <v>1046</v>
      </c>
      <c r="F290" s="175" t="s">
        <v>1047</v>
      </c>
      <c r="G290" s="175" t="s">
        <v>1048</v>
      </c>
      <c r="H290" s="175" t="s">
        <v>1061</v>
      </c>
      <c r="I290" s="175" t="s">
        <v>1065</v>
      </c>
    </row>
    <row r="291" ht="15.75" customHeight="1">
      <c r="A291" s="172" t="s">
        <v>1342</v>
      </c>
      <c r="B291" s="173" t="s">
        <v>1043</v>
      </c>
      <c r="C291" s="173" t="s">
        <v>1044</v>
      </c>
      <c r="D291" s="173" t="s">
        <v>1060</v>
      </c>
      <c r="E291" s="173" t="s">
        <v>1046</v>
      </c>
      <c r="F291" s="173" t="s">
        <v>1047</v>
      </c>
      <c r="G291" s="173" t="s">
        <v>1048</v>
      </c>
      <c r="H291" s="173" t="s">
        <v>1067</v>
      </c>
      <c r="I291" s="173" t="s">
        <v>1061</v>
      </c>
    </row>
    <row r="292" ht="15.75" customHeight="1">
      <c r="A292" s="174" t="s">
        <v>1343</v>
      </c>
      <c r="B292" s="175" t="s">
        <v>1043</v>
      </c>
      <c r="C292" s="175" t="s">
        <v>1044</v>
      </c>
      <c r="D292" s="175" t="s">
        <v>1061</v>
      </c>
      <c r="E292" s="175" t="s">
        <v>1046</v>
      </c>
      <c r="F292" s="175" t="s">
        <v>1047</v>
      </c>
      <c r="G292" s="175" t="s">
        <v>1048</v>
      </c>
      <c r="H292" s="175" t="s">
        <v>1067</v>
      </c>
      <c r="I292" s="175" t="s">
        <v>1065</v>
      </c>
    </row>
    <row r="293" ht="15.75" customHeight="1">
      <c r="A293" s="172" t="s">
        <v>1344</v>
      </c>
      <c r="B293" s="173" t="s">
        <v>1043</v>
      </c>
      <c r="C293" s="173" t="s">
        <v>1044</v>
      </c>
      <c r="D293" s="173" t="s">
        <v>1060</v>
      </c>
      <c r="E293" s="173" t="s">
        <v>1046</v>
      </c>
      <c r="F293" s="173" t="s">
        <v>1047</v>
      </c>
      <c r="G293" s="173" t="s">
        <v>1048</v>
      </c>
      <c r="H293" s="173" t="s">
        <v>1067</v>
      </c>
      <c r="I293" s="173" t="s">
        <v>1065</v>
      </c>
    </row>
    <row r="294" ht="15.75" customHeight="1">
      <c r="A294" s="174" t="s">
        <v>1345</v>
      </c>
      <c r="B294" s="175" t="s">
        <v>1061</v>
      </c>
      <c r="C294" s="175" t="s">
        <v>1044</v>
      </c>
      <c r="D294" s="175" t="s">
        <v>1060</v>
      </c>
      <c r="E294" s="175" t="s">
        <v>1046</v>
      </c>
      <c r="F294" s="175" t="s">
        <v>1047</v>
      </c>
      <c r="G294" s="175" t="s">
        <v>1048</v>
      </c>
      <c r="H294" s="175" t="s">
        <v>1067</v>
      </c>
      <c r="I294" s="175" t="s">
        <v>1065</v>
      </c>
    </row>
    <row r="295" ht="15.75" customHeight="1">
      <c r="A295" s="172" t="s">
        <v>1346</v>
      </c>
      <c r="B295" s="173" t="s">
        <v>1043</v>
      </c>
      <c r="C295" s="173" t="s">
        <v>1060</v>
      </c>
      <c r="D295" s="173" t="s">
        <v>1061</v>
      </c>
      <c r="E295" s="173" t="s">
        <v>1046</v>
      </c>
      <c r="F295" s="173" t="s">
        <v>1047</v>
      </c>
      <c r="G295" s="173" t="s">
        <v>1048</v>
      </c>
      <c r="H295" s="173" t="s">
        <v>1067</v>
      </c>
      <c r="I295" s="173" t="s">
        <v>1065</v>
      </c>
    </row>
    <row r="296" ht="15.75" customHeight="1">
      <c r="A296" s="174" t="s">
        <v>1347</v>
      </c>
      <c r="B296" s="175" t="s">
        <v>1043</v>
      </c>
      <c r="C296" s="175" t="s">
        <v>1060</v>
      </c>
      <c r="D296" s="175" t="s">
        <v>1061</v>
      </c>
      <c r="E296" s="175" t="s">
        <v>1046</v>
      </c>
      <c r="F296" s="175" t="s">
        <v>1047</v>
      </c>
      <c r="G296" s="175" t="s">
        <v>1044</v>
      </c>
      <c r="H296" s="175" t="s">
        <v>1067</v>
      </c>
      <c r="I296" s="175" t="s">
        <v>1065</v>
      </c>
    </row>
    <row r="297" ht="15.75" customHeight="1">
      <c r="A297" s="172" t="s">
        <v>1348</v>
      </c>
      <c r="B297" s="173" t="s">
        <v>1043</v>
      </c>
      <c r="C297" s="173" t="s">
        <v>1044</v>
      </c>
      <c r="D297" s="173" t="s">
        <v>1060</v>
      </c>
      <c r="E297" s="173" t="s">
        <v>1049</v>
      </c>
      <c r="F297" s="173" t="s">
        <v>1047</v>
      </c>
      <c r="G297" s="173" t="s">
        <v>1048</v>
      </c>
      <c r="H297" s="173" t="s">
        <v>1050</v>
      </c>
      <c r="I297" s="173" t="s">
        <v>1061</v>
      </c>
    </row>
    <row r="298" ht="15.75" customHeight="1">
      <c r="A298" s="174" t="s">
        <v>1349</v>
      </c>
      <c r="B298" s="175" t="s">
        <v>1043</v>
      </c>
      <c r="C298" s="175" t="s">
        <v>1044</v>
      </c>
      <c r="D298" s="175" t="s">
        <v>1050</v>
      </c>
      <c r="E298" s="175" t="s">
        <v>1049</v>
      </c>
      <c r="F298" s="175" t="s">
        <v>1047</v>
      </c>
      <c r="G298" s="175" t="s">
        <v>1048</v>
      </c>
      <c r="H298" s="175" t="s">
        <v>1061</v>
      </c>
      <c r="I298" s="175" t="s">
        <v>1065</v>
      </c>
    </row>
    <row r="299" ht="15.75" customHeight="1">
      <c r="A299" s="172" t="s">
        <v>1350</v>
      </c>
      <c r="B299" s="173" t="s">
        <v>1043</v>
      </c>
      <c r="C299" s="173" t="s">
        <v>1044</v>
      </c>
      <c r="D299" s="173" t="s">
        <v>1050</v>
      </c>
      <c r="E299" s="173" t="s">
        <v>1049</v>
      </c>
      <c r="F299" s="173" t="s">
        <v>1047</v>
      </c>
      <c r="G299" s="173" t="s">
        <v>1048</v>
      </c>
      <c r="H299" s="173" t="s">
        <v>1067</v>
      </c>
      <c r="I299" s="173" t="s">
        <v>1061</v>
      </c>
    </row>
    <row r="300" ht="15.75" customHeight="1">
      <c r="A300" s="174" t="s">
        <v>1351</v>
      </c>
      <c r="B300" s="175" t="s">
        <v>1043</v>
      </c>
      <c r="C300" s="175" t="s">
        <v>1044</v>
      </c>
      <c r="D300" s="175" t="s">
        <v>1060</v>
      </c>
      <c r="E300" s="175" t="s">
        <v>1049</v>
      </c>
      <c r="F300" s="175" t="s">
        <v>1047</v>
      </c>
      <c r="G300" s="175" t="s">
        <v>1048</v>
      </c>
      <c r="H300" s="175" t="s">
        <v>1050</v>
      </c>
      <c r="I300" s="175" t="s">
        <v>1065</v>
      </c>
    </row>
    <row r="301" ht="15.75" customHeight="1">
      <c r="A301" s="172" t="s">
        <v>1352</v>
      </c>
      <c r="B301" s="173" t="s">
        <v>1043</v>
      </c>
      <c r="C301" s="173" t="s">
        <v>1044</v>
      </c>
      <c r="D301" s="173" t="s">
        <v>1060</v>
      </c>
      <c r="E301" s="173" t="s">
        <v>1049</v>
      </c>
      <c r="F301" s="173" t="s">
        <v>1047</v>
      </c>
      <c r="G301" s="173" t="s">
        <v>1048</v>
      </c>
      <c r="H301" s="173" t="s">
        <v>1067</v>
      </c>
      <c r="I301" s="173" t="s">
        <v>1050</v>
      </c>
    </row>
    <row r="302" ht="15.75" customHeight="1">
      <c r="A302" s="174" t="s">
        <v>1353</v>
      </c>
      <c r="B302" s="175" t="s">
        <v>1043</v>
      </c>
      <c r="C302" s="175" t="s">
        <v>1044</v>
      </c>
      <c r="D302" s="175" t="s">
        <v>1050</v>
      </c>
      <c r="E302" s="175" t="s">
        <v>1049</v>
      </c>
      <c r="F302" s="175" t="s">
        <v>1047</v>
      </c>
      <c r="G302" s="175" t="s">
        <v>1048</v>
      </c>
      <c r="H302" s="175" t="s">
        <v>1067</v>
      </c>
      <c r="I302" s="175" t="s">
        <v>1065</v>
      </c>
    </row>
    <row r="303" ht="15.75" customHeight="1">
      <c r="A303" s="172" t="s">
        <v>1354</v>
      </c>
      <c r="B303" s="173" t="s">
        <v>1050</v>
      </c>
      <c r="C303" s="173" t="s">
        <v>1044</v>
      </c>
      <c r="D303" s="173" t="s">
        <v>1060</v>
      </c>
      <c r="E303" s="173" t="s">
        <v>1049</v>
      </c>
      <c r="F303" s="173" t="s">
        <v>1047</v>
      </c>
      <c r="G303" s="173" t="s">
        <v>1048</v>
      </c>
      <c r="H303" s="173" t="s">
        <v>1061</v>
      </c>
      <c r="I303" s="173" t="s">
        <v>1065</v>
      </c>
    </row>
    <row r="304" ht="15.75" customHeight="1">
      <c r="A304" s="174" t="s">
        <v>1355</v>
      </c>
      <c r="B304" s="175" t="s">
        <v>1050</v>
      </c>
      <c r="C304" s="175" t="s">
        <v>1044</v>
      </c>
      <c r="D304" s="175" t="s">
        <v>1060</v>
      </c>
      <c r="E304" s="175" t="s">
        <v>1049</v>
      </c>
      <c r="F304" s="175" t="s">
        <v>1047</v>
      </c>
      <c r="G304" s="175" t="s">
        <v>1048</v>
      </c>
      <c r="H304" s="175" t="s">
        <v>1067</v>
      </c>
      <c r="I304" s="175" t="s">
        <v>1061</v>
      </c>
    </row>
    <row r="305" ht="15.75" customHeight="1">
      <c r="A305" s="172" t="s">
        <v>1356</v>
      </c>
      <c r="B305" s="173" t="s">
        <v>1050</v>
      </c>
      <c r="C305" s="173" t="s">
        <v>1044</v>
      </c>
      <c r="D305" s="173" t="s">
        <v>1061</v>
      </c>
      <c r="E305" s="173" t="s">
        <v>1049</v>
      </c>
      <c r="F305" s="173" t="s">
        <v>1047</v>
      </c>
      <c r="G305" s="173" t="s">
        <v>1048</v>
      </c>
      <c r="H305" s="173" t="s">
        <v>1067</v>
      </c>
      <c r="I305" s="173" t="s">
        <v>1065</v>
      </c>
    </row>
    <row r="306" ht="15.75" customHeight="1">
      <c r="A306" s="174" t="s">
        <v>1357</v>
      </c>
      <c r="B306" s="175" t="s">
        <v>1050</v>
      </c>
      <c r="C306" s="175" t="s">
        <v>1044</v>
      </c>
      <c r="D306" s="175" t="s">
        <v>1060</v>
      </c>
      <c r="E306" s="175" t="s">
        <v>1049</v>
      </c>
      <c r="F306" s="175" t="s">
        <v>1047</v>
      </c>
      <c r="G306" s="175" t="s">
        <v>1048</v>
      </c>
      <c r="H306" s="175" t="s">
        <v>1067</v>
      </c>
      <c r="I306" s="175" t="s">
        <v>1065</v>
      </c>
    </row>
    <row r="307" ht="15.75" customHeight="1">
      <c r="A307" s="172" t="s">
        <v>1358</v>
      </c>
      <c r="B307" s="173" t="s">
        <v>1043</v>
      </c>
      <c r="C307" s="173" t="s">
        <v>1060</v>
      </c>
      <c r="D307" s="173" t="s">
        <v>1050</v>
      </c>
      <c r="E307" s="173" t="s">
        <v>1049</v>
      </c>
      <c r="F307" s="173" t="s">
        <v>1047</v>
      </c>
      <c r="G307" s="173" t="s">
        <v>1048</v>
      </c>
      <c r="H307" s="173" t="s">
        <v>1061</v>
      </c>
      <c r="I307" s="173" t="s">
        <v>1065</v>
      </c>
    </row>
    <row r="308" ht="15.75" customHeight="1">
      <c r="A308" s="174" t="s">
        <v>1359</v>
      </c>
      <c r="B308" s="175" t="s">
        <v>1043</v>
      </c>
      <c r="C308" s="175" t="s">
        <v>1060</v>
      </c>
      <c r="D308" s="175" t="s">
        <v>1050</v>
      </c>
      <c r="E308" s="175" t="s">
        <v>1049</v>
      </c>
      <c r="F308" s="175" t="s">
        <v>1047</v>
      </c>
      <c r="G308" s="175" t="s">
        <v>1048</v>
      </c>
      <c r="H308" s="175" t="s">
        <v>1067</v>
      </c>
      <c r="I308" s="175" t="s">
        <v>1061</v>
      </c>
    </row>
    <row r="309" ht="15.75" customHeight="1">
      <c r="A309" s="172" t="s">
        <v>1360</v>
      </c>
      <c r="B309" s="173" t="s">
        <v>1043</v>
      </c>
      <c r="C309" s="173" t="s">
        <v>1050</v>
      </c>
      <c r="D309" s="173" t="s">
        <v>1061</v>
      </c>
      <c r="E309" s="173" t="s">
        <v>1049</v>
      </c>
      <c r="F309" s="173" t="s">
        <v>1047</v>
      </c>
      <c r="G309" s="173" t="s">
        <v>1048</v>
      </c>
      <c r="H309" s="173" t="s">
        <v>1067</v>
      </c>
      <c r="I309" s="173" t="s">
        <v>1065</v>
      </c>
    </row>
    <row r="310" ht="15.75" customHeight="1">
      <c r="A310" s="174" t="s">
        <v>1361</v>
      </c>
      <c r="B310" s="175" t="s">
        <v>1043</v>
      </c>
      <c r="C310" s="175" t="s">
        <v>1060</v>
      </c>
      <c r="D310" s="175" t="s">
        <v>1050</v>
      </c>
      <c r="E310" s="175" t="s">
        <v>1049</v>
      </c>
      <c r="F310" s="175" t="s">
        <v>1047</v>
      </c>
      <c r="G310" s="175" t="s">
        <v>1048</v>
      </c>
      <c r="H310" s="175" t="s">
        <v>1067</v>
      </c>
      <c r="I310" s="175" t="s">
        <v>1065</v>
      </c>
    </row>
    <row r="311" ht="15.75" customHeight="1">
      <c r="A311" s="172" t="s">
        <v>1362</v>
      </c>
      <c r="B311" s="173" t="s">
        <v>1050</v>
      </c>
      <c r="C311" s="173" t="s">
        <v>1060</v>
      </c>
      <c r="D311" s="173" t="s">
        <v>1061</v>
      </c>
      <c r="E311" s="173" t="s">
        <v>1049</v>
      </c>
      <c r="F311" s="173" t="s">
        <v>1047</v>
      </c>
      <c r="G311" s="173" t="s">
        <v>1048</v>
      </c>
      <c r="H311" s="173" t="s">
        <v>1067</v>
      </c>
      <c r="I311" s="173" t="s">
        <v>1065</v>
      </c>
    </row>
    <row r="312" ht="15.75" customHeight="1">
      <c r="A312" s="174" t="s">
        <v>1363</v>
      </c>
      <c r="B312" s="175" t="s">
        <v>1050</v>
      </c>
      <c r="C312" s="175" t="s">
        <v>1044</v>
      </c>
      <c r="D312" s="175" t="s">
        <v>1060</v>
      </c>
      <c r="E312" s="175" t="s">
        <v>1049</v>
      </c>
      <c r="F312" s="175" t="s">
        <v>1047</v>
      </c>
      <c r="G312" s="175" t="s">
        <v>1043</v>
      </c>
      <c r="H312" s="175" t="s">
        <v>1061</v>
      </c>
      <c r="I312" s="175" t="s">
        <v>1065</v>
      </c>
    </row>
    <row r="313" ht="15.75" customHeight="1">
      <c r="A313" s="172" t="s">
        <v>1364</v>
      </c>
      <c r="B313" s="173" t="s">
        <v>1050</v>
      </c>
      <c r="C313" s="173" t="s">
        <v>1060</v>
      </c>
      <c r="D313" s="173" t="s">
        <v>1061</v>
      </c>
      <c r="E313" s="173" t="s">
        <v>1049</v>
      </c>
      <c r="F313" s="173" t="s">
        <v>1047</v>
      </c>
      <c r="G313" s="173" t="s">
        <v>1044</v>
      </c>
      <c r="H313" s="173" t="s">
        <v>1067</v>
      </c>
      <c r="I313" s="173" t="s">
        <v>1065</v>
      </c>
    </row>
    <row r="314" ht="15.75" customHeight="1">
      <c r="A314" s="174" t="s">
        <v>1365</v>
      </c>
      <c r="B314" s="175" t="s">
        <v>1050</v>
      </c>
      <c r="C314" s="175" t="s">
        <v>1044</v>
      </c>
      <c r="D314" s="175" t="s">
        <v>1061</v>
      </c>
      <c r="E314" s="175" t="s">
        <v>1049</v>
      </c>
      <c r="F314" s="175" t="s">
        <v>1047</v>
      </c>
      <c r="G314" s="175" t="s">
        <v>1043</v>
      </c>
      <c r="H314" s="175" t="s">
        <v>1067</v>
      </c>
      <c r="I314" s="175" t="s">
        <v>1065</v>
      </c>
    </row>
    <row r="315" ht="15.75" customHeight="1">
      <c r="A315" s="172" t="s">
        <v>1366</v>
      </c>
      <c r="B315" s="173" t="s">
        <v>1050</v>
      </c>
      <c r="C315" s="173" t="s">
        <v>1044</v>
      </c>
      <c r="D315" s="173" t="s">
        <v>1060</v>
      </c>
      <c r="E315" s="173" t="s">
        <v>1049</v>
      </c>
      <c r="F315" s="173" t="s">
        <v>1047</v>
      </c>
      <c r="G315" s="173" t="s">
        <v>1043</v>
      </c>
      <c r="H315" s="173" t="s">
        <v>1067</v>
      </c>
      <c r="I315" s="173" t="s">
        <v>1065</v>
      </c>
    </row>
    <row r="316" ht="15.75" customHeight="1">
      <c r="A316" s="174" t="s">
        <v>1367</v>
      </c>
      <c r="B316" s="175" t="s">
        <v>1043</v>
      </c>
      <c r="C316" s="175" t="s">
        <v>1044</v>
      </c>
      <c r="D316" s="175" t="s">
        <v>1045</v>
      </c>
      <c r="E316" s="175" t="s">
        <v>1046</v>
      </c>
      <c r="F316" s="175" t="s">
        <v>1047</v>
      </c>
      <c r="G316" s="175" t="s">
        <v>1048</v>
      </c>
      <c r="H316" s="175" t="s">
        <v>1049</v>
      </c>
      <c r="I316" s="175" t="s">
        <v>1050</v>
      </c>
    </row>
    <row r="317" ht="15.75" customHeight="1">
      <c r="A317" s="172" t="s">
        <v>1368</v>
      </c>
      <c r="B317" s="173" t="s">
        <v>1050</v>
      </c>
      <c r="C317" s="173" t="s">
        <v>1060</v>
      </c>
      <c r="D317" s="173" t="s">
        <v>1061</v>
      </c>
      <c r="E317" s="173" t="s">
        <v>1049</v>
      </c>
      <c r="F317" s="173" t="s">
        <v>1047</v>
      </c>
      <c r="G317" s="173" t="s">
        <v>1043</v>
      </c>
      <c r="H317" s="173" t="s">
        <v>1067</v>
      </c>
      <c r="I317" s="173" t="s">
        <v>1065</v>
      </c>
    </row>
    <row r="318" ht="15.75" customHeight="1">
      <c r="A318" s="174" t="s">
        <v>1369</v>
      </c>
      <c r="B318" s="175" t="s">
        <v>1043</v>
      </c>
      <c r="C318" s="175" t="s">
        <v>1044</v>
      </c>
      <c r="D318" s="175" t="s">
        <v>1060</v>
      </c>
      <c r="E318" s="175" t="s">
        <v>1049</v>
      </c>
      <c r="F318" s="175" t="s">
        <v>1047</v>
      </c>
      <c r="G318" s="175" t="s">
        <v>1048</v>
      </c>
      <c r="H318" s="175" t="s">
        <v>1061</v>
      </c>
      <c r="I318" s="175" t="s">
        <v>1065</v>
      </c>
    </row>
    <row r="319" ht="15.75" customHeight="1">
      <c r="A319" s="172" t="s">
        <v>1370</v>
      </c>
      <c r="B319" s="173" t="s">
        <v>1043</v>
      </c>
      <c r="C319" s="173" t="s">
        <v>1044</v>
      </c>
      <c r="D319" s="173" t="s">
        <v>1060</v>
      </c>
      <c r="E319" s="173" t="s">
        <v>1049</v>
      </c>
      <c r="F319" s="173" t="s">
        <v>1047</v>
      </c>
      <c r="G319" s="173" t="s">
        <v>1048</v>
      </c>
      <c r="H319" s="173" t="s">
        <v>1067</v>
      </c>
      <c r="I319" s="173" t="s">
        <v>1061</v>
      </c>
    </row>
    <row r="320" ht="15.75" customHeight="1">
      <c r="A320" s="174" t="s">
        <v>1371</v>
      </c>
      <c r="B320" s="175" t="s">
        <v>1043</v>
      </c>
      <c r="C320" s="175" t="s">
        <v>1044</v>
      </c>
      <c r="D320" s="175" t="s">
        <v>1061</v>
      </c>
      <c r="E320" s="175" t="s">
        <v>1049</v>
      </c>
      <c r="F320" s="175" t="s">
        <v>1047</v>
      </c>
      <c r="G320" s="175" t="s">
        <v>1048</v>
      </c>
      <c r="H320" s="175" t="s">
        <v>1067</v>
      </c>
      <c r="I320" s="175" t="s">
        <v>1065</v>
      </c>
    </row>
    <row r="321" ht="15.75" customHeight="1">
      <c r="A321" s="172" t="s">
        <v>1372</v>
      </c>
      <c r="B321" s="173" t="s">
        <v>1043</v>
      </c>
      <c r="C321" s="173" t="s">
        <v>1044</v>
      </c>
      <c r="D321" s="173" t="s">
        <v>1060</v>
      </c>
      <c r="E321" s="173" t="s">
        <v>1049</v>
      </c>
      <c r="F321" s="173" t="s">
        <v>1047</v>
      </c>
      <c r="G321" s="173" t="s">
        <v>1048</v>
      </c>
      <c r="H321" s="173" t="s">
        <v>1067</v>
      </c>
      <c r="I321" s="173" t="s">
        <v>1065</v>
      </c>
    </row>
    <row r="322" ht="15.75" customHeight="1">
      <c r="A322" s="174" t="s">
        <v>1373</v>
      </c>
      <c r="B322" s="175" t="s">
        <v>1061</v>
      </c>
      <c r="C322" s="175" t="s">
        <v>1044</v>
      </c>
      <c r="D322" s="175" t="s">
        <v>1060</v>
      </c>
      <c r="E322" s="175" t="s">
        <v>1049</v>
      </c>
      <c r="F322" s="175" t="s">
        <v>1047</v>
      </c>
      <c r="G322" s="175" t="s">
        <v>1048</v>
      </c>
      <c r="H322" s="175" t="s">
        <v>1067</v>
      </c>
      <c r="I322" s="175" t="s">
        <v>1065</v>
      </c>
    </row>
    <row r="323" ht="15.75" customHeight="1">
      <c r="A323" s="172" t="s">
        <v>1374</v>
      </c>
      <c r="B323" s="173" t="s">
        <v>1043</v>
      </c>
      <c r="C323" s="173" t="s">
        <v>1060</v>
      </c>
      <c r="D323" s="173" t="s">
        <v>1061</v>
      </c>
      <c r="E323" s="173" t="s">
        <v>1049</v>
      </c>
      <c r="F323" s="173" t="s">
        <v>1047</v>
      </c>
      <c r="G323" s="173" t="s">
        <v>1048</v>
      </c>
      <c r="H323" s="173" t="s">
        <v>1067</v>
      </c>
      <c r="I323" s="173" t="s">
        <v>1065</v>
      </c>
    </row>
    <row r="324" ht="15.75" customHeight="1">
      <c r="A324" s="174" t="s">
        <v>1375</v>
      </c>
      <c r="B324" s="175" t="s">
        <v>1043</v>
      </c>
      <c r="C324" s="175" t="s">
        <v>1060</v>
      </c>
      <c r="D324" s="175" t="s">
        <v>1061</v>
      </c>
      <c r="E324" s="175" t="s">
        <v>1049</v>
      </c>
      <c r="F324" s="175" t="s">
        <v>1047</v>
      </c>
      <c r="G324" s="175" t="s">
        <v>1044</v>
      </c>
      <c r="H324" s="175" t="s">
        <v>1067</v>
      </c>
      <c r="I324" s="175" t="s">
        <v>1065</v>
      </c>
    </row>
    <row r="325" ht="15.75" customHeight="1">
      <c r="A325" s="172" t="s">
        <v>1376</v>
      </c>
      <c r="B325" s="173" t="s">
        <v>1050</v>
      </c>
      <c r="C325" s="173" t="s">
        <v>1044</v>
      </c>
      <c r="D325" s="173" t="s">
        <v>1060</v>
      </c>
      <c r="E325" s="173" t="s">
        <v>1048</v>
      </c>
      <c r="F325" s="173" t="s">
        <v>1047</v>
      </c>
      <c r="G325" s="173" t="s">
        <v>1043</v>
      </c>
      <c r="H325" s="173" t="s">
        <v>1061</v>
      </c>
      <c r="I325" s="173" t="s">
        <v>1065</v>
      </c>
    </row>
    <row r="326" ht="15.75" customHeight="1">
      <c r="A326" s="174" t="s">
        <v>1377</v>
      </c>
      <c r="B326" s="175" t="s">
        <v>1050</v>
      </c>
      <c r="C326" s="175" t="s">
        <v>1044</v>
      </c>
      <c r="D326" s="175" t="s">
        <v>1060</v>
      </c>
      <c r="E326" s="175" t="s">
        <v>1048</v>
      </c>
      <c r="F326" s="175" t="s">
        <v>1047</v>
      </c>
      <c r="G326" s="175" t="s">
        <v>1043</v>
      </c>
      <c r="H326" s="175" t="s">
        <v>1067</v>
      </c>
      <c r="I326" s="175" t="s">
        <v>1061</v>
      </c>
    </row>
    <row r="327" ht="15.75" customHeight="1">
      <c r="A327" s="172" t="s">
        <v>1378</v>
      </c>
      <c r="B327" s="173" t="s">
        <v>1050</v>
      </c>
      <c r="C327" s="173" t="s">
        <v>1044</v>
      </c>
      <c r="D327" s="173" t="s">
        <v>1061</v>
      </c>
      <c r="E327" s="173" t="s">
        <v>1048</v>
      </c>
      <c r="F327" s="173" t="s">
        <v>1047</v>
      </c>
      <c r="G327" s="173" t="s">
        <v>1043</v>
      </c>
      <c r="H327" s="173" t="s">
        <v>1067</v>
      </c>
      <c r="I327" s="173" t="s">
        <v>1065</v>
      </c>
    </row>
    <row r="328" ht="15.75" customHeight="1">
      <c r="A328" s="174" t="s">
        <v>1379</v>
      </c>
      <c r="B328" s="175" t="s">
        <v>1050</v>
      </c>
      <c r="C328" s="175" t="s">
        <v>1044</v>
      </c>
      <c r="D328" s="175" t="s">
        <v>1060</v>
      </c>
      <c r="E328" s="175" t="s">
        <v>1048</v>
      </c>
      <c r="F328" s="175" t="s">
        <v>1047</v>
      </c>
      <c r="G328" s="175" t="s">
        <v>1043</v>
      </c>
      <c r="H328" s="175" t="s">
        <v>1067</v>
      </c>
      <c r="I328" s="175" t="s">
        <v>1065</v>
      </c>
    </row>
    <row r="329" ht="15.75" customHeight="1">
      <c r="A329" s="172" t="s">
        <v>1380</v>
      </c>
      <c r="B329" s="173" t="s">
        <v>1050</v>
      </c>
      <c r="C329" s="173" t="s">
        <v>1060</v>
      </c>
      <c r="D329" s="173" t="s">
        <v>1061</v>
      </c>
      <c r="E329" s="173" t="s">
        <v>1048</v>
      </c>
      <c r="F329" s="173" t="s">
        <v>1047</v>
      </c>
      <c r="G329" s="173" t="s">
        <v>1044</v>
      </c>
      <c r="H329" s="173" t="s">
        <v>1067</v>
      </c>
      <c r="I329" s="173" t="s">
        <v>1065</v>
      </c>
    </row>
    <row r="330" ht="15.75" customHeight="1">
      <c r="A330" s="174" t="s">
        <v>1381</v>
      </c>
      <c r="B330" s="175" t="s">
        <v>1050</v>
      </c>
      <c r="C330" s="175" t="s">
        <v>1060</v>
      </c>
      <c r="D330" s="175" t="s">
        <v>1061</v>
      </c>
      <c r="E330" s="175" t="s">
        <v>1048</v>
      </c>
      <c r="F330" s="175" t="s">
        <v>1047</v>
      </c>
      <c r="G330" s="175" t="s">
        <v>1043</v>
      </c>
      <c r="H330" s="175" t="s">
        <v>1067</v>
      </c>
      <c r="I330" s="175" t="s">
        <v>1065</v>
      </c>
    </row>
    <row r="331" ht="15.75" customHeight="1">
      <c r="A331" s="172" t="s">
        <v>1382</v>
      </c>
      <c r="B331" s="173" t="s">
        <v>1050</v>
      </c>
      <c r="C331" s="173" t="s">
        <v>1060</v>
      </c>
      <c r="D331" s="173" t="s">
        <v>1061</v>
      </c>
      <c r="E331" s="173" t="s">
        <v>1047</v>
      </c>
      <c r="F331" s="173" t="s">
        <v>1043</v>
      </c>
      <c r="G331" s="173" t="s">
        <v>1044</v>
      </c>
      <c r="H331" s="173" t="s">
        <v>1067</v>
      </c>
      <c r="I331" s="173" t="s">
        <v>1065</v>
      </c>
    </row>
    <row r="332" ht="15.75" customHeight="1">
      <c r="A332" s="174" t="s">
        <v>1383</v>
      </c>
      <c r="B332" s="175" t="s">
        <v>1043</v>
      </c>
      <c r="C332" s="175" t="s">
        <v>1060</v>
      </c>
      <c r="D332" s="175" t="s">
        <v>1061</v>
      </c>
      <c r="E332" s="175" t="s">
        <v>1048</v>
      </c>
      <c r="F332" s="175" t="s">
        <v>1047</v>
      </c>
      <c r="G332" s="175" t="s">
        <v>1044</v>
      </c>
      <c r="H332" s="175" t="s">
        <v>1067</v>
      </c>
      <c r="I332" s="175" t="s">
        <v>1065</v>
      </c>
    </row>
    <row r="333" ht="15.75" customHeight="1">
      <c r="A333" s="172" t="s">
        <v>1384</v>
      </c>
      <c r="B333" s="173" t="s">
        <v>1043</v>
      </c>
      <c r="C333" s="173" t="s">
        <v>1044</v>
      </c>
      <c r="D333" s="173" t="s">
        <v>1045</v>
      </c>
      <c r="E333" s="173" t="s">
        <v>1046</v>
      </c>
      <c r="F333" s="173" t="s">
        <v>1061</v>
      </c>
      <c r="G333" s="173" t="s">
        <v>1048</v>
      </c>
      <c r="H333" s="173" t="s">
        <v>1049</v>
      </c>
      <c r="I333" s="173" t="s">
        <v>1050</v>
      </c>
    </row>
    <row r="334" ht="15.75" customHeight="1">
      <c r="A334" s="174" t="s">
        <v>1385</v>
      </c>
      <c r="B334" s="175" t="s">
        <v>1043</v>
      </c>
      <c r="C334" s="175" t="s">
        <v>1044</v>
      </c>
      <c r="D334" s="175" t="s">
        <v>1045</v>
      </c>
      <c r="E334" s="175" t="s">
        <v>1046</v>
      </c>
      <c r="F334" s="175" t="s">
        <v>1060</v>
      </c>
      <c r="G334" s="175" t="s">
        <v>1048</v>
      </c>
      <c r="H334" s="175" t="s">
        <v>1049</v>
      </c>
      <c r="I334" s="175" t="s">
        <v>1050</v>
      </c>
    </row>
    <row r="335" ht="15.75" customHeight="1">
      <c r="A335" s="172" t="s">
        <v>1386</v>
      </c>
      <c r="B335" s="173" t="s">
        <v>1046</v>
      </c>
      <c r="C335" s="173" t="s">
        <v>1044</v>
      </c>
      <c r="D335" s="173" t="s">
        <v>1045</v>
      </c>
      <c r="E335" s="173" t="s">
        <v>1049</v>
      </c>
      <c r="F335" s="173" t="s">
        <v>1043</v>
      </c>
      <c r="G335" s="173" t="s">
        <v>1048</v>
      </c>
      <c r="H335" s="173" t="s">
        <v>1050</v>
      </c>
      <c r="I335" s="173" t="s">
        <v>1065</v>
      </c>
    </row>
    <row r="336" ht="15.75" customHeight="1">
      <c r="A336" s="174" t="s">
        <v>1387</v>
      </c>
      <c r="B336" s="175" t="s">
        <v>1046</v>
      </c>
      <c r="C336" s="175" t="s">
        <v>1044</v>
      </c>
      <c r="D336" s="175" t="s">
        <v>1045</v>
      </c>
      <c r="E336" s="175" t="s">
        <v>1049</v>
      </c>
      <c r="F336" s="175" t="s">
        <v>1043</v>
      </c>
      <c r="G336" s="175" t="s">
        <v>1048</v>
      </c>
      <c r="H336" s="175" t="s">
        <v>1067</v>
      </c>
      <c r="I336" s="175" t="s">
        <v>1050</v>
      </c>
    </row>
    <row r="337" ht="15.75" customHeight="1">
      <c r="A337" s="172" t="s">
        <v>1388</v>
      </c>
      <c r="B337" s="173" t="s">
        <v>1046</v>
      </c>
      <c r="C337" s="173" t="s">
        <v>1044</v>
      </c>
      <c r="D337" s="173" t="s">
        <v>1045</v>
      </c>
      <c r="E337" s="173" t="s">
        <v>1049</v>
      </c>
      <c r="F337" s="173" t="s">
        <v>1060</v>
      </c>
      <c r="G337" s="173" t="s">
        <v>1048</v>
      </c>
      <c r="H337" s="173" t="s">
        <v>1050</v>
      </c>
      <c r="I337" s="173" t="s">
        <v>1061</v>
      </c>
    </row>
    <row r="338" ht="15.75" customHeight="1">
      <c r="A338" s="174" t="s">
        <v>1389</v>
      </c>
      <c r="B338" s="175" t="s">
        <v>1046</v>
      </c>
      <c r="C338" s="175" t="s">
        <v>1044</v>
      </c>
      <c r="D338" s="175" t="s">
        <v>1045</v>
      </c>
      <c r="E338" s="175" t="s">
        <v>1049</v>
      </c>
      <c r="F338" s="175" t="s">
        <v>1050</v>
      </c>
      <c r="G338" s="175" t="s">
        <v>1048</v>
      </c>
      <c r="H338" s="175" t="s">
        <v>1061</v>
      </c>
      <c r="I338" s="175" t="s">
        <v>1065</v>
      </c>
    </row>
    <row r="339" ht="15.75" customHeight="1">
      <c r="A339" s="172" t="s">
        <v>1390</v>
      </c>
      <c r="B339" s="173" t="s">
        <v>1046</v>
      </c>
      <c r="C339" s="173" t="s">
        <v>1044</v>
      </c>
      <c r="D339" s="173" t="s">
        <v>1045</v>
      </c>
      <c r="E339" s="173" t="s">
        <v>1049</v>
      </c>
      <c r="F339" s="173" t="s">
        <v>1050</v>
      </c>
      <c r="G339" s="173" t="s">
        <v>1048</v>
      </c>
      <c r="H339" s="173" t="s">
        <v>1067</v>
      </c>
      <c r="I339" s="173" t="s">
        <v>1061</v>
      </c>
    </row>
    <row r="340" ht="15.75" customHeight="1">
      <c r="A340" s="174" t="s">
        <v>1391</v>
      </c>
      <c r="B340" s="175" t="s">
        <v>1046</v>
      </c>
      <c r="C340" s="175" t="s">
        <v>1044</v>
      </c>
      <c r="D340" s="175" t="s">
        <v>1045</v>
      </c>
      <c r="E340" s="175" t="s">
        <v>1049</v>
      </c>
      <c r="F340" s="175" t="s">
        <v>1060</v>
      </c>
      <c r="G340" s="175" t="s">
        <v>1048</v>
      </c>
      <c r="H340" s="175" t="s">
        <v>1050</v>
      </c>
      <c r="I340" s="175" t="s">
        <v>1065</v>
      </c>
    </row>
    <row r="341" ht="15.75" customHeight="1">
      <c r="A341" s="172" t="s">
        <v>1392</v>
      </c>
      <c r="B341" s="173" t="s">
        <v>1046</v>
      </c>
      <c r="C341" s="173" t="s">
        <v>1044</v>
      </c>
      <c r="D341" s="173" t="s">
        <v>1045</v>
      </c>
      <c r="E341" s="173" t="s">
        <v>1049</v>
      </c>
      <c r="F341" s="173" t="s">
        <v>1060</v>
      </c>
      <c r="G341" s="173" t="s">
        <v>1048</v>
      </c>
      <c r="H341" s="173" t="s">
        <v>1067</v>
      </c>
      <c r="I341" s="173" t="s">
        <v>1050</v>
      </c>
    </row>
    <row r="342" ht="15.75" customHeight="1">
      <c r="A342" s="174" t="s">
        <v>1393</v>
      </c>
      <c r="B342" s="175" t="s">
        <v>1046</v>
      </c>
      <c r="C342" s="175" t="s">
        <v>1044</v>
      </c>
      <c r="D342" s="175" t="s">
        <v>1045</v>
      </c>
      <c r="E342" s="175" t="s">
        <v>1049</v>
      </c>
      <c r="F342" s="175" t="s">
        <v>1050</v>
      </c>
      <c r="G342" s="175" t="s">
        <v>1048</v>
      </c>
      <c r="H342" s="175" t="s">
        <v>1067</v>
      </c>
      <c r="I342" s="175" t="s">
        <v>1065</v>
      </c>
    </row>
    <row r="343" ht="15.75" customHeight="1">
      <c r="A343" s="172" t="s">
        <v>1394</v>
      </c>
      <c r="B343" s="173" t="s">
        <v>1046</v>
      </c>
      <c r="C343" s="173" t="s">
        <v>1060</v>
      </c>
      <c r="D343" s="173" t="s">
        <v>1045</v>
      </c>
      <c r="E343" s="173" t="s">
        <v>1049</v>
      </c>
      <c r="F343" s="173" t="s">
        <v>1043</v>
      </c>
      <c r="G343" s="173" t="s">
        <v>1048</v>
      </c>
      <c r="H343" s="173" t="s">
        <v>1050</v>
      </c>
      <c r="I343" s="173" t="s">
        <v>1061</v>
      </c>
    </row>
    <row r="344" ht="15.75" customHeight="1">
      <c r="A344" s="174" t="s">
        <v>1395</v>
      </c>
      <c r="B344" s="175" t="s">
        <v>1046</v>
      </c>
      <c r="C344" s="175" t="s">
        <v>1050</v>
      </c>
      <c r="D344" s="175" t="s">
        <v>1045</v>
      </c>
      <c r="E344" s="175" t="s">
        <v>1049</v>
      </c>
      <c r="F344" s="175" t="s">
        <v>1043</v>
      </c>
      <c r="G344" s="175" t="s">
        <v>1048</v>
      </c>
      <c r="H344" s="175" t="s">
        <v>1061</v>
      </c>
      <c r="I344" s="175" t="s">
        <v>1065</v>
      </c>
    </row>
    <row r="345" ht="15.75" customHeight="1">
      <c r="A345" s="172" t="s">
        <v>1396</v>
      </c>
      <c r="B345" s="173" t="s">
        <v>1046</v>
      </c>
      <c r="C345" s="173" t="s">
        <v>1050</v>
      </c>
      <c r="D345" s="173" t="s">
        <v>1045</v>
      </c>
      <c r="E345" s="173" t="s">
        <v>1049</v>
      </c>
      <c r="F345" s="173" t="s">
        <v>1043</v>
      </c>
      <c r="G345" s="173" t="s">
        <v>1048</v>
      </c>
      <c r="H345" s="173" t="s">
        <v>1067</v>
      </c>
      <c r="I345" s="173" t="s">
        <v>1061</v>
      </c>
    </row>
    <row r="346" ht="15.75" customHeight="1">
      <c r="A346" s="174" t="s">
        <v>1397</v>
      </c>
      <c r="B346" s="175" t="s">
        <v>1046</v>
      </c>
      <c r="C346" s="175" t="s">
        <v>1060</v>
      </c>
      <c r="D346" s="175" t="s">
        <v>1045</v>
      </c>
      <c r="E346" s="175" t="s">
        <v>1049</v>
      </c>
      <c r="F346" s="175" t="s">
        <v>1043</v>
      </c>
      <c r="G346" s="175" t="s">
        <v>1048</v>
      </c>
      <c r="H346" s="175" t="s">
        <v>1050</v>
      </c>
      <c r="I346" s="175" t="s">
        <v>1065</v>
      </c>
    </row>
    <row r="347" ht="15.75" customHeight="1">
      <c r="A347" s="172" t="s">
        <v>1398</v>
      </c>
      <c r="B347" s="173" t="s">
        <v>1046</v>
      </c>
      <c r="C347" s="173" t="s">
        <v>1060</v>
      </c>
      <c r="D347" s="173" t="s">
        <v>1045</v>
      </c>
      <c r="E347" s="173" t="s">
        <v>1049</v>
      </c>
      <c r="F347" s="173" t="s">
        <v>1043</v>
      </c>
      <c r="G347" s="173" t="s">
        <v>1048</v>
      </c>
      <c r="H347" s="173" t="s">
        <v>1067</v>
      </c>
      <c r="I347" s="173" t="s">
        <v>1050</v>
      </c>
    </row>
    <row r="348" ht="15.75" customHeight="1">
      <c r="A348" s="174" t="s">
        <v>1399</v>
      </c>
      <c r="B348" s="175" t="s">
        <v>1046</v>
      </c>
      <c r="C348" s="175" t="s">
        <v>1050</v>
      </c>
      <c r="D348" s="175" t="s">
        <v>1045</v>
      </c>
      <c r="E348" s="175" t="s">
        <v>1049</v>
      </c>
      <c r="F348" s="175" t="s">
        <v>1043</v>
      </c>
      <c r="G348" s="175" t="s">
        <v>1048</v>
      </c>
      <c r="H348" s="175" t="s">
        <v>1067</v>
      </c>
      <c r="I348" s="175" t="s">
        <v>1065</v>
      </c>
    </row>
    <row r="349" ht="15.75" customHeight="1">
      <c r="A349" s="172" t="s">
        <v>1400</v>
      </c>
      <c r="B349" s="173" t="s">
        <v>1046</v>
      </c>
      <c r="C349" s="173" t="s">
        <v>1060</v>
      </c>
      <c r="D349" s="173" t="s">
        <v>1045</v>
      </c>
      <c r="E349" s="173" t="s">
        <v>1049</v>
      </c>
      <c r="F349" s="173" t="s">
        <v>1050</v>
      </c>
      <c r="G349" s="173" t="s">
        <v>1048</v>
      </c>
      <c r="H349" s="173" t="s">
        <v>1061</v>
      </c>
      <c r="I349" s="173" t="s">
        <v>1065</v>
      </c>
    </row>
    <row r="350" ht="15.75" customHeight="1">
      <c r="A350" s="174" t="s">
        <v>1401</v>
      </c>
      <c r="B350" s="175" t="s">
        <v>1046</v>
      </c>
      <c r="C350" s="175" t="s">
        <v>1060</v>
      </c>
      <c r="D350" s="175" t="s">
        <v>1045</v>
      </c>
      <c r="E350" s="175" t="s">
        <v>1049</v>
      </c>
      <c r="F350" s="175" t="s">
        <v>1050</v>
      </c>
      <c r="G350" s="175" t="s">
        <v>1048</v>
      </c>
      <c r="H350" s="175" t="s">
        <v>1067</v>
      </c>
      <c r="I350" s="175" t="s">
        <v>1061</v>
      </c>
    </row>
    <row r="351" ht="15.75" customHeight="1">
      <c r="A351" s="172" t="s">
        <v>1402</v>
      </c>
      <c r="B351" s="173" t="s">
        <v>1043</v>
      </c>
      <c r="C351" s="173" t="s">
        <v>1044</v>
      </c>
      <c r="D351" s="173" t="s">
        <v>1045</v>
      </c>
      <c r="E351" s="173" t="s">
        <v>1046</v>
      </c>
      <c r="F351" s="173" t="s">
        <v>1047</v>
      </c>
      <c r="G351" s="173" t="s">
        <v>1048</v>
      </c>
      <c r="H351" s="173" t="s">
        <v>1049</v>
      </c>
      <c r="I351" s="173" t="s">
        <v>1050</v>
      </c>
    </row>
    <row r="352" ht="15.75" customHeight="1">
      <c r="A352" s="174" t="s">
        <v>1403</v>
      </c>
      <c r="B352" s="175" t="s">
        <v>1046</v>
      </c>
      <c r="C352" s="175" t="s">
        <v>1060</v>
      </c>
      <c r="D352" s="175" t="s">
        <v>1045</v>
      </c>
      <c r="E352" s="175" t="s">
        <v>1049</v>
      </c>
      <c r="F352" s="175" t="s">
        <v>1050</v>
      </c>
      <c r="G352" s="175" t="s">
        <v>1048</v>
      </c>
      <c r="H352" s="175" t="s">
        <v>1067</v>
      </c>
      <c r="I352" s="175" t="s">
        <v>1065</v>
      </c>
    </row>
    <row r="353" ht="15.75" customHeight="1">
      <c r="A353" s="172" t="s">
        <v>1404</v>
      </c>
      <c r="B353" s="173" t="s">
        <v>1043</v>
      </c>
      <c r="C353" s="173" t="s">
        <v>1044</v>
      </c>
      <c r="D353" s="173" t="s">
        <v>1045</v>
      </c>
      <c r="E353" s="173" t="s">
        <v>1046</v>
      </c>
      <c r="F353" s="173" t="s">
        <v>1060</v>
      </c>
      <c r="G353" s="173" t="s">
        <v>1049</v>
      </c>
      <c r="H353" s="173" t="s">
        <v>1050</v>
      </c>
      <c r="I353" s="173" t="s">
        <v>1061</v>
      </c>
    </row>
    <row r="354" ht="15.75" customHeight="1">
      <c r="A354" s="174" t="s">
        <v>1405</v>
      </c>
      <c r="B354" s="175" t="s">
        <v>1050</v>
      </c>
      <c r="C354" s="175" t="s">
        <v>1044</v>
      </c>
      <c r="D354" s="175" t="s">
        <v>1045</v>
      </c>
      <c r="E354" s="175" t="s">
        <v>1046</v>
      </c>
      <c r="F354" s="175" t="s">
        <v>1043</v>
      </c>
      <c r="G354" s="175" t="s">
        <v>1049</v>
      </c>
      <c r="H354" s="175" t="s">
        <v>1061</v>
      </c>
      <c r="I354" s="175" t="s">
        <v>1065</v>
      </c>
    </row>
    <row r="355" ht="15.75" customHeight="1">
      <c r="A355" s="172" t="s">
        <v>1406</v>
      </c>
      <c r="B355" s="173" t="s">
        <v>1050</v>
      </c>
      <c r="C355" s="173" t="s">
        <v>1044</v>
      </c>
      <c r="D355" s="173" t="s">
        <v>1045</v>
      </c>
      <c r="E355" s="173" t="s">
        <v>1046</v>
      </c>
      <c r="F355" s="173" t="s">
        <v>1043</v>
      </c>
      <c r="G355" s="173" t="s">
        <v>1049</v>
      </c>
      <c r="H355" s="173" t="s">
        <v>1067</v>
      </c>
      <c r="I355" s="173" t="s">
        <v>1061</v>
      </c>
    </row>
    <row r="356" ht="15.75" customHeight="1">
      <c r="A356" s="174" t="s">
        <v>1407</v>
      </c>
      <c r="B356" s="175" t="s">
        <v>1043</v>
      </c>
      <c r="C356" s="175" t="s">
        <v>1044</v>
      </c>
      <c r="D356" s="175" t="s">
        <v>1045</v>
      </c>
      <c r="E356" s="175" t="s">
        <v>1046</v>
      </c>
      <c r="F356" s="175" t="s">
        <v>1060</v>
      </c>
      <c r="G356" s="175" t="s">
        <v>1049</v>
      </c>
      <c r="H356" s="175" t="s">
        <v>1050</v>
      </c>
      <c r="I356" s="175" t="s">
        <v>1065</v>
      </c>
    </row>
    <row r="357" ht="15.75" customHeight="1">
      <c r="A357" s="172" t="s">
        <v>1408</v>
      </c>
      <c r="B357" s="173" t="s">
        <v>1043</v>
      </c>
      <c r="C357" s="173" t="s">
        <v>1044</v>
      </c>
      <c r="D357" s="173" t="s">
        <v>1045</v>
      </c>
      <c r="E357" s="173" t="s">
        <v>1046</v>
      </c>
      <c r="F357" s="173" t="s">
        <v>1060</v>
      </c>
      <c r="G357" s="173" t="s">
        <v>1049</v>
      </c>
      <c r="H357" s="173" t="s">
        <v>1067</v>
      </c>
      <c r="I357" s="173" t="s">
        <v>1050</v>
      </c>
    </row>
    <row r="358" ht="15.75" customHeight="1">
      <c r="A358" s="174" t="s">
        <v>1409</v>
      </c>
      <c r="B358" s="175" t="s">
        <v>1050</v>
      </c>
      <c r="C358" s="175" t="s">
        <v>1044</v>
      </c>
      <c r="D358" s="175" t="s">
        <v>1045</v>
      </c>
      <c r="E358" s="175" t="s">
        <v>1046</v>
      </c>
      <c r="F358" s="175" t="s">
        <v>1043</v>
      </c>
      <c r="G358" s="175" t="s">
        <v>1049</v>
      </c>
      <c r="H358" s="175" t="s">
        <v>1067</v>
      </c>
      <c r="I358" s="175" t="s">
        <v>1065</v>
      </c>
    </row>
    <row r="359" ht="15.75" customHeight="1">
      <c r="A359" s="172" t="s">
        <v>1410</v>
      </c>
      <c r="B359" s="173" t="s">
        <v>1050</v>
      </c>
      <c r="C359" s="173" t="s">
        <v>1044</v>
      </c>
      <c r="D359" s="173" t="s">
        <v>1045</v>
      </c>
      <c r="E359" s="173" t="s">
        <v>1046</v>
      </c>
      <c r="F359" s="173" t="s">
        <v>1060</v>
      </c>
      <c r="G359" s="173" t="s">
        <v>1049</v>
      </c>
      <c r="H359" s="173" t="s">
        <v>1061</v>
      </c>
      <c r="I359" s="173" t="s">
        <v>1065</v>
      </c>
    </row>
    <row r="360" ht="15.75" customHeight="1">
      <c r="A360" s="174" t="s">
        <v>1411</v>
      </c>
      <c r="B360" s="175" t="s">
        <v>1050</v>
      </c>
      <c r="C360" s="175" t="s">
        <v>1044</v>
      </c>
      <c r="D360" s="175" t="s">
        <v>1045</v>
      </c>
      <c r="E360" s="175" t="s">
        <v>1046</v>
      </c>
      <c r="F360" s="175" t="s">
        <v>1060</v>
      </c>
      <c r="G360" s="175" t="s">
        <v>1049</v>
      </c>
      <c r="H360" s="175" t="s">
        <v>1067</v>
      </c>
      <c r="I360" s="175" t="s">
        <v>1061</v>
      </c>
    </row>
    <row r="361" ht="15.75" customHeight="1">
      <c r="A361" s="172" t="s">
        <v>1412</v>
      </c>
      <c r="B361" s="173" t="s">
        <v>1050</v>
      </c>
      <c r="C361" s="173" t="s">
        <v>1044</v>
      </c>
      <c r="D361" s="173" t="s">
        <v>1045</v>
      </c>
      <c r="E361" s="173" t="s">
        <v>1046</v>
      </c>
      <c r="F361" s="173" t="s">
        <v>1061</v>
      </c>
      <c r="G361" s="173" t="s">
        <v>1049</v>
      </c>
      <c r="H361" s="173" t="s">
        <v>1067</v>
      </c>
      <c r="I361" s="173" t="s">
        <v>1065</v>
      </c>
    </row>
    <row r="362" ht="15.75" customHeight="1">
      <c r="A362" s="174" t="s">
        <v>1413</v>
      </c>
      <c r="B362" s="175" t="s">
        <v>1050</v>
      </c>
      <c r="C362" s="175" t="s">
        <v>1044</v>
      </c>
      <c r="D362" s="175" t="s">
        <v>1045</v>
      </c>
      <c r="E362" s="175" t="s">
        <v>1046</v>
      </c>
      <c r="F362" s="175" t="s">
        <v>1060</v>
      </c>
      <c r="G362" s="175" t="s">
        <v>1049</v>
      </c>
      <c r="H362" s="175" t="s">
        <v>1067</v>
      </c>
      <c r="I362" s="175" t="s">
        <v>1065</v>
      </c>
    </row>
    <row r="363" ht="15.75" customHeight="1">
      <c r="A363" s="172" t="s">
        <v>1414</v>
      </c>
      <c r="B363" s="173" t="s">
        <v>1050</v>
      </c>
      <c r="C363" s="173" t="s">
        <v>1060</v>
      </c>
      <c r="D363" s="173" t="s">
        <v>1045</v>
      </c>
      <c r="E363" s="173" t="s">
        <v>1046</v>
      </c>
      <c r="F363" s="173" t="s">
        <v>1043</v>
      </c>
      <c r="G363" s="173" t="s">
        <v>1049</v>
      </c>
      <c r="H363" s="173" t="s">
        <v>1061</v>
      </c>
      <c r="I363" s="173" t="s">
        <v>1065</v>
      </c>
    </row>
    <row r="364" ht="15.75" customHeight="1">
      <c r="A364" s="174" t="s">
        <v>1415</v>
      </c>
      <c r="B364" s="175" t="s">
        <v>1050</v>
      </c>
      <c r="C364" s="175" t="s">
        <v>1060</v>
      </c>
      <c r="D364" s="175" t="s">
        <v>1045</v>
      </c>
      <c r="E364" s="175" t="s">
        <v>1046</v>
      </c>
      <c r="F364" s="175" t="s">
        <v>1061</v>
      </c>
      <c r="G364" s="175" t="s">
        <v>1049</v>
      </c>
      <c r="H364" s="175" t="s">
        <v>1067</v>
      </c>
      <c r="I364" s="175" t="s">
        <v>1065</v>
      </c>
    </row>
    <row r="365" ht="15.75" customHeight="1">
      <c r="A365" s="172" t="s">
        <v>1416</v>
      </c>
      <c r="B365" s="173" t="s">
        <v>1050</v>
      </c>
      <c r="C365" s="173" t="s">
        <v>1061</v>
      </c>
      <c r="D365" s="173" t="s">
        <v>1045</v>
      </c>
      <c r="E365" s="173" t="s">
        <v>1046</v>
      </c>
      <c r="F365" s="173" t="s">
        <v>1043</v>
      </c>
      <c r="G365" s="173" t="s">
        <v>1049</v>
      </c>
      <c r="H365" s="173" t="s">
        <v>1067</v>
      </c>
      <c r="I365" s="173" t="s">
        <v>1065</v>
      </c>
    </row>
    <row r="366" ht="15.75" customHeight="1">
      <c r="A366" s="174" t="s">
        <v>1417</v>
      </c>
      <c r="B366" s="175" t="s">
        <v>1050</v>
      </c>
      <c r="C366" s="175" t="s">
        <v>1060</v>
      </c>
      <c r="D366" s="175" t="s">
        <v>1045</v>
      </c>
      <c r="E366" s="175" t="s">
        <v>1046</v>
      </c>
      <c r="F366" s="175" t="s">
        <v>1043</v>
      </c>
      <c r="G366" s="175" t="s">
        <v>1049</v>
      </c>
      <c r="H366" s="175" t="s">
        <v>1067</v>
      </c>
      <c r="I366" s="175" t="s">
        <v>1065</v>
      </c>
    </row>
    <row r="367" ht="15.75" customHeight="1">
      <c r="A367" s="172" t="s">
        <v>1418</v>
      </c>
      <c r="B367" s="173" t="s">
        <v>1043</v>
      </c>
      <c r="C367" s="173" t="s">
        <v>1044</v>
      </c>
      <c r="D367" s="173" t="s">
        <v>1045</v>
      </c>
      <c r="E367" s="173" t="s">
        <v>1046</v>
      </c>
      <c r="F367" s="173" t="s">
        <v>1047</v>
      </c>
      <c r="G367" s="173" t="s">
        <v>1048</v>
      </c>
      <c r="H367" s="173" t="s">
        <v>1049</v>
      </c>
      <c r="I367" s="173" t="s">
        <v>1050</v>
      </c>
    </row>
    <row r="368" ht="15.75" customHeight="1">
      <c r="A368" s="174" t="s">
        <v>1419</v>
      </c>
      <c r="B368" s="175" t="s">
        <v>1043</v>
      </c>
      <c r="C368" s="175" t="s">
        <v>1044</v>
      </c>
      <c r="D368" s="175" t="s">
        <v>1045</v>
      </c>
      <c r="E368" s="175" t="s">
        <v>1046</v>
      </c>
      <c r="F368" s="175" t="s">
        <v>1060</v>
      </c>
      <c r="G368" s="175" t="s">
        <v>1048</v>
      </c>
      <c r="H368" s="175" t="s">
        <v>1049</v>
      </c>
      <c r="I368" s="175" t="s">
        <v>1061</v>
      </c>
    </row>
    <row r="369" ht="15.75" customHeight="1">
      <c r="A369" s="172" t="s">
        <v>1420</v>
      </c>
      <c r="B369" s="173" t="s">
        <v>1046</v>
      </c>
      <c r="C369" s="173" t="s">
        <v>1044</v>
      </c>
      <c r="D369" s="173" t="s">
        <v>1045</v>
      </c>
      <c r="E369" s="173" t="s">
        <v>1049</v>
      </c>
      <c r="F369" s="173" t="s">
        <v>1043</v>
      </c>
      <c r="G369" s="173" t="s">
        <v>1048</v>
      </c>
      <c r="H369" s="173" t="s">
        <v>1061</v>
      </c>
      <c r="I369" s="173" t="s">
        <v>1065</v>
      </c>
    </row>
    <row r="370" ht="15.75" customHeight="1">
      <c r="A370" s="174" t="s">
        <v>1421</v>
      </c>
      <c r="B370" s="175" t="s">
        <v>1046</v>
      </c>
      <c r="C370" s="175" t="s">
        <v>1044</v>
      </c>
      <c r="D370" s="175" t="s">
        <v>1045</v>
      </c>
      <c r="E370" s="175" t="s">
        <v>1049</v>
      </c>
      <c r="F370" s="175" t="s">
        <v>1043</v>
      </c>
      <c r="G370" s="175" t="s">
        <v>1048</v>
      </c>
      <c r="H370" s="175" t="s">
        <v>1067</v>
      </c>
      <c r="I370" s="175" t="s">
        <v>1061</v>
      </c>
    </row>
    <row r="371" ht="15.75" customHeight="1">
      <c r="A371" s="172" t="s">
        <v>1422</v>
      </c>
      <c r="B371" s="173" t="s">
        <v>1043</v>
      </c>
      <c r="C371" s="173" t="s">
        <v>1044</v>
      </c>
      <c r="D371" s="173" t="s">
        <v>1045</v>
      </c>
      <c r="E371" s="173" t="s">
        <v>1046</v>
      </c>
      <c r="F371" s="173" t="s">
        <v>1060</v>
      </c>
      <c r="G371" s="173" t="s">
        <v>1048</v>
      </c>
      <c r="H371" s="173" t="s">
        <v>1049</v>
      </c>
      <c r="I371" s="173" t="s">
        <v>1065</v>
      </c>
    </row>
    <row r="372" ht="15.75" customHeight="1">
      <c r="A372" s="174" t="s">
        <v>1423</v>
      </c>
      <c r="B372" s="175" t="s">
        <v>1046</v>
      </c>
      <c r="C372" s="175" t="s">
        <v>1044</v>
      </c>
      <c r="D372" s="175" t="s">
        <v>1045</v>
      </c>
      <c r="E372" s="175" t="s">
        <v>1049</v>
      </c>
      <c r="F372" s="175" t="s">
        <v>1043</v>
      </c>
      <c r="G372" s="175" t="s">
        <v>1048</v>
      </c>
      <c r="H372" s="175" t="s">
        <v>1067</v>
      </c>
      <c r="I372" s="175" t="s">
        <v>1060</v>
      </c>
    </row>
    <row r="373" ht="15.75" customHeight="1">
      <c r="A373" s="172" t="s">
        <v>1424</v>
      </c>
      <c r="B373" s="173" t="s">
        <v>1046</v>
      </c>
      <c r="C373" s="173" t="s">
        <v>1044</v>
      </c>
      <c r="D373" s="173" t="s">
        <v>1045</v>
      </c>
      <c r="E373" s="173" t="s">
        <v>1049</v>
      </c>
      <c r="F373" s="173" t="s">
        <v>1043</v>
      </c>
      <c r="G373" s="173" t="s">
        <v>1048</v>
      </c>
      <c r="H373" s="173" t="s">
        <v>1067</v>
      </c>
      <c r="I373" s="173" t="s">
        <v>1065</v>
      </c>
    </row>
    <row r="374" ht="15.75" customHeight="1">
      <c r="A374" s="174" t="s">
        <v>1425</v>
      </c>
      <c r="B374" s="175" t="s">
        <v>1046</v>
      </c>
      <c r="C374" s="175" t="s">
        <v>1044</v>
      </c>
      <c r="D374" s="175" t="s">
        <v>1045</v>
      </c>
      <c r="E374" s="175" t="s">
        <v>1049</v>
      </c>
      <c r="F374" s="175" t="s">
        <v>1060</v>
      </c>
      <c r="G374" s="175" t="s">
        <v>1048</v>
      </c>
      <c r="H374" s="175" t="s">
        <v>1061</v>
      </c>
      <c r="I374" s="175" t="s">
        <v>1065</v>
      </c>
    </row>
    <row r="375" ht="15.75" customHeight="1">
      <c r="A375" s="172" t="s">
        <v>1426</v>
      </c>
      <c r="B375" s="173" t="s">
        <v>1046</v>
      </c>
      <c r="C375" s="173" t="s">
        <v>1044</v>
      </c>
      <c r="D375" s="173" t="s">
        <v>1045</v>
      </c>
      <c r="E375" s="173" t="s">
        <v>1049</v>
      </c>
      <c r="F375" s="173" t="s">
        <v>1060</v>
      </c>
      <c r="G375" s="173" t="s">
        <v>1048</v>
      </c>
      <c r="H375" s="173" t="s">
        <v>1067</v>
      </c>
      <c r="I375" s="173" t="s">
        <v>1061</v>
      </c>
    </row>
    <row r="376" ht="15.75" customHeight="1">
      <c r="A376" s="174" t="s">
        <v>1427</v>
      </c>
      <c r="B376" s="175" t="s">
        <v>1046</v>
      </c>
      <c r="C376" s="175" t="s">
        <v>1044</v>
      </c>
      <c r="D376" s="175" t="s">
        <v>1045</v>
      </c>
      <c r="E376" s="175" t="s">
        <v>1049</v>
      </c>
      <c r="F376" s="175" t="s">
        <v>1061</v>
      </c>
      <c r="G376" s="175" t="s">
        <v>1048</v>
      </c>
      <c r="H376" s="175" t="s">
        <v>1067</v>
      </c>
      <c r="I376" s="175" t="s">
        <v>1065</v>
      </c>
    </row>
    <row r="377" ht="15.75" customHeight="1">
      <c r="A377" s="172" t="s">
        <v>1428</v>
      </c>
      <c r="B377" s="173" t="s">
        <v>1046</v>
      </c>
      <c r="C377" s="173" t="s">
        <v>1044</v>
      </c>
      <c r="D377" s="173" t="s">
        <v>1045</v>
      </c>
      <c r="E377" s="173" t="s">
        <v>1049</v>
      </c>
      <c r="F377" s="173" t="s">
        <v>1060</v>
      </c>
      <c r="G377" s="173" t="s">
        <v>1048</v>
      </c>
      <c r="H377" s="173" t="s">
        <v>1067</v>
      </c>
      <c r="I377" s="173" t="s">
        <v>1065</v>
      </c>
    </row>
    <row r="378" ht="15.75" customHeight="1">
      <c r="A378" s="174" t="s">
        <v>1429</v>
      </c>
      <c r="B378" s="175" t="s">
        <v>1046</v>
      </c>
      <c r="C378" s="175" t="s">
        <v>1060</v>
      </c>
      <c r="D378" s="175" t="s">
        <v>1045</v>
      </c>
      <c r="E378" s="175" t="s">
        <v>1049</v>
      </c>
      <c r="F378" s="175" t="s">
        <v>1043</v>
      </c>
      <c r="G378" s="175" t="s">
        <v>1048</v>
      </c>
      <c r="H378" s="175" t="s">
        <v>1061</v>
      </c>
      <c r="I378" s="175" t="s">
        <v>1065</v>
      </c>
    </row>
    <row r="379" ht="15.75" customHeight="1">
      <c r="A379" s="172" t="s">
        <v>1430</v>
      </c>
      <c r="B379" s="173" t="s">
        <v>1046</v>
      </c>
      <c r="C379" s="173" t="s">
        <v>1060</v>
      </c>
      <c r="D379" s="173" t="s">
        <v>1045</v>
      </c>
      <c r="E379" s="173" t="s">
        <v>1049</v>
      </c>
      <c r="F379" s="173" t="s">
        <v>1043</v>
      </c>
      <c r="G379" s="173" t="s">
        <v>1048</v>
      </c>
      <c r="H379" s="173" t="s">
        <v>1067</v>
      </c>
      <c r="I379" s="173" t="s">
        <v>1061</v>
      </c>
    </row>
    <row r="380" ht="15.75" customHeight="1">
      <c r="A380" s="174" t="s">
        <v>1431</v>
      </c>
      <c r="B380" s="175" t="s">
        <v>1046</v>
      </c>
      <c r="C380" s="175" t="s">
        <v>1061</v>
      </c>
      <c r="D380" s="175" t="s">
        <v>1045</v>
      </c>
      <c r="E380" s="175" t="s">
        <v>1049</v>
      </c>
      <c r="F380" s="175" t="s">
        <v>1043</v>
      </c>
      <c r="G380" s="175" t="s">
        <v>1048</v>
      </c>
      <c r="H380" s="175" t="s">
        <v>1067</v>
      </c>
      <c r="I380" s="175" t="s">
        <v>1065</v>
      </c>
    </row>
    <row r="381" ht="15.75" customHeight="1">
      <c r="A381" s="172" t="s">
        <v>1432</v>
      </c>
      <c r="B381" s="173" t="s">
        <v>1046</v>
      </c>
      <c r="C381" s="173" t="s">
        <v>1060</v>
      </c>
      <c r="D381" s="173" t="s">
        <v>1045</v>
      </c>
      <c r="E381" s="173" t="s">
        <v>1049</v>
      </c>
      <c r="F381" s="173" t="s">
        <v>1043</v>
      </c>
      <c r="G381" s="173" t="s">
        <v>1048</v>
      </c>
      <c r="H381" s="173" t="s">
        <v>1067</v>
      </c>
      <c r="I381" s="173" t="s">
        <v>1065</v>
      </c>
    </row>
    <row r="382" ht="15.75" customHeight="1">
      <c r="A382" s="174" t="s">
        <v>1433</v>
      </c>
      <c r="B382" s="175" t="s">
        <v>1046</v>
      </c>
      <c r="C382" s="175" t="s">
        <v>1060</v>
      </c>
      <c r="D382" s="175" t="s">
        <v>1045</v>
      </c>
      <c r="E382" s="175" t="s">
        <v>1049</v>
      </c>
      <c r="F382" s="175" t="s">
        <v>1061</v>
      </c>
      <c r="G382" s="175" t="s">
        <v>1048</v>
      </c>
      <c r="H382" s="175" t="s">
        <v>1067</v>
      </c>
      <c r="I382" s="175" t="s">
        <v>1065</v>
      </c>
    </row>
    <row r="383" ht="15.75" customHeight="1">
      <c r="A383" s="172" t="s">
        <v>1434</v>
      </c>
      <c r="B383" s="173" t="s">
        <v>1043</v>
      </c>
      <c r="C383" s="173" t="s">
        <v>1044</v>
      </c>
      <c r="D383" s="173" t="s">
        <v>1045</v>
      </c>
      <c r="E383" s="173" t="s">
        <v>1046</v>
      </c>
      <c r="F383" s="173" t="s">
        <v>1060</v>
      </c>
      <c r="G383" s="173" t="s">
        <v>1049</v>
      </c>
      <c r="H383" s="173" t="s">
        <v>1061</v>
      </c>
      <c r="I383" s="173" t="s">
        <v>1065</v>
      </c>
    </row>
    <row r="384" ht="15.75" customHeight="1">
      <c r="A384" s="174" t="s">
        <v>1435</v>
      </c>
      <c r="B384" s="175" t="s">
        <v>1061</v>
      </c>
      <c r="C384" s="175" t="s">
        <v>1044</v>
      </c>
      <c r="D384" s="175" t="s">
        <v>1045</v>
      </c>
      <c r="E384" s="175" t="s">
        <v>1046</v>
      </c>
      <c r="F384" s="175" t="s">
        <v>1060</v>
      </c>
      <c r="G384" s="175" t="s">
        <v>1049</v>
      </c>
      <c r="H384" s="175" t="s">
        <v>1067</v>
      </c>
      <c r="I384" s="175" t="s">
        <v>1065</v>
      </c>
    </row>
    <row r="385" ht="15.75" customHeight="1">
      <c r="A385" s="172" t="s">
        <v>1436</v>
      </c>
      <c r="B385" s="173" t="s">
        <v>1043</v>
      </c>
      <c r="C385" s="173" t="s">
        <v>1044</v>
      </c>
      <c r="D385" s="173" t="s">
        <v>1045</v>
      </c>
      <c r="E385" s="173" t="s">
        <v>1046</v>
      </c>
      <c r="F385" s="173" t="s">
        <v>1061</v>
      </c>
      <c r="G385" s="173" t="s">
        <v>1049</v>
      </c>
      <c r="H385" s="173" t="s">
        <v>1067</v>
      </c>
      <c r="I385" s="173" t="s">
        <v>1065</v>
      </c>
    </row>
    <row r="386" ht="15.75" customHeight="1">
      <c r="A386" s="174" t="s">
        <v>1437</v>
      </c>
      <c r="B386" s="175" t="s">
        <v>1043</v>
      </c>
      <c r="C386" s="175" t="s">
        <v>1044</v>
      </c>
      <c r="D386" s="175" t="s">
        <v>1045</v>
      </c>
      <c r="E386" s="175" t="s">
        <v>1046</v>
      </c>
      <c r="F386" s="175" t="s">
        <v>1060</v>
      </c>
      <c r="G386" s="175" t="s">
        <v>1049</v>
      </c>
      <c r="H386" s="175" t="s">
        <v>1067</v>
      </c>
      <c r="I386" s="175" t="s">
        <v>1065</v>
      </c>
    </row>
    <row r="387" ht="15.75" customHeight="1">
      <c r="A387" s="172" t="s">
        <v>1438</v>
      </c>
      <c r="B387" s="173" t="s">
        <v>1043</v>
      </c>
      <c r="C387" s="173" t="s">
        <v>1044</v>
      </c>
      <c r="D387" s="173" t="s">
        <v>1045</v>
      </c>
      <c r="E387" s="173" t="s">
        <v>1046</v>
      </c>
      <c r="F387" s="173" t="s">
        <v>1047</v>
      </c>
      <c r="G387" s="173" t="s">
        <v>1048</v>
      </c>
      <c r="H387" s="173" t="s">
        <v>1049</v>
      </c>
      <c r="I387" s="173" t="s">
        <v>1050</v>
      </c>
    </row>
    <row r="388" ht="15.75" customHeight="1">
      <c r="A388" s="174" t="s">
        <v>1439</v>
      </c>
      <c r="B388" s="175" t="s">
        <v>1043</v>
      </c>
      <c r="C388" s="175" t="s">
        <v>1060</v>
      </c>
      <c r="D388" s="175" t="s">
        <v>1045</v>
      </c>
      <c r="E388" s="175" t="s">
        <v>1046</v>
      </c>
      <c r="F388" s="175" t="s">
        <v>1061</v>
      </c>
      <c r="G388" s="175" t="s">
        <v>1049</v>
      </c>
      <c r="H388" s="175" t="s">
        <v>1067</v>
      </c>
      <c r="I388" s="175" t="s">
        <v>1065</v>
      </c>
    </row>
    <row r="389" ht="15.75" customHeight="1">
      <c r="A389" s="172" t="s">
        <v>1440</v>
      </c>
      <c r="B389" s="173" t="s">
        <v>1043</v>
      </c>
      <c r="C389" s="173" t="s">
        <v>1044</v>
      </c>
      <c r="D389" s="173" t="s">
        <v>1045</v>
      </c>
      <c r="E389" s="173" t="s">
        <v>1046</v>
      </c>
      <c r="F389" s="173" t="s">
        <v>1060</v>
      </c>
      <c r="G389" s="173" t="s">
        <v>1048</v>
      </c>
      <c r="H389" s="173" t="s">
        <v>1050</v>
      </c>
      <c r="I389" s="173" t="s">
        <v>1061</v>
      </c>
    </row>
    <row r="390" ht="15.75" customHeight="1">
      <c r="A390" s="174" t="s">
        <v>1441</v>
      </c>
      <c r="B390" s="175" t="s">
        <v>1050</v>
      </c>
      <c r="C390" s="175" t="s">
        <v>1044</v>
      </c>
      <c r="D390" s="175" t="s">
        <v>1045</v>
      </c>
      <c r="E390" s="175" t="s">
        <v>1046</v>
      </c>
      <c r="F390" s="175" t="s">
        <v>1043</v>
      </c>
      <c r="G390" s="175" t="s">
        <v>1048</v>
      </c>
      <c r="H390" s="175" t="s">
        <v>1061</v>
      </c>
      <c r="I390" s="175" t="s">
        <v>1065</v>
      </c>
    </row>
    <row r="391" ht="15.75" customHeight="1">
      <c r="A391" s="172" t="s">
        <v>1442</v>
      </c>
      <c r="B391" s="173" t="s">
        <v>1050</v>
      </c>
      <c r="C391" s="173" t="s">
        <v>1044</v>
      </c>
      <c r="D391" s="173" t="s">
        <v>1045</v>
      </c>
      <c r="E391" s="173" t="s">
        <v>1046</v>
      </c>
      <c r="F391" s="173" t="s">
        <v>1043</v>
      </c>
      <c r="G391" s="173" t="s">
        <v>1048</v>
      </c>
      <c r="H391" s="173" t="s">
        <v>1067</v>
      </c>
      <c r="I391" s="173" t="s">
        <v>1061</v>
      </c>
    </row>
    <row r="392" ht="15.75" customHeight="1">
      <c r="A392" s="174" t="s">
        <v>1443</v>
      </c>
      <c r="B392" s="175" t="s">
        <v>1043</v>
      </c>
      <c r="C392" s="175" t="s">
        <v>1044</v>
      </c>
      <c r="D392" s="175" t="s">
        <v>1045</v>
      </c>
      <c r="E392" s="175" t="s">
        <v>1046</v>
      </c>
      <c r="F392" s="175" t="s">
        <v>1060</v>
      </c>
      <c r="G392" s="175" t="s">
        <v>1048</v>
      </c>
      <c r="H392" s="175" t="s">
        <v>1050</v>
      </c>
      <c r="I392" s="175" t="s">
        <v>1065</v>
      </c>
    </row>
    <row r="393" ht="15.75" customHeight="1">
      <c r="A393" s="172" t="s">
        <v>1444</v>
      </c>
      <c r="B393" s="173" t="s">
        <v>1043</v>
      </c>
      <c r="C393" s="173" t="s">
        <v>1044</v>
      </c>
      <c r="D393" s="173" t="s">
        <v>1045</v>
      </c>
      <c r="E393" s="173" t="s">
        <v>1046</v>
      </c>
      <c r="F393" s="173" t="s">
        <v>1060</v>
      </c>
      <c r="G393" s="173" t="s">
        <v>1048</v>
      </c>
      <c r="H393" s="173" t="s">
        <v>1067</v>
      </c>
      <c r="I393" s="173" t="s">
        <v>1050</v>
      </c>
    </row>
    <row r="394" ht="15.75" customHeight="1">
      <c r="A394" s="174" t="s">
        <v>1445</v>
      </c>
      <c r="B394" s="175" t="s">
        <v>1050</v>
      </c>
      <c r="C394" s="175" t="s">
        <v>1044</v>
      </c>
      <c r="D394" s="175" t="s">
        <v>1045</v>
      </c>
      <c r="E394" s="175" t="s">
        <v>1046</v>
      </c>
      <c r="F394" s="175" t="s">
        <v>1043</v>
      </c>
      <c r="G394" s="175" t="s">
        <v>1048</v>
      </c>
      <c r="H394" s="175" t="s">
        <v>1067</v>
      </c>
      <c r="I394" s="175" t="s">
        <v>1065</v>
      </c>
    </row>
    <row r="395" ht="15.75" customHeight="1">
      <c r="A395" s="172" t="s">
        <v>1446</v>
      </c>
      <c r="B395" s="173" t="s">
        <v>1050</v>
      </c>
      <c r="C395" s="173" t="s">
        <v>1044</v>
      </c>
      <c r="D395" s="173" t="s">
        <v>1045</v>
      </c>
      <c r="E395" s="173" t="s">
        <v>1046</v>
      </c>
      <c r="F395" s="173" t="s">
        <v>1060</v>
      </c>
      <c r="G395" s="173" t="s">
        <v>1048</v>
      </c>
      <c r="H395" s="173" t="s">
        <v>1061</v>
      </c>
      <c r="I395" s="173" t="s">
        <v>1065</v>
      </c>
    </row>
    <row r="396" ht="15.75" customHeight="1">
      <c r="A396" s="174" t="s">
        <v>1447</v>
      </c>
      <c r="B396" s="175" t="s">
        <v>1050</v>
      </c>
      <c r="C396" s="175" t="s">
        <v>1044</v>
      </c>
      <c r="D396" s="175" t="s">
        <v>1045</v>
      </c>
      <c r="E396" s="175" t="s">
        <v>1046</v>
      </c>
      <c r="F396" s="175" t="s">
        <v>1060</v>
      </c>
      <c r="G396" s="175" t="s">
        <v>1048</v>
      </c>
      <c r="H396" s="175" t="s">
        <v>1067</v>
      </c>
      <c r="I396" s="175" t="s">
        <v>1061</v>
      </c>
    </row>
    <row r="397" ht="15.75" customHeight="1">
      <c r="A397" s="172" t="s">
        <v>1448</v>
      </c>
      <c r="B397" s="173" t="s">
        <v>1050</v>
      </c>
      <c r="C397" s="173" t="s">
        <v>1044</v>
      </c>
      <c r="D397" s="173" t="s">
        <v>1045</v>
      </c>
      <c r="E397" s="173" t="s">
        <v>1046</v>
      </c>
      <c r="F397" s="173" t="s">
        <v>1061</v>
      </c>
      <c r="G397" s="173" t="s">
        <v>1048</v>
      </c>
      <c r="H397" s="173" t="s">
        <v>1067</v>
      </c>
      <c r="I397" s="173" t="s">
        <v>1065</v>
      </c>
    </row>
    <row r="398" ht="15.75" customHeight="1">
      <c r="A398" s="174" t="s">
        <v>1449</v>
      </c>
      <c r="B398" s="175" t="s">
        <v>1050</v>
      </c>
      <c r="C398" s="175" t="s">
        <v>1044</v>
      </c>
      <c r="D398" s="175" t="s">
        <v>1045</v>
      </c>
      <c r="E398" s="175" t="s">
        <v>1046</v>
      </c>
      <c r="F398" s="175" t="s">
        <v>1060</v>
      </c>
      <c r="G398" s="175" t="s">
        <v>1048</v>
      </c>
      <c r="H398" s="175" t="s">
        <v>1067</v>
      </c>
      <c r="I398" s="175" t="s">
        <v>1065</v>
      </c>
    </row>
    <row r="399" ht="15.75" customHeight="1">
      <c r="A399" s="172" t="s">
        <v>1450</v>
      </c>
      <c r="B399" s="173" t="s">
        <v>1050</v>
      </c>
      <c r="C399" s="173" t="s">
        <v>1060</v>
      </c>
      <c r="D399" s="173" t="s">
        <v>1045</v>
      </c>
      <c r="E399" s="173" t="s">
        <v>1046</v>
      </c>
      <c r="F399" s="173" t="s">
        <v>1043</v>
      </c>
      <c r="G399" s="173" t="s">
        <v>1048</v>
      </c>
      <c r="H399" s="173" t="s">
        <v>1061</v>
      </c>
      <c r="I399" s="173" t="s">
        <v>1065</v>
      </c>
    </row>
    <row r="400" ht="15.75" customHeight="1">
      <c r="A400" s="174" t="s">
        <v>1451</v>
      </c>
      <c r="B400" s="175" t="s">
        <v>1050</v>
      </c>
      <c r="C400" s="175" t="s">
        <v>1060</v>
      </c>
      <c r="D400" s="175" t="s">
        <v>1045</v>
      </c>
      <c r="E400" s="175" t="s">
        <v>1046</v>
      </c>
      <c r="F400" s="175" t="s">
        <v>1043</v>
      </c>
      <c r="G400" s="175" t="s">
        <v>1048</v>
      </c>
      <c r="H400" s="175" t="s">
        <v>1067</v>
      </c>
      <c r="I400" s="175" t="s">
        <v>1061</v>
      </c>
    </row>
    <row r="401" ht="15.75" customHeight="1">
      <c r="A401" s="172" t="s">
        <v>1452</v>
      </c>
      <c r="B401" s="173" t="s">
        <v>1050</v>
      </c>
      <c r="C401" s="173" t="s">
        <v>1061</v>
      </c>
      <c r="D401" s="173" t="s">
        <v>1045</v>
      </c>
      <c r="E401" s="173" t="s">
        <v>1046</v>
      </c>
      <c r="F401" s="173" t="s">
        <v>1043</v>
      </c>
      <c r="G401" s="173" t="s">
        <v>1048</v>
      </c>
      <c r="H401" s="173" t="s">
        <v>1067</v>
      </c>
      <c r="I401" s="173" t="s">
        <v>1065</v>
      </c>
    </row>
    <row r="402" ht="15.75" customHeight="1">
      <c r="A402" s="174" t="s">
        <v>1453</v>
      </c>
      <c r="B402" s="175" t="s">
        <v>1050</v>
      </c>
      <c r="C402" s="175" t="s">
        <v>1060</v>
      </c>
      <c r="D402" s="175" t="s">
        <v>1045</v>
      </c>
      <c r="E402" s="175" t="s">
        <v>1046</v>
      </c>
      <c r="F402" s="175" t="s">
        <v>1043</v>
      </c>
      <c r="G402" s="175" t="s">
        <v>1048</v>
      </c>
      <c r="H402" s="175" t="s">
        <v>1067</v>
      </c>
      <c r="I402" s="175" t="s">
        <v>1065</v>
      </c>
    </row>
    <row r="403" ht="15.75" customHeight="1">
      <c r="A403" s="172" t="s">
        <v>1454</v>
      </c>
      <c r="B403" s="173" t="s">
        <v>1050</v>
      </c>
      <c r="C403" s="173" t="s">
        <v>1060</v>
      </c>
      <c r="D403" s="173" t="s">
        <v>1045</v>
      </c>
      <c r="E403" s="173" t="s">
        <v>1046</v>
      </c>
      <c r="F403" s="173" t="s">
        <v>1061</v>
      </c>
      <c r="G403" s="173" t="s">
        <v>1048</v>
      </c>
      <c r="H403" s="173" t="s">
        <v>1067</v>
      </c>
      <c r="I403" s="173" t="s">
        <v>1065</v>
      </c>
    </row>
    <row r="404" ht="15.75" customHeight="1">
      <c r="A404" s="174" t="s">
        <v>1455</v>
      </c>
      <c r="B404" s="175" t="s">
        <v>1050</v>
      </c>
      <c r="C404" s="175" t="s">
        <v>1060</v>
      </c>
      <c r="D404" s="175" t="s">
        <v>1045</v>
      </c>
      <c r="E404" s="175" t="s">
        <v>1046</v>
      </c>
      <c r="F404" s="175" t="s">
        <v>1043</v>
      </c>
      <c r="G404" s="175" t="s">
        <v>1044</v>
      </c>
      <c r="H404" s="175" t="s">
        <v>1061</v>
      </c>
      <c r="I404" s="175" t="s">
        <v>1065</v>
      </c>
    </row>
    <row r="405" ht="15.75" customHeight="1">
      <c r="A405" s="172" t="s">
        <v>1456</v>
      </c>
      <c r="B405" s="173" t="s">
        <v>1050</v>
      </c>
      <c r="C405" s="173" t="s">
        <v>1060</v>
      </c>
      <c r="D405" s="173" t="s">
        <v>1045</v>
      </c>
      <c r="E405" s="173" t="s">
        <v>1046</v>
      </c>
      <c r="F405" s="173" t="s">
        <v>1061</v>
      </c>
      <c r="G405" s="173" t="s">
        <v>1044</v>
      </c>
      <c r="H405" s="173" t="s">
        <v>1067</v>
      </c>
      <c r="I405" s="173" t="s">
        <v>1065</v>
      </c>
    </row>
    <row r="406" ht="15.75" customHeight="1">
      <c r="A406" s="174" t="s">
        <v>1457</v>
      </c>
      <c r="B406" s="175" t="s">
        <v>1050</v>
      </c>
      <c r="C406" s="175" t="s">
        <v>1044</v>
      </c>
      <c r="D406" s="175" t="s">
        <v>1045</v>
      </c>
      <c r="E406" s="175" t="s">
        <v>1046</v>
      </c>
      <c r="F406" s="175" t="s">
        <v>1061</v>
      </c>
      <c r="G406" s="175" t="s">
        <v>1043</v>
      </c>
      <c r="H406" s="175" t="s">
        <v>1067</v>
      </c>
      <c r="I406" s="175" t="s">
        <v>1065</v>
      </c>
    </row>
    <row r="407" ht="15.75" customHeight="1">
      <c r="A407" s="172" t="s">
        <v>1458</v>
      </c>
      <c r="B407" s="173" t="s">
        <v>1050</v>
      </c>
      <c r="C407" s="173" t="s">
        <v>1060</v>
      </c>
      <c r="D407" s="173" t="s">
        <v>1045</v>
      </c>
      <c r="E407" s="173" t="s">
        <v>1046</v>
      </c>
      <c r="F407" s="173" t="s">
        <v>1043</v>
      </c>
      <c r="G407" s="173" t="s">
        <v>1044</v>
      </c>
      <c r="H407" s="173" t="s">
        <v>1067</v>
      </c>
      <c r="I407" s="173" t="s">
        <v>1065</v>
      </c>
    </row>
    <row r="408" ht="15.75" customHeight="1">
      <c r="A408" s="174" t="s">
        <v>1459</v>
      </c>
      <c r="B408" s="175" t="s">
        <v>1043</v>
      </c>
      <c r="C408" s="175" t="s">
        <v>1044</v>
      </c>
      <c r="D408" s="175" t="s">
        <v>1045</v>
      </c>
      <c r="E408" s="175" t="s">
        <v>1046</v>
      </c>
      <c r="F408" s="175" t="s">
        <v>1047</v>
      </c>
      <c r="G408" s="175" t="s">
        <v>1048</v>
      </c>
      <c r="H408" s="175" t="s">
        <v>1049</v>
      </c>
      <c r="I408" s="175" t="s">
        <v>1050</v>
      </c>
    </row>
    <row r="409" ht="15.75" customHeight="1">
      <c r="A409" s="172" t="s">
        <v>1460</v>
      </c>
      <c r="B409" s="173" t="s">
        <v>1050</v>
      </c>
      <c r="C409" s="173" t="s">
        <v>1060</v>
      </c>
      <c r="D409" s="173" t="s">
        <v>1045</v>
      </c>
      <c r="E409" s="173" t="s">
        <v>1046</v>
      </c>
      <c r="F409" s="173" t="s">
        <v>1061</v>
      </c>
      <c r="G409" s="173" t="s">
        <v>1043</v>
      </c>
      <c r="H409" s="173" t="s">
        <v>1067</v>
      </c>
      <c r="I409" s="173" t="s">
        <v>1065</v>
      </c>
    </row>
    <row r="410" ht="15.75" customHeight="1">
      <c r="A410" s="174" t="s">
        <v>1461</v>
      </c>
      <c r="B410" s="175" t="s">
        <v>1043</v>
      </c>
      <c r="C410" s="175" t="s">
        <v>1044</v>
      </c>
      <c r="D410" s="175" t="s">
        <v>1045</v>
      </c>
      <c r="E410" s="175" t="s">
        <v>1046</v>
      </c>
      <c r="F410" s="175" t="s">
        <v>1060</v>
      </c>
      <c r="G410" s="175" t="s">
        <v>1048</v>
      </c>
      <c r="H410" s="175" t="s">
        <v>1061</v>
      </c>
      <c r="I410" s="175" t="s">
        <v>1065</v>
      </c>
    </row>
    <row r="411" ht="15.75" customHeight="1">
      <c r="A411" s="172" t="s">
        <v>1462</v>
      </c>
      <c r="B411" s="173" t="s">
        <v>1043</v>
      </c>
      <c r="C411" s="173" t="s">
        <v>1044</v>
      </c>
      <c r="D411" s="173" t="s">
        <v>1045</v>
      </c>
      <c r="E411" s="173" t="s">
        <v>1046</v>
      </c>
      <c r="F411" s="173" t="s">
        <v>1060</v>
      </c>
      <c r="G411" s="173" t="s">
        <v>1048</v>
      </c>
      <c r="H411" s="173" t="s">
        <v>1067</v>
      </c>
      <c r="I411" s="173" t="s">
        <v>1061</v>
      </c>
    </row>
    <row r="412" ht="15.75" customHeight="1">
      <c r="A412" s="174" t="s">
        <v>1463</v>
      </c>
      <c r="B412" s="175" t="s">
        <v>1043</v>
      </c>
      <c r="C412" s="175" t="s">
        <v>1044</v>
      </c>
      <c r="D412" s="175" t="s">
        <v>1045</v>
      </c>
      <c r="E412" s="175" t="s">
        <v>1046</v>
      </c>
      <c r="F412" s="175" t="s">
        <v>1061</v>
      </c>
      <c r="G412" s="175" t="s">
        <v>1048</v>
      </c>
      <c r="H412" s="175" t="s">
        <v>1067</v>
      </c>
      <c r="I412" s="175" t="s">
        <v>1065</v>
      </c>
    </row>
    <row r="413" ht="15.75" customHeight="1">
      <c r="A413" s="172" t="s">
        <v>1464</v>
      </c>
      <c r="B413" s="173" t="s">
        <v>1043</v>
      </c>
      <c r="C413" s="173" t="s">
        <v>1044</v>
      </c>
      <c r="D413" s="173" t="s">
        <v>1045</v>
      </c>
      <c r="E413" s="173" t="s">
        <v>1046</v>
      </c>
      <c r="F413" s="173" t="s">
        <v>1060</v>
      </c>
      <c r="G413" s="173" t="s">
        <v>1048</v>
      </c>
      <c r="H413" s="173" t="s">
        <v>1067</v>
      </c>
      <c r="I413" s="173" t="s">
        <v>1065</v>
      </c>
    </row>
    <row r="414" ht="15.75" customHeight="1">
      <c r="A414" s="174" t="s">
        <v>1465</v>
      </c>
      <c r="B414" s="175" t="s">
        <v>1061</v>
      </c>
      <c r="C414" s="175" t="s">
        <v>1044</v>
      </c>
      <c r="D414" s="175" t="s">
        <v>1045</v>
      </c>
      <c r="E414" s="175" t="s">
        <v>1046</v>
      </c>
      <c r="F414" s="175" t="s">
        <v>1060</v>
      </c>
      <c r="G414" s="175" t="s">
        <v>1048</v>
      </c>
      <c r="H414" s="175" t="s">
        <v>1067</v>
      </c>
      <c r="I414" s="175" t="s">
        <v>1065</v>
      </c>
    </row>
    <row r="415" ht="15.75" customHeight="1">
      <c r="A415" s="172" t="s">
        <v>1466</v>
      </c>
      <c r="B415" s="173" t="s">
        <v>1043</v>
      </c>
      <c r="C415" s="173" t="s">
        <v>1060</v>
      </c>
      <c r="D415" s="173" t="s">
        <v>1045</v>
      </c>
      <c r="E415" s="173" t="s">
        <v>1046</v>
      </c>
      <c r="F415" s="173" t="s">
        <v>1061</v>
      </c>
      <c r="G415" s="173" t="s">
        <v>1048</v>
      </c>
      <c r="H415" s="173" t="s">
        <v>1067</v>
      </c>
      <c r="I415" s="173" t="s">
        <v>1065</v>
      </c>
    </row>
    <row r="416" ht="15.75" customHeight="1">
      <c r="A416" s="174" t="s">
        <v>1467</v>
      </c>
      <c r="B416" s="175" t="s">
        <v>1043</v>
      </c>
      <c r="C416" s="175" t="s">
        <v>1060</v>
      </c>
      <c r="D416" s="175" t="s">
        <v>1045</v>
      </c>
      <c r="E416" s="175" t="s">
        <v>1046</v>
      </c>
      <c r="F416" s="175" t="s">
        <v>1061</v>
      </c>
      <c r="G416" s="175" t="s">
        <v>1044</v>
      </c>
      <c r="H416" s="175" t="s">
        <v>1067</v>
      </c>
      <c r="I416" s="175" t="s">
        <v>1065</v>
      </c>
    </row>
    <row r="417" ht="15.75" customHeight="1">
      <c r="A417" s="172" t="s">
        <v>1468</v>
      </c>
      <c r="B417" s="173" t="s">
        <v>1043</v>
      </c>
      <c r="C417" s="173" t="s">
        <v>1044</v>
      </c>
      <c r="D417" s="173" t="s">
        <v>1045</v>
      </c>
      <c r="E417" s="173" t="s">
        <v>1049</v>
      </c>
      <c r="F417" s="173" t="s">
        <v>1060</v>
      </c>
      <c r="G417" s="173" t="s">
        <v>1048</v>
      </c>
      <c r="H417" s="173" t="s">
        <v>1050</v>
      </c>
      <c r="I417" s="173" t="s">
        <v>1061</v>
      </c>
    </row>
    <row r="418" ht="15.75" customHeight="1">
      <c r="A418" s="174" t="s">
        <v>1469</v>
      </c>
      <c r="B418" s="175" t="s">
        <v>1050</v>
      </c>
      <c r="C418" s="175" t="s">
        <v>1044</v>
      </c>
      <c r="D418" s="175" t="s">
        <v>1045</v>
      </c>
      <c r="E418" s="175" t="s">
        <v>1049</v>
      </c>
      <c r="F418" s="175" t="s">
        <v>1043</v>
      </c>
      <c r="G418" s="175" t="s">
        <v>1048</v>
      </c>
      <c r="H418" s="175" t="s">
        <v>1061</v>
      </c>
      <c r="I418" s="175" t="s">
        <v>1065</v>
      </c>
    </row>
    <row r="419" ht="15.75" customHeight="1">
      <c r="A419" s="172" t="s">
        <v>1470</v>
      </c>
      <c r="B419" s="173" t="s">
        <v>1050</v>
      </c>
      <c r="C419" s="173" t="s">
        <v>1044</v>
      </c>
      <c r="D419" s="173" t="s">
        <v>1045</v>
      </c>
      <c r="E419" s="173" t="s">
        <v>1049</v>
      </c>
      <c r="F419" s="173" t="s">
        <v>1043</v>
      </c>
      <c r="G419" s="173" t="s">
        <v>1048</v>
      </c>
      <c r="H419" s="173" t="s">
        <v>1067</v>
      </c>
      <c r="I419" s="173" t="s">
        <v>1061</v>
      </c>
    </row>
    <row r="420" ht="15.75" customHeight="1">
      <c r="A420" s="174" t="s">
        <v>1471</v>
      </c>
      <c r="B420" s="175" t="s">
        <v>1043</v>
      </c>
      <c r="C420" s="175" t="s">
        <v>1044</v>
      </c>
      <c r="D420" s="175" t="s">
        <v>1045</v>
      </c>
      <c r="E420" s="175" t="s">
        <v>1049</v>
      </c>
      <c r="F420" s="175" t="s">
        <v>1060</v>
      </c>
      <c r="G420" s="175" t="s">
        <v>1048</v>
      </c>
      <c r="H420" s="175" t="s">
        <v>1050</v>
      </c>
      <c r="I420" s="175" t="s">
        <v>1065</v>
      </c>
    </row>
    <row r="421" ht="15.75" customHeight="1">
      <c r="A421" s="172" t="s">
        <v>1472</v>
      </c>
      <c r="B421" s="173" t="s">
        <v>1043</v>
      </c>
      <c r="C421" s="173" t="s">
        <v>1044</v>
      </c>
      <c r="D421" s="173" t="s">
        <v>1045</v>
      </c>
      <c r="E421" s="173" t="s">
        <v>1049</v>
      </c>
      <c r="F421" s="173" t="s">
        <v>1060</v>
      </c>
      <c r="G421" s="173" t="s">
        <v>1048</v>
      </c>
      <c r="H421" s="173" t="s">
        <v>1067</v>
      </c>
      <c r="I421" s="173" t="s">
        <v>1050</v>
      </c>
    </row>
    <row r="422" ht="15.75" customHeight="1">
      <c r="A422" s="174" t="s">
        <v>1473</v>
      </c>
      <c r="B422" s="175" t="s">
        <v>1050</v>
      </c>
      <c r="C422" s="175" t="s">
        <v>1044</v>
      </c>
      <c r="D422" s="175" t="s">
        <v>1045</v>
      </c>
      <c r="E422" s="175" t="s">
        <v>1049</v>
      </c>
      <c r="F422" s="175" t="s">
        <v>1043</v>
      </c>
      <c r="G422" s="175" t="s">
        <v>1048</v>
      </c>
      <c r="H422" s="175" t="s">
        <v>1067</v>
      </c>
      <c r="I422" s="175" t="s">
        <v>1065</v>
      </c>
    </row>
    <row r="423" ht="15.75" customHeight="1">
      <c r="A423" s="172" t="s">
        <v>1474</v>
      </c>
      <c r="B423" s="173" t="s">
        <v>1050</v>
      </c>
      <c r="C423" s="173" t="s">
        <v>1044</v>
      </c>
      <c r="D423" s="173" t="s">
        <v>1045</v>
      </c>
      <c r="E423" s="173" t="s">
        <v>1049</v>
      </c>
      <c r="F423" s="173" t="s">
        <v>1060</v>
      </c>
      <c r="G423" s="173" t="s">
        <v>1048</v>
      </c>
      <c r="H423" s="173" t="s">
        <v>1061</v>
      </c>
      <c r="I423" s="173" t="s">
        <v>1065</v>
      </c>
    </row>
    <row r="424" ht="15.75" customHeight="1">
      <c r="A424" s="174" t="s">
        <v>1475</v>
      </c>
      <c r="B424" s="175" t="s">
        <v>1050</v>
      </c>
      <c r="C424" s="175" t="s">
        <v>1044</v>
      </c>
      <c r="D424" s="175" t="s">
        <v>1045</v>
      </c>
      <c r="E424" s="175" t="s">
        <v>1049</v>
      </c>
      <c r="F424" s="175" t="s">
        <v>1060</v>
      </c>
      <c r="G424" s="175" t="s">
        <v>1048</v>
      </c>
      <c r="H424" s="175" t="s">
        <v>1067</v>
      </c>
      <c r="I424" s="175" t="s">
        <v>1061</v>
      </c>
    </row>
    <row r="425" ht="15.75" customHeight="1">
      <c r="A425" s="172" t="s">
        <v>1476</v>
      </c>
      <c r="B425" s="173" t="s">
        <v>1050</v>
      </c>
      <c r="C425" s="173" t="s">
        <v>1044</v>
      </c>
      <c r="D425" s="173" t="s">
        <v>1045</v>
      </c>
      <c r="E425" s="173" t="s">
        <v>1049</v>
      </c>
      <c r="F425" s="173" t="s">
        <v>1061</v>
      </c>
      <c r="G425" s="173" t="s">
        <v>1048</v>
      </c>
      <c r="H425" s="173" t="s">
        <v>1067</v>
      </c>
      <c r="I425" s="173" t="s">
        <v>1065</v>
      </c>
    </row>
    <row r="426" ht="15.75" customHeight="1">
      <c r="A426" s="174" t="s">
        <v>1477</v>
      </c>
      <c r="B426" s="175" t="s">
        <v>1050</v>
      </c>
      <c r="C426" s="175" t="s">
        <v>1044</v>
      </c>
      <c r="D426" s="175" t="s">
        <v>1045</v>
      </c>
      <c r="E426" s="175" t="s">
        <v>1049</v>
      </c>
      <c r="F426" s="175" t="s">
        <v>1060</v>
      </c>
      <c r="G426" s="175" t="s">
        <v>1048</v>
      </c>
      <c r="H426" s="175" t="s">
        <v>1067</v>
      </c>
      <c r="I426" s="175" t="s">
        <v>1065</v>
      </c>
    </row>
    <row r="427" ht="15.75" customHeight="1">
      <c r="A427" s="172" t="s">
        <v>1478</v>
      </c>
      <c r="B427" s="173" t="s">
        <v>1050</v>
      </c>
      <c r="C427" s="173" t="s">
        <v>1060</v>
      </c>
      <c r="D427" s="173" t="s">
        <v>1045</v>
      </c>
      <c r="E427" s="173" t="s">
        <v>1049</v>
      </c>
      <c r="F427" s="173" t="s">
        <v>1043</v>
      </c>
      <c r="G427" s="173" t="s">
        <v>1048</v>
      </c>
      <c r="H427" s="173" t="s">
        <v>1061</v>
      </c>
      <c r="I427" s="173" t="s">
        <v>1065</v>
      </c>
    </row>
    <row r="428" ht="15.75" customHeight="1">
      <c r="A428" s="174" t="s">
        <v>1479</v>
      </c>
      <c r="B428" s="175" t="s">
        <v>1050</v>
      </c>
      <c r="C428" s="175" t="s">
        <v>1060</v>
      </c>
      <c r="D428" s="175" t="s">
        <v>1045</v>
      </c>
      <c r="E428" s="175" t="s">
        <v>1049</v>
      </c>
      <c r="F428" s="175" t="s">
        <v>1043</v>
      </c>
      <c r="G428" s="175" t="s">
        <v>1048</v>
      </c>
      <c r="H428" s="175" t="s">
        <v>1067</v>
      </c>
      <c r="I428" s="175" t="s">
        <v>1061</v>
      </c>
    </row>
    <row r="429" ht="15.75" customHeight="1">
      <c r="A429" s="172" t="s">
        <v>1480</v>
      </c>
      <c r="B429" s="173" t="s">
        <v>1050</v>
      </c>
      <c r="C429" s="173" t="s">
        <v>1061</v>
      </c>
      <c r="D429" s="173" t="s">
        <v>1045</v>
      </c>
      <c r="E429" s="173" t="s">
        <v>1049</v>
      </c>
      <c r="F429" s="173" t="s">
        <v>1043</v>
      </c>
      <c r="G429" s="173" t="s">
        <v>1048</v>
      </c>
      <c r="H429" s="173" t="s">
        <v>1067</v>
      </c>
      <c r="I429" s="173" t="s">
        <v>1065</v>
      </c>
    </row>
    <row r="430" ht="15.75" customHeight="1">
      <c r="A430" s="174" t="s">
        <v>1481</v>
      </c>
      <c r="B430" s="175" t="s">
        <v>1050</v>
      </c>
      <c r="C430" s="175" t="s">
        <v>1060</v>
      </c>
      <c r="D430" s="175" t="s">
        <v>1045</v>
      </c>
      <c r="E430" s="175" t="s">
        <v>1049</v>
      </c>
      <c r="F430" s="175" t="s">
        <v>1043</v>
      </c>
      <c r="G430" s="175" t="s">
        <v>1048</v>
      </c>
      <c r="H430" s="175" t="s">
        <v>1067</v>
      </c>
      <c r="I430" s="175" t="s">
        <v>1065</v>
      </c>
    </row>
    <row r="431" ht="15.75" customHeight="1">
      <c r="A431" s="172" t="s">
        <v>1482</v>
      </c>
      <c r="B431" s="173" t="s">
        <v>1050</v>
      </c>
      <c r="C431" s="173" t="s">
        <v>1060</v>
      </c>
      <c r="D431" s="173" t="s">
        <v>1045</v>
      </c>
      <c r="E431" s="173" t="s">
        <v>1049</v>
      </c>
      <c r="F431" s="173" t="s">
        <v>1061</v>
      </c>
      <c r="G431" s="173" t="s">
        <v>1048</v>
      </c>
      <c r="H431" s="173" t="s">
        <v>1067</v>
      </c>
      <c r="I431" s="173" t="s">
        <v>1065</v>
      </c>
    </row>
    <row r="432" ht="15.75" customHeight="1">
      <c r="A432" s="174" t="s">
        <v>1483</v>
      </c>
      <c r="B432" s="175" t="s">
        <v>1050</v>
      </c>
      <c r="C432" s="175" t="s">
        <v>1060</v>
      </c>
      <c r="D432" s="175" t="s">
        <v>1045</v>
      </c>
      <c r="E432" s="175" t="s">
        <v>1049</v>
      </c>
      <c r="F432" s="175" t="s">
        <v>1043</v>
      </c>
      <c r="G432" s="175" t="s">
        <v>1044</v>
      </c>
      <c r="H432" s="175" t="s">
        <v>1061</v>
      </c>
      <c r="I432" s="175" t="s">
        <v>1065</v>
      </c>
    </row>
    <row r="433" ht="15.75" customHeight="1">
      <c r="A433" s="172" t="s">
        <v>1484</v>
      </c>
      <c r="B433" s="173" t="s">
        <v>1050</v>
      </c>
      <c r="C433" s="173" t="s">
        <v>1060</v>
      </c>
      <c r="D433" s="173" t="s">
        <v>1045</v>
      </c>
      <c r="E433" s="173" t="s">
        <v>1049</v>
      </c>
      <c r="F433" s="173" t="s">
        <v>1061</v>
      </c>
      <c r="G433" s="173" t="s">
        <v>1044</v>
      </c>
      <c r="H433" s="173" t="s">
        <v>1067</v>
      </c>
      <c r="I433" s="173" t="s">
        <v>1065</v>
      </c>
    </row>
    <row r="434" ht="15.75" customHeight="1">
      <c r="A434" s="174" t="s">
        <v>1485</v>
      </c>
      <c r="B434" s="175" t="s">
        <v>1050</v>
      </c>
      <c r="C434" s="175" t="s">
        <v>1044</v>
      </c>
      <c r="D434" s="175" t="s">
        <v>1045</v>
      </c>
      <c r="E434" s="175" t="s">
        <v>1049</v>
      </c>
      <c r="F434" s="175" t="s">
        <v>1061</v>
      </c>
      <c r="G434" s="175" t="s">
        <v>1043</v>
      </c>
      <c r="H434" s="175" t="s">
        <v>1067</v>
      </c>
      <c r="I434" s="175" t="s">
        <v>1065</v>
      </c>
    </row>
    <row r="435" ht="15.75" customHeight="1">
      <c r="A435" s="172" t="s">
        <v>1486</v>
      </c>
      <c r="B435" s="173" t="s">
        <v>1050</v>
      </c>
      <c r="C435" s="173" t="s">
        <v>1060</v>
      </c>
      <c r="D435" s="173" t="s">
        <v>1045</v>
      </c>
      <c r="E435" s="173" t="s">
        <v>1049</v>
      </c>
      <c r="F435" s="173" t="s">
        <v>1043</v>
      </c>
      <c r="G435" s="173" t="s">
        <v>1044</v>
      </c>
      <c r="H435" s="173" t="s">
        <v>1067</v>
      </c>
      <c r="I435" s="173" t="s">
        <v>1065</v>
      </c>
    </row>
    <row r="436" ht="15.75" customHeight="1">
      <c r="A436" s="174" t="s">
        <v>1487</v>
      </c>
      <c r="B436" s="175" t="s">
        <v>1043</v>
      </c>
      <c r="C436" s="175" t="s">
        <v>1044</v>
      </c>
      <c r="D436" s="175" t="s">
        <v>1045</v>
      </c>
      <c r="E436" s="175" t="s">
        <v>1046</v>
      </c>
      <c r="F436" s="175" t="s">
        <v>1047</v>
      </c>
      <c r="G436" s="175" t="s">
        <v>1048</v>
      </c>
      <c r="H436" s="175" t="s">
        <v>1049</v>
      </c>
      <c r="I436" s="175" t="s">
        <v>1050</v>
      </c>
    </row>
    <row r="437" ht="15.75" customHeight="1">
      <c r="A437" s="172" t="s">
        <v>1488</v>
      </c>
      <c r="B437" s="173" t="s">
        <v>1050</v>
      </c>
      <c r="C437" s="173" t="s">
        <v>1060</v>
      </c>
      <c r="D437" s="173" t="s">
        <v>1045</v>
      </c>
      <c r="E437" s="173" t="s">
        <v>1049</v>
      </c>
      <c r="F437" s="173" t="s">
        <v>1061</v>
      </c>
      <c r="G437" s="173" t="s">
        <v>1043</v>
      </c>
      <c r="H437" s="173" t="s">
        <v>1067</v>
      </c>
      <c r="I437" s="173" t="s">
        <v>1065</v>
      </c>
    </row>
    <row r="438" ht="15.75" customHeight="1">
      <c r="A438" s="174" t="s">
        <v>1489</v>
      </c>
      <c r="B438" s="175" t="s">
        <v>1043</v>
      </c>
      <c r="C438" s="175" t="s">
        <v>1044</v>
      </c>
      <c r="D438" s="175" t="s">
        <v>1045</v>
      </c>
      <c r="E438" s="175" t="s">
        <v>1049</v>
      </c>
      <c r="F438" s="175" t="s">
        <v>1060</v>
      </c>
      <c r="G438" s="175" t="s">
        <v>1048</v>
      </c>
      <c r="H438" s="175" t="s">
        <v>1061</v>
      </c>
      <c r="I438" s="175" t="s">
        <v>1065</v>
      </c>
    </row>
    <row r="439" ht="15.75" customHeight="1">
      <c r="A439" s="172" t="s">
        <v>1490</v>
      </c>
      <c r="B439" s="173" t="s">
        <v>1043</v>
      </c>
      <c r="C439" s="173" t="s">
        <v>1044</v>
      </c>
      <c r="D439" s="173" t="s">
        <v>1045</v>
      </c>
      <c r="E439" s="173" t="s">
        <v>1049</v>
      </c>
      <c r="F439" s="173" t="s">
        <v>1060</v>
      </c>
      <c r="G439" s="173" t="s">
        <v>1048</v>
      </c>
      <c r="H439" s="173" t="s">
        <v>1067</v>
      </c>
      <c r="I439" s="173" t="s">
        <v>1061</v>
      </c>
    </row>
    <row r="440" ht="15.75" customHeight="1">
      <c r="A440" s="174" t="s">
        <v>1491</v>
      </c>
      <c r="B440" s="175" t="s">
        <v>1043</v>
      </c>
      <c r="C440" s="175" t="s">
        <v>1044</v>
      </c>
      <c r="D440" s="175" t="s">
        <v>1045</v>
      </c>
      <c r="E440" s="175" t="s">
        <v>1049</v>
      </c>
      <c r="F440" s="175" t="s">
        <v>1061</v>
      </c>
      <c r="G440" s="175" t="s">
        <v>1048</v>
      </c>
      <c r="H440" s="175" t="s">
        <v>1067</v>
      </c>
      <c r="I440" s="175" t="s">
        <v>1065</v>
      </c>
    </row>
    <row r="441" ht="15.75" customHeight="1">
      <c r="A441" s="172" t="s">
        <v>1492</v>
      </c>
      <c r="B441" s="173" t="s">
        <v>1043</v>
      </c>
      <c r="C441" s="173" t="s">
        <v>1044</v>
      </c>
      <c r="D441" s="173" t="s">
        <v>1045</v>
      </c>
      <c r="E441" s="173" t="s">
        <v>1049</v>
      </c>
      <c r="F441" s="173" t="s">
        <v>1060</v>
      </c>
      <c r="G441" s="173" t="s">
        <v>1048</v>
      </c>
      <c r="H441" s="173" t="s">
        <v>1067</v>
      </c>
      <c r="I441" s="173" t="s">
        <v>1065</v>
      </c>
    </row>
    <row r="442" ht="15.75" customHeight="1">
      <c r="A442" s="174" t="s">
        <v>1493</v>
      </c>
      <c r="B442" s="175" t="s">
        <v>1061</v>
      </c>
      <c r="C442" s="175" t="s">
        <v>1044</v>
      </c>
      <c r="D442" s="175" t="s">
        <v>1045</v>
      </c>
      <c r="E442" s="175" t="s">
        <v>1049</v>
      </c>
      <c r="F442" s="175" t="s">
        <v>1060</v>
      </c>
      <c r="G442" s="175" t="s">
        <v>1048</v>
      </c>
      <c r="H442" s="175" t="s">
        <v>1067</v>
      </c>
      <c r="I442" s="175" t="s">
        <v>1065</v>
      </c>
    </row>
    <row r="443" ht="15.75" customHeight="1">
      <c r="A443" s="172" t="s">
        <v>1494</v>
      </c>
      <c r="B443" s="173" t="s">
        <v>1043</v>
      </c>
      <c r="C443" s="173" t="s">
        <v>1060</v>
      </c>
      <c r="D443" s="173" t="s">
        <v>1045</v>
      </c>
      <c r="E443" s="173" t="s">
        <v>1049</v>
      </c>
      <c r="F443" s="173" t="s">
        <v>1061</v>
      </c>
      <c r="G443" s="173" t="s">
        <v>1048</v>
      </c>
      <c r="H443" s="173" t="s">
        <v>1067</v>
      </c>
      <c r="I443" s="173" t="s">
        <v>1065</v>
      </c>
    </row>
    <row r="444" ht="15.75" customHeight="1">
      <c r="A444" s="174" t="s">
        <v>1495</v>
      </c>
      <c r="B444" s="175" t="s">
        <v>1043</v>
      </c>
      <c r="C444" s="175" t="s">
        <v>1060</v>
      </c>
      <c r="D444" s="175" t="s">
        <v>1045</v>
      </c>
      <c r="E444" s="175" t="s">
        <v>1049</v>
      </c>
      <c r="F444" s="175" t="s">
        <v>1061</v>
      </c>
      <c r="G444" s="175" t="s">
        <v>1044</v>
      </c>
      <c r="H444" s="175" t="s">
        <v>1067</v>
      </c>
      <c r="I444" s="175" t="s">
        <v>1065</v>
      </c>
    </row>
    <row r="445" ht="15.75" customHeight="1">
      <c r="A445" s="172" t="s">
        <v>1496</v>
      </c>
      <c r="B445" s="173" t="s">
        <v>1050</v>
      </c>
      <c r="C445" s="173" t="s">
        <v>1060</v>
      </c>
      <c r="D445" s="173" t="s">
        <v>1045</v>
      </c>
      <c r="E445" s="173" t="s">
        <v>1048</v>
      </c>
      <c r="F445" s="173" t="s">
        <v>1043</v>
      </c>
      <c r="G445" s="173" t="s">
        <v>1044</v>
      </c>
      <c r="H445" s="173" t="s">
        <v>1061</v>
      </c>
      <c r="I445" s="173" t="s">
        <v>1065</v>
      </c>
    </row>
    <row r="446" ht="15.75" customHeight="1">
      <c r="A446" s="174" t="s">
        <v>1497</v>
      </c>
      <c r="B446" s="175" t="s">
        <v>1050</v>
      </c>
      <c r="C446" s="175" t="s">
        <v>1060</v>
      </c>
      <c r="D446" s="175" t="s">
        <v>1045</v>
      </c>
      <c r="E446" s="175" t="s">
        <v>1048</v>
      </c>
      <c r="F446" s="175" t="s">
        <v>1043</v>
      </c>
      <c r="G446" s="175" t="s">
        <v>1044</v>
      </c>
      <c r="H446" s="175" t="s">
        <v>1067</v>
      </c>
      <c r="I446" s="175" t="s">
        <v>1061</v>
      </c>
    </row>
    <row r="447" ht="15.75" customHeight="1">
      <c r="A447" s="172" t="s">
        <v>1498</v>
      </c>
      <c r="B447" s="173" t="s">
        <v>1050</v>
      </c>
      <c r="C447" s="173" t="s">
        <v>1044</v>
      </c>
      <c r="D447" s="173" t="s">
        <v>1045</v>
      </c>
      <c r="E447" s="173" t="s">
        <v>1048</v>
      </c>
      <c r="F447" s="173" t="s">
        <v>1061</v>
      </c>
      <c r="G447" s="173" t="s">
        <v>1043</v>
      </c>
      <c r="H447" s="173" t="s">
        <v>1067</v>
      </c>
      <c r="I447" s="173" t="s">
        <v>1065</v>
      </c>
    </row>
    <row r="448" ht="15.75" customHeight="1">
      <c r="A448" s="174" t="s">
        <v>1499</v>
      </c>
      <c r="B448" s="175" t="s">
        <v>1050</v>
      </c>
      <c r="C448" s="175" t="s">
        <v>1060</v>
      </c>
      <c r="D448" s="175" t="s">
        <v>1045</v>
      </c>
      <c r="E448" s="175" t="s">
        <v>1048</v>
      </c>
      <c r="F448" s="175" t="s">
        <v>1043</v>
      </c>
      <c r="G448" s="175" t="s">
        <v>1044</v>
      </c>
      <c r="H448" s="175" t="s">
        <v>1067</v>
      </c>
      <c r="I448" s="175" t="s">
        <v>1065</v>
      </c>
    </row>
    <row r="449" ht="15.75" customHeight="1">
      <c r="A449" s="172" t="s">
        <v>1500</v>
      </c>
      <c r="B449" s="173" t="s">
        <v>1050</v>
      </c>
      <c r="C449" s="173" t="s">
        <v>1060</v>
      </c>
      <c r="D449" s="173" t="s">
        <v>1045</v>
      </c>
      <c r="E449" s="173" t="s">
        <v>1048</v>
      </c>
      <c r="F449" s="173" t="s">
        <v>1061</v>
      </c>
      <c r="G449" s="173" t="s">
        <v>1044</v>
      </c>
      <c r="H449" s="173" t="s">
        <v>1067</v>
      </c>
      <c r="I449" s="173" t="s">
        <v>1065</v>
      </c>
    </row>
    <row r="450" ht="15.75" customHeight="1">
      <c r="A450" s="174" t="s">
        <v>1501</v>
      </c>
      <c r="B450" s="175" t="s">
        <v>1050</v>
      </c>
      <c r="C450" s="175" t="s">
        <v>1060</v>
      </c>
      <c r="D450" s="175" t="s">
        <v>1045</v>
      </c>
      <c r="E450" s="175" t="s">
        <v>1048</v>
      </c>
      <c r="F450" s="175" t="s">
        <v>1061</v>
      </c>
      <c r="G450" s="175" t="s">
        <v>1043</v>
      </c>
      <c r="H450" s="175" t="s">
        <v>1067</v>
      </c>
      <c r="I450" s="175" t="s">
        <v>1065</v>
      </c>
    </row>
    <row r="451" ht="15.75" customHeight="1">
      <c r="A451" s="172" t="s">
        <v>1502</v>
      </c>
      <c r="B451" s="173" t="s">
        <v>1050</v>
      </c>
      <c r="C451" s="173" t="s">
        <v>1060</v>
      </c>
      <c r="D451" s="173" t="s">
        <v>1061</v>
      </c>
      <c r="E451" s="173" t="s">
        <v>1045</v>
      </c>
      <c r="F451" s="173" t="s">
        <v>1043</v>
      </c>
      <c r="G451" s="173" t="s">
        <v>1044</v>
      </c>
      <c r="H451" s="173" t="s">
        <v>1067</v>
      </c>
      <c r="I451" s="173" t="s">
        <v>1065</v>
      </c>
    </row>
    <row r="452" ht="15.75" customHeight="1">
      <c r="A452" s="174" t="s">
        <v>1503</v>
      </c>
      <c r="B452" s="175" t="s">
        <v>1043</v>
      </c>
      <c r="C452" s="175" t="s">
        <v>1060</v>
      </c>
      <c r="D452" s="175" t="s">
        <v>1045</v>
      </c>
      <c r="E452" s="175" t="s">
        <v>1048</v>
      </c>
      <c r="F452" s="175" t="s">
        <v>1061</v>
      </c>
      <c r="G452" s="175" t="s">
        <v>1044</v>
      </c>
      <c r="H452" s="175" t="s">
        <v>1067</v>
      </c>
      <c r="I452" s="175" t="s">
        <v>1065</v>
      </c>
    </row>
    <row r="453" ht="15.75" customHeight="1">
      <c r="A453" s="172" t="s">
        <v>1504</v>
      </c>
      <c r="B453" s="173" t="s">
        <v>1046</v>
      </c>
      <c r="C453" s="173" t="s">
        <v>1044</v>
      </c>
      <c r="D453" s="173" t="s">
        <v>1060</v>
      </c>
      <c r="E453" s="173" t="s">
        <v>1049</v>
      </c>
      <c r="F453" s="173" t="s">
        <v>1043</v>
      </c>
      <c r="G453" s="173" t="s">
        <v>1048</v>
      </c>
      <c r="H453" s="173" t="s">
        <v>1050</v>
      </c>
      <c r="I453" s="173" t="s">
        <v>1061</v>
      </c>
    </row>
    <row r="454" ht="15.75" customHeight="1">
      <c r="A454" s="174" t="s">
        <v>1505</v>
      </c>
      <c r="B454" s="175" t="s">
        <v>1046</v>
      </c>
      <c r="C454" s="175" t="s">
        <v>1044</v>
      </c>
      <c r="D454" s="175" t="s">
        <v>1050</v>
      </c>
      <c r="E454" s="175" t="s">
        <v>1049</v>
      </c>
      <c r="F454" s="175" t="s">
        <v>1043</v>
      </c>
      <c r="G454" s="175" t="s">
        <v>1048</v>
      </c>
      <c r="H454" s="175" t="s">
        <v>1061</v>
      </c>
      <c r="I454" s="175" t="s">
        <v>1065</v>
      </c>
    </row>
    <row r="455" ht="15.75" customHeight="1">
      <c r="A455" s="172" t="s">
        <v>1506</v>
      </c>
      <c r="B455" s="173" t="s">
        <v>1046</v>
      </c>
      <c r="C455" s="173" t="s">
        <v>1044</v>
      </c>
      <c r="D455" s="173" t="s">
        <v>1050</v>
      </c>
      <c r="E455" s="173" t="s">
        <v>1049</v>
      </c>
      <c r="F455" s="173" t="s">
        <v>1043</v>
      </c>
      <c r="G455" s="173" t="s">
        <v>1048</v>
      </c>
      <c r="H455" s="173" t="s">
        <v>1067</v>
      </c>
      <c r="I455" s="173" t="s">
        <v>1061</v>
      </c>
    </row>
    <row r="456" ht="15.75" customHeight="1">
      <c r="A456" s="174" t="s">
        <v>1507</v>
      </c>
      <c r="B456" s="175" t="s">
        <v>1046</v>
      </c>
      <c r="C456" s="175" t="s">
        <v>1044</v>
      </c>
      <c r="D456" s="175" t="s">
        <v>1060</v>
      </c>
      <c r="E456" s="175" t="s">
        <v>1049</v>
      </c>
      <c r="F456" s="175" t="s">
        <v>1043</v>
      </c>
      <c r="G456" s="175" t="s">
        <v>1048</v>
      </c>
      <c r="H456" s="175" t="s">
        <v>1050</v>
      </c>
      <c r="I456" s="175" t="s">
        <v>1065</v>
      </c>
    </row>
    <row r="457" ht="15.75" customHeight="1">
      <c r="A457" s="172" t="s">
        <v>1508</v>
      </c>
      <c r="B457" s="173" t="s">
        <v>1046</v>
      </c>
      <c r="C457" s="173" t="s">
        <v>1044</v>
      </c>
      <c r="D457" s="173" t="s">
        <v>1060</v>
      </c>
      <c r="E457" s="173" t="s">
        <v>1049</v>
      </c>
      <c r="F457" s="173" t="s">
        <v>1043</v>
      </c>
      <c r="G457" s="173" t="s">
        <v>1048</v>
      </c>
      <c r="H457" s="173" t="s">
        <v>1067</v>
      </c>
      <c r="I457" s="173" t="s">
        <v>1050</v>
      </c>
    </row>
    <row r="458" ht="15.75" customHeight="1">
      <c r="A458" s="174" t="s">
        <v>1509</v>
      </c>
      <c r="B458" s="175" t="s">
        <v>1046</v>
      </c>
      <c r="C458" s="175" t="s">
        <v>1044</v>
      </c>
      <c r="D458" s="175" t="s">
        <v>1050</v>
      </c>
      <c r="E458" s="175" t="s">
        <v>1049</v>
      </c>
      <c r="F458" s="175" t="s">
        <v>1043</v>
      </c>
      <c r="G458" s="175" t="s">
        <v>1048</v>
      </c>
      <c r="H458" s="175" t="s">
        <v>1067</v>
      </c>
      <c r="I458" s="175" t="s">
        <v>1065</v>
      </c>
    </row>
    <row r="459" ht="15.75" customHeight="1">
      <c r="A459" s="172" t="s">
        <v>1510</v>
      </c>
      <c r="B459" s="173" t="s">
        <v>1046</v>
      </c>
      <c r="C459" s="173" t="s">
        <v>1044</v>
      </c>
      <c r="D459" s="173" t="s">
        <v>1050</v>
      </c>
      <c r="E459" s="173" t="s">
        <v>1049</v>
      </c>
      <c r="F459" s="173" t="s">
        <v>1060</v>
      </c>
      <c r="G459" s="173" t="s">
        <v>1048</v>
      </c>
      <c r="H459" s="173" t="s">
        <v>1061</v>
      </c>
      <c r="I459" s="173" t="s">
        <v>1065</v>
      </c>
    </row>
    <row r="460" ht="15.75" customHeight="1">
      <c r="A460" s="174" t="s">
        <v>1511</v>
      </c>
      <c r="B460" s="175" t="s">
        <v>1046</v>
      </c>
      <c r="C460" s="175" t="s">
        <v>1044</v>
      </c>
      <c r="D460" s="175" t="s">
        <v>1050</v>
      </c>
      <c r="E460" s="175" t="s">
        <v>1049</v>
      </c>
      <c r="F460" s="175" t="s">
        <v>1060</v>
      </c>
      <c r="G460" s="175" t="s">
        <v>1048</v>
      </c>
      <c r="H460" s="175" t="s">
        <v>1067</v>
      </c>
      <c r="I460" s="175" t="s">
        <v>1061</v>
      </c>
    </row>
    <row r="461" ht="15.75" customHeight="1">
      <c r="A461" s="172" t="s">
        <v>1512</v>
      </c>
      <c r="B461" s="173" t="s">
        <v>1046</v>
      </c>
      <c r="C461" s="173" t="s">
        <v>1044</v>
      </c>
      <c r="D461" s="173" t="s">
        <v>1050</v>
      </c>
      <c r="E461" s="173" t="s">
        <v>1049</v>
      </c>
      <c r="F461" s="173" t="s">
        <v>1061</v>
      </c>
      <c r="G461" s="173" t="s">
        <v>1048</v>
      </c>
      <c r="H461" s="173" t="s">
        <v>1067</v>
      </c>
      <c r="I461" s="173" t="s">
        <v>1065</v>
      </c>
    </row>
    <row r="462" ht="15.75" customHeight="1">
      <c r="A462" s="174" t="s">
        <v>1513</v>
      </c>
      <c r="B462" s="175" t="s">
        <v>1046</v>
      </c>
      <c r="C462" s="175" t="s">
        <v>1044</v>
      </c>
      <c r="D462" s="175" t="s">
        <v>1050</v>
      </c>
      <c r="E462" s="175" t="s">
        <v>1049</v>
      </c>
      <c r="F462" s="175" t="s">
        <v>1060</v>
      </c>
      <c r="G462" s="175" t="s">
        <v>1048</v>
      </c>
      <c r="H462" s="175" t="s">
        <v>1067</v>
      </c>
      <c r="I462" s="175" t="s">
        <v>1065</v>
      </c>
    </row>
    <row r="463" ht="15.75" customHeight="1">
      <c r="A463" s="172" t="s">
        <v>1514</v>
      </c>
      <c r="B463" s="173" t="s">
        <v>1046</v>
      </c>
      <c r="C463" s="173" t="s">
        <v>1060</v>
      </c>
      <c r="D463" s="173" t="s">
        <v>1050</v>
      </c>
      <c r="E463" s="173" t="s">
        <v>1049</v>
      </c>
      <c r="F463" s="173" t="s">
        <v>1043</v>
      </c>
      <c r="G463" s="173" t="s">
        <v>1048</v>
      </c>
      <c r="H463" s="173" t="s">
        <v>1061</v>
      </c>
      <c r="I463" s="173" t="s">
        <v>1065</v>
      </c>
    </row>
    <row r="464" ht="15.75" customHeight="1">
      <c r="A464" s="174" t="s">
        <v>1515</v>
      </c>
      <c r="B464" s="175" t="s">
        <v>1046</v>
      </c>
      <c r="C464" s="175" t="s">
        <v>1060</v>
      </c>
      <c r="D464" s="175" t="s">
        <v>1050</v>
      </c>
      <c r="E464" s="175" t="s">
        <v>1049</v>
      </c>
      <c r="F464" s="175" t="s">
        <v>1043</v>
      </c>
      <c r="G464" s="175" t="s">
        <v>1048</v>
      </c>
      <c r="H464" s="175" t="s">
        <v>1067</v>
      </c>
      <c r="I464" s="175" t="s">
        <v>1061</v>
      </c>
    </row>
    <row r="465" ht="15.75" customHeight="1">
      <c r="A465" s="172" t="s">
        <v>1516</v>
      </c>
      <c r="B465" s="173" t="s">
        <v>1046</v>
      </c>
      <c r="C465" s="173" t="s">
        <v>1050</v>
      </c>
      <c r="D465" s="173" t="s">
        <v>1061</v>
      </c>
      <c r="E465" s="173" t="s">
        <v>1049</v>
      </c>
      <c r="F465" s="173" t="s">
        <v>1043</v>
      </c>
      <c r="G465" s="173" t="s">
        <v>1048</v>
      </c>
      <c r="H465" s="173" t="s">
        <v>1067</v>
      </c>
      <c r="I465" s="173" t="s">
        <v>1065</v>
      </c>
    </row>
    <row r="466" ht="15.75" customHeight="1">
      <c r="A466" s="174" t="s">
        <v>1517</v>
      </c>
      <c r="B466" s="175" t="s">
        <v>1046</v>
      </c>
      <c r="C466" s="175" t="s">
        <v>1060</v>
      </c>
      <c r="D466" s="175" t="s">
        <v>1050</v>
      </c>
      <c r="E466" s="175" t="s">
        <v>1049</v>
      </c>
      <c r="F466" s="175" t="s">
        <v>1043</v>
      </c>
      <c r="G466" s="175" t="s">
        <v>1048</v>
      </c>
      <c r="H466" s="175" t="s">
        <v>1067</v>
      </c>
      <c r="I466" s="175" t="s">
        <v>1065</v>
      </c>
    </row>
    <row r="467" ht="15.75" customHeight="1">
      <c r="A467" s="172" t="s">
        <v>1518</v>
      </c>
      <c r="B467" s="173" t="s">
        <v>1046</v>
      </c>
      <c r="C467" s="173" t="s">
        <v>1060</v>
      </c>
      <c r="D467" s="173" t="s">
        <v>1050</v>
      </c>
      <c r="E467" s="173" t="s">
        <v>1049</v>
      </c>
      <c r="F467" s="173" t="s">
        <v>1061</v>
      </c>
      <c r="G467" s="173" t="s">
        <v>1048</v>
      </c>
      <c r="H467" s="173" t="s">
        <v>1067</v>
      </c>
      <c r="I467" s="173" t="s">
        <v>1065</v>
      </c>
    </row>
    <row r="468" ht="15.75" customHeight="1">
      <c r="A468" s="174" t="s">
        <v>1519</v>
      </c>
      <c r="B468" s="175" t="s">
        <v>1050</v>
      </c>
      <c r="C468" s="175" t="s">
        <v>1044</v>
      </c>
      <c r="D468" s="175" t="s">
        <v>1060</v>
      </c>
      <c r="E468" s="175" t="s">
        <v>1046</v>
      </c>
      <c r="F468" s="175" t="s">
        <v>1043</v>
      </c>
      <c r="G468" s="175" t="s">
        <v>1049</v>
      </c>
      <c r="H468" s="175" t="s">
        <v>1061</v>
      </c>
      <c r="I468" s="175" t="s">
        <v>1065</v>
      </c>
    </row>
    <row r="469" ht="15.75" customHeight="1">
      <c r="A469" s="172" t="s">
        <v>1520</v>
      </c>
      <c r="B469" s="173" t="s">
        <v>1050</v>
      </c>
      <c r="C469" s="173" t="s">
        <v>1044</v>
      </c>
      <c r="D469" s="173" t="s">
        <v>1061</v>
      </c>
      <c r="E469" s="173" t="s">
        <v>1046</v>
      </c>
      <c r="F469" s="173" t="s">
        <v>1060</v>
      </c>
      <c r="G469" s="173" t="s">
        <v>1049</v>
      </c>
      <c r="H469" s="173" t="s">
        <v>1067</v>
      </c>
      <c r="I469" s="173" t="s">
        <v>1065</v>
      </c>
    </row>
    <row r="470" ht="15.75" customHeight="1">
      <c r="A470" s="174" t="s">
        <v>1521</v>
      </c>
      <c r="B470" s="175" t="s">
        <v>1050</v>
      </c>
      <c r="C470" s="175" t="s">
        <v>1044</v>
      </c>
      <c r="D470" s="175" t="s">
        <v>1061</v>
      </c>
      <c r="E470" s="175" t="s">
        <v>1046</v>
      </c>
      <c r="F470" s="175" t="s">
        <v>1043</v>
      </c>
      <c r="G470" s="175" t="s">
        <v>1049</v>
      </c>
      <c r="H470" s="175" t="s">
        <v>1067</v>
      </c>
      <c r="I470" s="175" t="s">
        <v>1065</v>
      </c>
    </row>
    <row r="471" ht="15.75" customHeight="1">
      <c r="A471" s="172" t="s">
        <v>1522</v>
      </c>
      <c r="B471" s="173" t="s">
        <v>1050</v>
      </c>
      <c r="C471" s="173" t="s">
        <v>1044</v>
      </c>
      <c r="D471" s="173" t="s">
        <v>1060</v>
      </c>
      <c r="E471" s="173" t="s">
        <v>1046</v>
      </c>
      <c r="F471" s="173" t="s">
        <v>1043</v>
      </c>
      <c r="G471" s="173" t="s">
        <v>1049</v>
      </c>
      <c r="H471" s="173" t="s">
        <v>1067</v>
      </c>
      <c r="I471" s="173" t="s">
        <v>1065</v>
      </c>
    </row>
    <row r="472" ht="15.75" customHeight="1">
      <c r="A472" s="174" t="s">
        <v>1523</v>
      </c>
      <c r="B472" s="175" t="s">
        <v>1043</v>
      </c>
      <c r="C472" s="175" t="s">
        <v>1044</v>
      </c>
      <c r="D472" s="175" t="s">
        <v>1045</v>
      </c>
      <c r="E472" s="175" t="s">
        <v>1046</v>
      </c>
      <c r="F472" s="175" t="s">
        <v>1047</v>
      </c>
      <c r="G472" s="175" t="s">
        <v>1048</v>
      </c>
      <c r="H472" s="175" t="s">
        <v>1049</v>
      </c>
      <c r="I472" s="175" t="s">
        <v>1050</v>
      </c>
    </row>
    <row r="473" ht="15.75" customHeight="1">
      <c r="A473" s="172" t="s">
        <v>1524</v>
      </c>
      <c r="B473" s="173" t="s">
        <v>1050</v>
      </c>
      <c r="C473" s="173" t="s">
        <v>1060</v>
      </c>
      <c r="D473" s="173" t="s">
        <v>1061</v>
      </c>
      <c r="E473" s="173" t="s">
        <v>1046</v>
      </c>
      <c r="F473" s="173" t="s">
        <v>1043</v>
      </c>
      <c r="G473" s="173" t="s">
        <v>1049</v>
      </c>
      <c r="H473" s="173" t="s">
        <v>1067</v>
      </c>
      <c r="I473" s="173" t="s">
        <v>1065</v>
      </c>
    </row>
    <row r="474" ht="15.75" customHeight="1">
      <c r="A474" s="174" t="s">
        <v>1525</v>
      </c>
      <c r="B474" s="175" t="s">
        <v>1046</v>
      </c>
      <c r="C474" s="175" t="s">
        <v>1044</v>
      </c>
      <c r="D474" s="175" t="s">
        <v>1060</v>
      </c>
      <c r="E474" s="175" t="s">
        <v>1049</v>
      </c>
      <c r="F474" s="175" t="s">
        <v>1043</v>
      </c>
      <c r="G474" s="175" t="s">
        <v>1048</v>
      </c>
      <c r="H474" s="175" t="s">
        <v>1061</v>
      </c>
      <c r="I474" s="175" t="s">
        <v>1065</v>
      </c>
    </row>
    <row r="475" ht="15.75" customHeight="1">
      <c r="A475" s="172" t="s">
        <v>1526</v>
      </c>
      <c r="B475" s="173" t="s">
        <v>1046</v>
      </c>
      <c r="C475" s="173" t="s">
        <v>1044</v>
      </c>
      <c r="D475" s="173" t="s">
        <v>1060</v>
      </c>
      <c r="E475" s="173" t="s">
        <v>1049</v>
      </c>
      <c r="F475" s="173" t="s">
        <v>1043</v>
      </c>
      <c r="G475" s="173" t="s">
        <v>1048</v>
      </c>
      <c r="H475" s="173" t="s">
        <v>1067</v>
      </c>
      <c r="I475" s="173" t="s">
        <v>1061</v>
      </c>
    </row>
    <row r="476" ht="15.75" customHeight="1">
      <c r="A476" s="174" t="s">
        <v>1527</v>
      </c>
      <c r="B476" s="175" t="s">
        <v>1046</v>
      </c>
      <c r="C476" s="175" t="s">
        <v>1044</v>
      </c>
      <c r="D476" s="175" t="s">
        <v>1061</v>
      </c>
      <c r="E476" s="175" t="s">
        <v>1049</v>
      </c>
      <c r="F476" s="175" t="s">
        <v>1043</v>
      </c>
      <c r="G476" s="175" t="s">
        <v>1048</v>
      </c>
      <c r="H476" s="175" t="s">
        <v>1067</v>
      </c>
      <c r="I476" s="175" t="s">
        <v>1065</v>
      </c>
    </row>
    <row r="477" ht="15.75" customHeight="1">
      <c r="A477" s="172" t="s">
        <v>1528</v>
      </c>
      <c r="B477" s="173" t="s">
        <v>1046</v>
      </c>
      <c r="C477" s="173" t="s">
        <v>1044</v>
      </c>
      <c r="D477" s="173" t="s">
        <v>1060</v>
      </c>
      <c r="E477" s="173" t="s">
        <v>1049</v>
      </c>
      <c r="F477" s="173" t="s">
        <v>1043</v>
      </c>
      <c r="G477" s="173" t="s">
        <v>1048</v>
      </c>
      <c r="H477" s="173" t="s">
        <v>1067</v>
      </c>
      <c r="I477" s="173" t="s">
        <v>1065</v>
      </c>
    </row>
    <row r="478" ht="15.75" customHeight="1">
      <c r="A478" s="174" t="s">
        <v>1529</v>
      </c>
      <c r="B478" s="175" t="s">
        <v>1046</v>
      </c>
      <c r="C478" s="175" t="s">
        <v>1044</v>
      </c>
      <c r="D478" s="175" t="s">
        <v>1061</v>
      </c>
      <c r="E478" s="175" t="s">
        <v>1049</v>
      </c>
      <c r="F478" s="175" t="s">
        <v>1060</v>
      </c>
      <c r="G478" s="175" t="s">
        <v>1048</v>
      </c>
      <c r="H478" s="175" t="s">
        <v>1067</v>
      </c>
      <c r="I478" s="175" t="s">
        <v>1065</v>
      </c>
    </row>
    <row r="479" ht="15.75" customHeight="1">
      <c r="A479" s="172" t="s">
        <v>1530</v>
      </c>
      <c r="B479" s="173" t="s">
        <v>1046</v>
      </c>
      <c r="C479" s="173" t="s">
        <v>1060</v>
      </c>
      <c r="D479" s="173" t="s">
        <v>1061</v>
      </c>
      <c r="E479" s="173" t="s">
        <v>1049</v>
      </c>
      <c r="F479" s="173" t="s">
        <v>1043</v>
      </c>
      <c r="G479" s="173" t="s">
        <v>1048</v>
      </c>
      <c r="H479" s="173" t="s">
        <v>1067</v>
      </c>
      <c r="I479" s="173" t="s">
        <v>1065</v>
      </c>
    </row>
    <row r="480" ht="15.75" customHeight="1">
      <c r="A480" s="174" t="s">
        <v>1531</v>
      </c>
      <c r="B480" s="175" t="s">
        <v>1043</v>
      </c>
      <c r="C480" s="175" t="s">
        <v>1044</v>
      </c>
      <c r="D480" s="175" t="s">
        <v>1061</v>
      </c>
      <c r="E480" s="175" t="s">
        <v>1046</v>
      </c>
      <c r="F480" s="175" t="s">
        <v>1060</v>
      </c>
      <c r="G480" s="175" t="s">
        <v>1049</v>
      </c>
      <c r="H480" s="175" t="s">
        <v>1067</v>
      </c>
      <c r="I480" s="175" t="s">
        <v>1065</v>
      </c>
    </row>
    <row r="481" ht="15.75" customHeight="1">
      <c r="A481" s="172" t="s">
        <v>1532</v>
      </c>
      <c r="B481" s="173" t="s">
        <v>1050</v>
      </c>
      <c r="C481" s="173" t="s">
        <v>1044</v>
      </c>
      <c r="D481" s="173" t="s">
        <v>1060</v>
      </c>
      <c r="E481" s="173" t="s">
        <v>1046</v>
      </c>
      <c r="F481" s="173" t="s">
        <v>1043</v>
      </c>
      <c r="G481" s="173" t="s">
        <v>1048</v>
      </c>
      <c r="H481" s="173" t="s">
        <v>1061</v>
      </c>
      <c r="I481" s="173" t="s">
        <v>1065</v>
      </c>
    </row>
    <row r="482" ht="15.75" customHeight="1">
      <c r="A482" s="174" t="s">
        <v>1533</v>
      </c>
      <c r="B482" s="175" t="s">
        <v>1050</v>
      </c>
      <c r="C482" s="175" t="s">
        <v>1044</v>
      </c>
      <c r="D482" s="175" t="s">
        <v>1060</v>
      </c>
      <c r="E482" s="175" t="s">
        <v>1046</v>
      </c>
      <c r="F482" s="175" t="s">
        <v>1043</v>
      </c>
      <c r="G482" s="175" t="s">
        <v>1048</v>
      </c>
      <c r="H482" s="175" t="s">
        <v>1067</v>
      </c>
      <c r="I482" s="175" t="s">
        <v>1061</v>
      </c>
    </row>
    <row r="483" ht="15.75" customHeight="1">
      <c r="A483" s="172" t="s">
        <v>1534</v>
      </c>
      <c r="B483" s="173" t="s">
        <v>1050</v>
      </c>
      <c r="C483" s="173" t="s">
        <v>1044</v>
      </c>
      <c r="D483" s="173" t="s">
        <v>1061</v>
      </c>
      <c r="E483" s="173" t="s">
        <v>1046</v>
      </c>
      <c r="F483" s="173" t="s">
        <v>1043</v>
      </c>
      <c r="G483" s="173" t="s">
        <v>1048</v>
      </c>
      <c r="H483" s="173" t="s">
        <v>1067</v>
      </c>
      <c r="I483" s="173" t="s">
        <v>1065</v>
      </c>
    </row>
    <row r="484" ht="15.75" customHeight="1">
      <c r="A484" s="174" t="s">
        <v>1535</v>
      </c>
      <c r="B484" s="175" t="s">
        <v>1050</v>
      </c>
      <c r="C484" s="175" t="s">
        <v>1044</v>
      </c>
      <c r="D484" s="175" t="s">
        <v>1060</v>
      </c>
      <c r="E484" s="175" t="s">
        <v>1046</v>
      </c>
      <c r="F484" s="175" t="s">
        <v>1043</v>
      </c>
      <c r="G484" s="175" t="s">
        <v>1048</v>
      </c>
      <c r="H484" s="175" t="s">
        <v>1067</v>
      </c>
      <c r="I484" s="175" t="s">
        <v>1065</v>
      </c>
    </row>
    <row r="485" ht="15.75" customHeight="1">
      <c r="A485" s="172" t="s">
        <v>1536</v>
      </c>
      <c r="B485" s="173" t="s">
        <v>1050</v>
      </c>
      <c r="C485" s="173" t="s">
        <v>1044</v>
      </c>
      <c r="D485" s="173" t="s">
        <v>1061</v>
      </c>
      <c r="E485" s="173" t="s">
        <v>1046</v>
      </c>
      <c r="F485" s="173" t="s">
        <v>1060</v>
      </c>
      <c r="G485" s="173" t="s">
        <v>1048</v>
      </c>
      <c r="H485" s="173" t="s">
        <v>1067</v>
      </c>
      <c r="I485" s="173" t="s">
        <v>1065</v>
      </c>
    </row>
    <row r="486" ht="15.75" customHeight="1">
      <c r="A486" s="174" t="s">
        <v>1537</v>
      </c>
      <c r="B486" s="175" t="s">
        <v>1050</v>
      </c>
      <c r="C486" s="175" t="s">
        <v>1060</v>
      </c>
      <c r="D486" s="175" t="s">
        <v>1061</v>
      </c>
      <c r="E486" s="175" t="s">
        <v>1046</v>
      </c>
      <c r="F486" s="175" t="s">
        <v>1043</v>
      </c>
      <c r="G486" s="175" t="s">
        <v>1048</v>
      </c>
      <c r="H486" s="175" t="s">
        <v>1067</v>
      </c>
      <c r="I486" s="175" t="s">
        <v>1065</v>
      </c>
    </row>
    <row r="487" ht="15.75" customHeight="1">
      <c r="A487" s="172" t="s">
        <v>1538</v>
      </c>
      <c r="B487" s="173" t="s">
        <v>1050</v>
      </c>
      <c r="C487" s="173" t="s">
        <v>1060</v>
      </c>
      <c r="D487" s="173" t="s">
        <v>1061</v>
      </c>
      <c r="E487" s="173" t="s">
        <v>1046</v>
      </c>
      <c r="F487" s="173" t="s">
        <v>1043</v>
      </c>
      <c r="G487" s="173" t="s">
        <v>1044</v>
      </c>
      <c r="H487" s="173" t="s">
        <v>1067</v>
      </c>
      <c r="I487" s="173" t="s">
        <v>1065</v>
      </c>
    </row>
    <row r="488" ht="15.75" customHeight="1">
      <c r="A488" s="174" t="s">
        <v>1539</v>
      </c>
      <c r="B488" s="175" t="s">
        <v>1043</v>
      </c>
      <c r="C488" s="175" t="s">
        <v>1044</v>
      </c>
      <c r="D488" s="175" t="s">
        <v>1061</v>
      </c>
      <c r="E488" s="175" t="s">
        <v>1046</v>
      </c>
      <c r="F488" s="175" t="s">
        <v>1060</v>
      </c>
      <c r="G488" s="175" t="s">
        <v>1048</v>
      </c>
      <c r="H488" s="175" t="s">
        <v>1067</v>
      </c>
      <c r="I488" s="175" t="s">
        <v>1065</v>
      </c>
    </row>
    <row r="489" ht="15.75" customHeight="1">
      <c r="A489" s="172" t="s">
        <v>1540</v>
      </c>
      <c r="B489" s="173" t="s">
        <v>1050</v>
      </c>
      <c r="C489" s="173" t="s">
        <v>1044</v>
      </c>
      <c r="D489" s="173" t="s">
        <v>1060</v>
      </c>
      <c r="E489" s="173" t="s">
        <v>1049</v>
      </c>
      <c r="F489" s="173" t="s">
        <v>1043</v>
      </c>
      <c r="G489" s="173" t="s">
        <v>1048</v>
      </c>
      <c r="H489" s="173" t="s">
        <v>1061</v>
      </c>
      <c r="I489" s="173" t="s">
        <v>1065</v>
      </c>
    </row>
    <row r="490" ht="15.75" customHeight="1">
      <c r="A490" s="174" t="s">
        <v>1541</v>
      </c>
      <c r="B490" s="175" t="s">
        <v>1050</v>
      </c>
      <c r="C490" s="175" t="s">
        <v>1044</v>
      </c>
      <c r="D490" s="175" t="s">
        <v>1060</v>
      </c>
      <c r="E490" s="175" t="s">
        <v>1049</v>
      </c>
      <c r="F490" s="175" t="s">
        <v>1043</v>
      </c>
      <c r="G490" s="175" t="s">
        <v>1048</v>
      </c>
      <c r="H490" s="175" t="s">
        <v>1067</v>
      </c>
      <c r="I490" s="175" t="s">
        <v>1061</v>
      </c>
    </row>
    <row r="491" ht="15.75" customHeight="1">
      <c r="A491" s="172" t="s">
        <v>1542</v>
      </c>
      <c r="B491" s="173" t="s">
        <v>1050</v>
      </c>
      <c r="C491" s="173" t="s">
        <v>1044</v>
      </c>
      <c r="D491" s="173" t="s">
        <v>1061</v>
      </c>
      <c r="E491" s="173" t="s">
        <v>1049</v>
      </c>
      <c r="F491" s="173" t="s">
        <v>1043</v>
      </c>
      <c r="G491" s="173" t="s">
        <v>1048</v>
      </c>
      <c r="H491" s="173" t="s">
        <v>1067</v>
      </c>
      <c r="I491" s="173" t="s">
        <v>1065</v>
      </c>
    </row>
    <row r="492" ht="15.75" customHeight="1">
      <c r="A492" s="174" t="s">
        <v>1543</v>
      </c>
      <c r="B492" s="175" t="s">
        <v>1050</v>
      </c>
      <c r="C492" s="175" t="s">
        <v>1044</v>
      </c>
      <c r="D492" s="175" t="s">
        <v>1060</v>
      </c>
      <c r="E492" s="175" t="s">
        <v>1049</v>
      </c>
      <c r="F492" s="175" t="s">
        <v>1043</v>
      </c>
      <c r="G492" s="175" t="s">
        <v>1048</v>
      </c>
      <c r="H492" s="175" t="s">
        <v>1067</v>
      </c>
      <c r="I492" s="175" t="s">
        <v>1065</v>
      </c>
    </row>
    <row r="493" ht="15.75" customHeight="1">
      <c r="A493" s="172" t="s">
        <v>1544</v>
      </c>
      <c r="B493" s="173" t="s">
        <v>1050</v>
      </c>
      <c r="C493" s="173" t="s">
        <v>1044</v>
      </c>
      <c r="D493" s="173" t="s">
        <v>1061</v>
      </c>
      <c r="E493" s="173" t="s">
        <v>1049</v>
      </c>
      <c r="F493" s="173" t="s">
        <v>1060</v>
      </c>
      <c r="G493" s="173" t="s">
        <v>1048</v>
      </c>
      <c r="H493" s="173" t="s">
        <v>1067</v>
      </c>
      <c r="I493" s="173" t="s">
        <v>1065</v>
      </c>
    </row>
    <row r="494" ht="15.75" customHeight="1">
      <c r="A494" s="174" t="s">
        <v>1545</v>
      </c>
      <c r="B494" s="175" t="s">
        <v>1050</v>
      </c>
      <c r="C494" s="175" t="s">
        <v>1060</v>
      </c>
      <c r="D494" s="175" t="s">
        <v>1061</v>
      </c>
      <c r="E494" s="175" t="s">
        <v>1049</v>
      </c>
      <c r="F494" s="175" t="s">
        <v>1043</v>
      </c>
      <c r="G494" s="175" t="s">
        <v>1048</v>
      </c>
      <c r="H494" s="175" t="s">
        <v>1067</v>
      </c>
      <c r="I494" s="175" t="s">
        <v>1065</v>
      </c>
    </row>
    <row r="495" ht="15.75" customHeight="1">
      <c r="A495" s="172" t="s">
        <v>1546</v>
      </c>
      <c r="B495" s="173" t="s">
        <v>1050</v>
      </c>
      <c r="C495" s="173" t="s">
        <v>1060</v>
      </c>
      <c r="D495" s="173" t="s">
        <v>1061</v>
      </c>
      <c r="E495" s="173" t="s">
        <v>1049</v>
      </c>
      <c r="F495" s="173" t="s">
        <v>1043</v>
      </c>
      <c r="G495" s="173" t="s">
        <v>1044</v>
      </c>
      <c r="H495" s="173" t="s">
        <v>1067</v>
      </c>
      <c r="I495" s="173" t="s">
        <v>1065</v>
      </c>
    </row>
    <row r="496" ht="15.75" customHeight="1">
      <c r="A496" s="174" t="s">
        <v>1547</v>
      </c>
      <c r="B496" s="175" t="s">
        <v>1043</v>
      </c>
      <c r="C496" s="175" t="s">
        <v>1044</v>
      </c>
      <c r="D496" s="175" t="s">
        <v>1061</v>
      </c>
      <c r="E496" s="175" t="s">
        <v>1049</v>
      </c>
      <c r="F496" s="175" t="s">
        <v>1060</v>
      </c>
      <c r="G496" s="175" t="s">
        <v>1048</v>
      </c>
      <c r="H496" s="175" t="s">
        <v>1067</v>
      </c>
      <c r="I496" s="175" t="s">
        <v>1065</v>
      </c>
    </row>
    <row r="497" ht="15.75" customHeight="1">
      <c r="A497" s="172" t="s">
        <v>1548</v>
      </c>
      <c r="B497" s="173" t="s">
        <v>1050</v>
      </c>
      <c r="C497" s="173" t="s">
        <v>1060</v>
      </c>
      <c r="D497" s="173" t="s">
        <v>1061</v>
      </c>
      <c r="E497" s="173" t="s">
        <v>1048</v>
      </c>
      <c r="F497" s="173" t="s">
        <v>1043</v>
      </c>
      <c r="G497" s="173" t="s">
        <v>1044</v>
      </c>
      <c r="H497" s="173" t="s">
        <v>1067</v>
      </c>
      <c r="I497" s="173" t="s">
        <v>1065</v>
      </c>
    </row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7E22"/>
    <pageSetUpPr/>
  </sheetPr>
  <sheetViews>
    <sheetView showGridLines="0" workbookViewId="0"/>
  </sheetViews>
  <sheetFormatPr customHeight="1" defaultColWidth="14.43" defaultRowHeight="15.0"/>
  <cols>
    <col customWidth="1" min="1" max="1" width="25.86"/>
    <col customWidth="1" min="2" max="2" width="16.43"/>
    <col customWidth="1" min="3" max="26" width="8.71"/>
  </cols>
  <sheetData>
    <row r="1" ht="43.5" customHeight="1">
      <c r="A1" s="18" t="s">
        <v>1549</v>
      </c>
      <c r="B1" s="2"/>
    </row>
    <row r="2" ht="27.0" customHeight="1">
      <c r="A2" s="176" t="s">
        <v>1550</v>
      </c>
      <c r="B2" s="177"/>
    </row>
    <row r="3" ht="27.75" customHeight="1">
      <c r="A3" s="178" t="s">
        <v>30</v>
      </c>
      <c r="B3" s="179" t="s">
        <v>1551</v>
      </c>
    </row>
    <row r="4" ht="27.75" customHeight="1">
      <c r="A4" s="180" t="s">
        <v>1552</v>
      </c>
      <c r="B4" s="181"/>
    </row>
    <row r="5" ht="27.75" customHeight="1">
      <c r="A5" s="182" t="s">
        <v>1553</v>
      </c>
      <c r="B5" s="183" t="s">
        <v>653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A2:B2"/>
  </mergeCells>
  <dataValidations>
    <dataValidation type="list" allowBlank="1" showErrorMessage="1" sqref="B5">
      <formula1>Jogadores!$B$2:$B$817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2026-05-13T21:26:19Z</dcterms:created>
  <dc:creator>openpyxl</dc:creator>
</cp:coreProperties>
</file>